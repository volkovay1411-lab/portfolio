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073db34ee51c555/"/>
    </mc:Choice>
  </mc:AlternateContent>
  <xr:revisionPtr revIDLastSave="1" documentId="13_ncr:1_{F6F55262-0E2D-4CB5-9328-F50F5FED29BF}" xr6:coauthVersionLast="47" xr6:coauthVersionMax="47" xr10:uidLastSave="{2A1CC7EF-ADF4-4C44-A3D5-A891F4D76CCA}"/>
  <bookViews>
    <workbookView xWindow="-120" yWindow="-120" windowWidth="29040" windowHeight="17640" tabRatio="856" activeTab="2" xr2:uid="{00000000-000D-0000-FFFF-FFFF00000000}"/>
  </bookViews>
  <sheets>
    <sheet name="Накопительная" sheetId="4" r:id="rId1"/>
    <sheet name="Общий список людей" sheetId="11" r:id="rId2"/>
    <sheet name="ЗП-ТТН" sheetId="6" r:id="rId3"/>
    <sheet name="Табель Ха" sheetId="5" r:id="rId4"/>
    <sheet name="Табель Та" sheetId="10" r:id="rId5"/>
    <sheet name="Табель Бо" sheetId="13" r:id="rId6"/>
    <sheet name="Сводная по часам Та" sheetId="8" r:id="rId7"/>
  </sheets>
  <definedNames>
    <definedName name="_xlnm.Print_Titles" localSheetId="5">'Табель Бо'!$1:$4</definedName>
    <definedName name="_xlnm.Print_Titles" localSheetId="4">'Табель Та'!$1:$4</definedName>
    <definedName name="_xlnm.Print_Titles" localSheetId="3">'Табель Ха'!$1:$4</definedName>
    <definedName name="_xlnm.Print_Area" localSheetId="1">'Общий список людей'!$A$1:$E$141</definedName>
    <definedName name="_xlnm.Print_Area" localSheetId="6">'Сводная по часам Та'!$A$1:$J$131</definedName>
    <definedName name="Срез_Должность">#N/A</definedName>
    <definedName name="Срез_Сотрудник">#N/A</definedName>
    <definedName name="Срез_Участок">#N/A</definedName>
    <definedName name="Срез_Участок1">#N/A</definedName>
  </definedNames>
  <calcPr calcId="191029"/>
  <pivotCaches>
    <pivotCache cacheId="6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4" l="1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9" i="4"/>
  <c r="O2500" i="4"/>
  <c r="O2501" i="4"/>
  <c r="O2502" i="4"/>
  <c r="O2503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20" i="4"/>
  <c r="O3026" i="4"/>
  <c r="O3035" i="4"/>
  <c r="O3036" i="4"/>
  <c r="O3037" i="4"/>
  <c r="O3043" i="4"/>
  <c r="O3044" i="4"/>
  <c r="O3094" i="4"/>
  <c r="O3095" i="4"/>
  <c r="O3096" i="4"/>
  <c r="O3097" i="4"/>
  <c r="O3098" i="4"/>
  <c r="O3099" i="4"/>
  <c r="O3100" i="4"/>
  <c r="O3101" i="4"/>
  <c r="O3102" i="4"/>
  <c r="O3103" i="4"/>
  <c r="O310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40" i="4"/>
  <c r="O3942" i="4"/>
  <c r="O3943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8" i="4"/>
  <c r="O3969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33" i="4"/>
  <c r="O4034" i="4"/>
  <c r="N3495" i="4" l="1"/>
  <c r="T3495" i="4"/>
  <c r="U3495" i="4"/>
  <c r="N3496" i="4"/>
  <c r="T3496" i="4"/>
  <c r="U3496" i="4"/>
  <c r="N3497" i="4"/>
  <c r="T3497" i="4"/>
  <c r="U3497" i="4"/>
  <c r="N3498" i="4"/>
  <c r="T3498" i="4"/>
  <c r="U3498" i="4"/>
  <c r="N3499" i="4"/>
  <c r="T3499" i="4"/>
  <c r="U3499" i="4"/>
  <c r="N3500" i="4"/>
  <c r="T3500" i="4"/>
  <c r="U3500" i="4"/>
  <c r="N3501" i="4"/>
  <c r="T3501" i="4"/>
  <c r="U3501" i="4"/>
  <c r="N3502" i="4"/>
  <c r="T3502" i="4"/>
  <c r="U3502" i="4"/>
  <c r="N3503" i="4"/>
  <c r="T3503" i="4"/>
  <c r="U3503" i="4"/>
  <c r="N3504" i="4"/>
  <c r="T3504" i="4"/>
  <c r="U3504" i="4"/>
  <c r="N3505" i="4"/>
  <c r="T3505" i="4"/>
  <c r="U3505" i="4"/>
  <c r="N3506" i="4"/>
  <c r="T3506" i="4"/>
  <c r="U3506" i="4"/>
  <c r="N3507" i="4"/>
  <c r="T3507" i="4"/>
  <c r="U3507" i="4"/>
  <c r="N3508" i="4"/>
  <c r="T3508" i="4"/>
  <c r="U3508" i="4"/>
  <c r="N3509" i="4"/>
  <c r="T3509" i="4"/>
  <c r="U3509" i="4"/>
  <c r="N3510" i="4"/>
  <c r="T3510" i="4"/>
  <c r="U3510" i="4"/>
  <c r="N3511" i="4"/>
  <c r="T3511" i="4"/>
  <c r="U3511" i="4"/>
  <c r="N3512" i="4"/>
  <c r="T3512" i="4"/>
  <c r="U3512" i="4"/>
  <c r="N3513" i="4"/>
  <c r="T3513" i="4"/>
  <c r="U3513" i="4"/>
  <c r="N3514" i="4"/>
  <c r="T3514" i="4"/>
  <c r="U3514" i="4"/>
  <c r="N1805" i="4"/>
  <c r="T1805" i="4"/>
  <c r="U1805" i="4"/>
  <c r="N1806" i="4"/>
  <c r="T1806" i="4"/>
  <c r="U1806" i="4"/>
  <c r="N1807" i="4"/>
  <c r="T1807" i="4"/>
  <c r="U1807" i="4"/>
  <c r="N1808" i="4"/>
  <c r="T1808" i="4"/>
  <c r="U1808" i="4"/>
  <c r="N1809" i="4"/>
  <c r="T1809" i="4"/>
  <c r="U1809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U2378" i="4"/>
  <c r="U2379" i="4"/>
  <c r="U2380" i="4"/>
  <c r="U2381" i="4"/>
  <c r="U2382" i="4"/>
  <c r="U2383" i="4"/>
  <c r="U2384" i="4"/>
  <c r="U2385" i="4"/>
  <c r="U2386" i="4"/>
  <c r="U2387" i="4"/>
  <c r="U2388" i="4"/>
  <c r="U2389" i="4"/>
  <c r="U2390" i="4"/>
  <c r="U2391" i="4"/>
  <c r="U2392" i="4"/>
  <c r="U2393" i="4"/>
  <c r="U2394" i="4"/>
  <c r="U2395" i="4"/>
  <c r="U2396" i="4"/>
  <c r="U2397" i="4"/>
  <c r="U2398" i="4"/>
  <c r="U2399" i="4"/>
  <c r="U2400" i="4"/>
  <c r="U2401" i="4"/>
  <c r="U2402" i="4"/>
  <c r="U2403" i="4"/>
  <c r="U2404" i="4"/>
  <c r="U2405" i="4"/>
  <c r="U2406" i="4"/>
  <c r="U2407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N2288" i="4"/>
  <c r="O2288" i="4" s="1"/>
  <c r="N2289" i="4"/>
  <c r="O2289" i="4" s="1"/>
  <c r="N2290" i="4"/>
  <c r="O2290" i="4" s="1"/>
  <c r="N2291" i="4"/>
  <c r="O2291" i="4" s="1"/>
  <c r="N2292" i="4"/>
  <c r="O2292" i="4" s="1"/>
  <c r="N2293" i="4"/>
  <c r="O2293" i="4" s="1"/>
  <c r="N2294" i="4"/>
  <c r="O2294" i="4" s="1"/>
  <c r="N2295" i="4"/>
  <c r="O2295" i="4" s="1"/>
  <c r="N2296" i="4"/>
  <c r="O2296" i="4" s="1"/>
  <c r="N2297" i="4"/>
  <c r="O2297" i="4" s="1"/>
  <c r="N2298" i="4"/>
  <c r="O2298" i="4" s="1"/>
  <c r="N2299" i="4"/>
  <c r="O2299" i="4" s="1"/>
  <c r="N2300" i="4"/>
  <c r="O2300" i="4" s="1"/>
  <c r="N2301" i="4"/>
  <c r="O2301" i="4" s="1"/>
  <c r="N2302" i="4"/>
  <c r="O2302" i="4" s="1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N2255" i="4"/>
  <c r="T2255" i="4"/>
  <c r="U2255" i="4"/>
  <c r="N2253" i="4"/>
  <c r="T2253" i="4"/>
  <c r="U2253" i="4"/>
  <c r="N2247" i="4"/>
  <c r="T2247" i="4"/>
  <c r="U2247" i="4"/>
  <c r="N1759" i="4"/>
  <c r="T1759" i="4"/>
  <c r="U1759" i="4"/>
  <c r="N1757" i="4"/>
  <c r="T1757" i="4"/>
  <c r="U1757" i="4"/>
  <c r="N1754" i="4"/>
  <c r="T1754" i="4"/>
  <c r="U1754" i="4"/>
  <c r="N1752" i="4"/>
  <c r="T1752" i="4"/>
  <c r="U1752" i="4"/>
  <c r="N1651" i="4"/>
  <c r="O1651" i="4" s="1"/>
  <c r="N1652" i="4"/>
  <c r="O1652" i="4" s="1"/>
  <c r="N1653" i="4"/>
  <c r="O1653" i="4" s="1"/>
  <c r="N1654" i="4"/>
  <c r="O1654" i="4" s="1"/>
  <c r="N1655" i="4"/>
  <c r="O1655" i="4" s="1"/>
  <c r="N1656" i="4"/>
  <c r="O1656" i="4" s="1"/>
  <c r="N1657" i="4"/>
  <c r="O1657" i="4" s="1"/>
  <c r="N1658" i="4"/>
  <c r="O1658" i="4" s="1"/>
  <c r="N1659" i="4"/>
  <c r="O1659" i="4" s="1"/>
  <c r="N1660" i="4"/>
  <c r="O1660" i="4" s="1"/>
  <c r="N1661" i="4"/>
  <c r="O1661" i="4" s="1"/>
  <c r="N1662" i="4"/>
  <c r="O1662" i="4" s="1"/>
  <c r="N1663" i="4"/>
  <c r="O1663" i="4" s="1"/>
  <c r="N1664" i="4"/>
  <c r="O1664" i="4" s="1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N1985" i="4"/>
  <c r="T1985" i="4"/>
  <c r="U1985" i="4"/>
  <c r="N1986" i="4"/>
  <c r="T1986" i="4"/>
  <c r="U1986" i="4"/>
  <c r="N1987" i="4"/>
  <c r="T1987" i="4"/>
  <c r="U1987" i="4"/>
  <c r="N1115" i="4"/>
  <c r="T1115" i="4"/>
  <c r="U1115" i="4"/>
  <c r="N1137" i="4"/>
  <c r="T1137" i="4"/>
  <c r="U1137" i="4"/>
  <c r="N1134" i="4"/>
  <c r="T1134" i="4"/>
  <c r="U1134" i="4"/>
  <c r="N1130" i="4"/>
  <c r="T1130" i="4"/>
  <c r="U1130" i="4"/>
  <c r="N1124" i="4"/>
  <c r="T1124" i="4"/>
  <c r="U1124" i="4"/>
  <c r="N1122" i="4"/>
  <c r="T1122" i="4"/>
  <c r="U1122" i="4"/>
  <c r="N1075" i="4"/>
  <c r="T1075" i="4"/>
  <c r="U1075" i="4"/>
  <c r="N88" i="4"/>
  <c r="T88" i="4"/>
  <c r="U88" i="4"/>
  <c r="N82" i="4"/>
  <c r="T82" i="4"/>
  <c r="U82" i="4"/>
  <c r="N80" i="4"/>
  <c r="T80" i="4"/>
  <c r="U80" i="4"/>
  <c r="N75" i="4"/>
  <c r="T75" i="4"/>
  <c r="U75" i="4"/>
  <c r="N67" i="4"/>
  <c r="T67" i="4"/>
  <c r="U67" i="4"/>
  <c r="N63" i="4"/>
  <c r="T63" i="4"/>
  <c r="U63" i="4"/>
  <c r="N60" i="4"/>
  <c r="T60" i="4"/>
  <c r="U60" i="4"/>
  <c r="N58" i="4"/>
  <c r="T58" i="4"/>
  <c r="U58" i="4"/>
  <c r="N56" i="4"/>
  <c r="T56" i="4"/>
  <c r="U56" i="4"/>
  <c r="N54" i="4"/>
  <c r="T54" i="4"/>
  <c r="U54" i="4"/>
  <c r="N52" i="4"/>
  <c r="T52" i="4"/>
  <c r="U52" i="4"/>
  <c r="N48" i="4"/>
  <c r="O48" i="4" s="1"/>
  <c r="N49" i="4"/>
  <c r="N50" i="4"/>
  <c r="N51" i="4"/>
  <c r="N53" i="4"/>
  <c r="N55" i="4"/>
  <c r="N57" i="4"/>
  <c r="N59" i="4"/>
  <c r="N61" i="4"/>
  <c r="N62" i="4"/>
  <c r="N64" i="4"/>
  <c r="N65" i="4"/>
  <c r="N66" i="4"/>
  <c r="N68" i="4"/>
  <c r="N69" i="4"/>
  <c r="N70" i="4"/>
  <c r="N71" i="4"/>
  <c r="N72" i="4"/>
  <c r="N73" i="4"/>
  <c r="N74" i="4"/>
  <c r="N76" i="4"/>
  <c r="N77" i="4"/>
  <c r="N78" i="4"/>
  <c r="N79" i="4"/>
  <c r="N81" i="4"/>
  <c r="N83" i="4"/>
  <c r="N84" i="4"/>
  <c r="N85" i="4"/>
  <c r="N86" i="4"/>
  <c r="N87" i="4"/>
  <c r="T48" i="4"/>
  <c r="T49" i="4"/>
  <c r="T50" i="4"/>
  <c r="T51" i="4"/>
  <c r="T53" i="4"/>
  <c r="T55" i="4"/>
  <c r="T57" i="4"/>
  <c r="T59" i="4"/>
  <c r="T61" i="4"/>
  <c r="T62" i="4"/>
  <c r="T64" i="4"/>
  <c r="T65" i="4"/>
  <c r="T66" i="4"/>
  <c r="T68" i="4"/>
  <c r="T69" i="4"/>
  <c r="T70" i="4"/>
  <c r="T71" i="4"/>
  <c r="T72" i="4"/>
  <c r="T73" i="4"/>
  <c r="T74" i="4"/>
  <c r="T76" i="4"/>
  <c r="T77" i="4"/>
  <c r="T78" i="4"/>
  <c r="T79" i="4"/>
  <c r="T81" i="4"/>
  <c r="T83" i="4"/>
  <c r="T84" i="4"/>
  <c r="T85" i="4"/>
  <c r="T86" i="4"/>
  <c r="T87" i="4"/>
  <c r="U48" i="4"/>
  <c r="U49" i="4"/>
  <c r="U50" i="4"/>
  <c r="U51" i="4"/>
  <c r="U53" i="4"/>
  <c r="U55" i="4"/>
  <c r="U57" i="4"/>
  <c r="U59" i="4"/>
  <c r="U61" i="4"/>
  <c r="U62" i="4"/>
  <c r="U64" i="4"/>
  <c r="U65" i="4"/>
  <c r="U66" i="4"/>
  <c r="U68" i="4"/>
  <c r="U69" i="4"/>
  <c r="U70" i="4"/>
  <c r="U71" i="4"/>
  <c r="U72" i="4"/>
  <c r="U73" i="4"/>
  <c r="U74" i="4"/>
  <c r="U76" i="4"/>
  <c r="U77" i="4"/>
  <c r="U78" i="4"/>
  <c r="U79" i="4"/>
  <c r="U81" i="4"/>
  <c r="U83" i="4"/>
  <c r="U84" i="4"/>
  <c r="U85" i="4"/>
  <c r="U86" i="4"/>
  <c r="U87" i="4"/>
  <c r="N3525" i="4"/>
  <c r="T3525" i="4"/>
  <c r="U3525" i="4"/>
  <c r="N3526" i="4"/>
  <c r="T3526" i="4"/>
  <c r="U3526" i="4"/>
  <c r="N3527" i="4"/>
  <c r="T3527" i="4"/>
  <c r="U3527" i="4"/>
  <c r="N3528" i="4"/>
  <c r="T3528" i="4"/>
  <c r="U3528" i="4"/>
  <c r="N3529" i="4"/>
  <c r="T3529" i="4"/>
  <c r="U3529" i="4"/>
  <c r="N3530" i="4"/>
  <c r="T3530" i="4"/>
  <c r="U3530" i="4"/>
  <c r="N3531" i="4"/>
  <c r="T3531" i="4"/>
  <c r="U3531" i="4"/>
  <c r="N3532" i="4"/>
  <c r="T3532" i="4"/>
  <c r="U3532" i="4"/>
  <c r="N3533" i="4"/>
  <c r="T3533" i="4"/>
  <c r="U3533" i="4"/>
  <c r="N3534" i="4"/>
  <c r="T3534" i="4"/>
  <c r="U3534" i="4"/>
  <c r="N3535" i="4"/>
  <c r="O3535" i="4" s="1"/>
  <c r="T3535" i="4"/>
  <c r="U3535" i="4"/>
  <c r="N3536" i="4"/>
  <c r="O3536" i="4" s="1"/>
  <c r="T3536" i="4"/>
  <c r="U3536" i="4"/>
  <c r="N3537" i="4"/>
  <c r="O3537" i="4" s="1"/>
  <c r="T3537" i="4"/>
  <c r="U3537" i="4"/>
  <c r="N3900" i="4"/>
  <c r="T3900" i="4"/>
  <c r="U3900" i="4"/>
  <c r="N3901" i="4"/>
  <c r="T3901" i="4"/>
  <c r="U3901" i="4"/>
  <c r="N3902" i="4"/>
  <c r="T3902" i="4"/>
  <c r="U3902" i="4"/>
  <c r="N3903" i="4"/>
  <c r="T3903" i="4"/>
  <c r="U3903" i="4"/>
  <c r="N3904" i="4"/>
  <c r="T3904" i="4"/>
  <c r="U3904" i="4"/>
  <c r="N3905" i="4"/>
  <c r="T3905" i="4"/>
  <c r="U3905" i="4"/>
  <c r="N3906" i="4"/>
  <c r="T3906" i="4"/>
  <c r="U3906" i="4"/>
  <c r="N3907" i="4"/>
  <c r="T3907" i="4"/>
  <c r="U3907" i="4"/>
  <c r="N3908" i="4"/>
  <c r="T3908" i="4"/>
  <c r="U3908" i="4"/>
  <c r="N3885" i="4"/>
  <c r="T3885" i="4"/>
  <c r="U3885" i="4"/>
  <c r="N3886" i="4"/>
  <c r="T3886" i="4"/>
  <c r="U3886" i="4"/>
  <c r="N3887" i="4"/>
  <c r="T3887" i="4"/>
  <c r="U3887" i="4"/>
  <c r="N3888" i="4"/>
  <c r="T3888" i="4"/>
  <c r="U3888" i="4"/>
  <c r="N3889" i="4"/>
  <c r="T3889" i="4"/>
  <c r="U3889" i="4"/>
  <c r="N3890" i="4"/>
  <c r="T3890" i="4"/>
  <c r="U3890" i="4"/>
  <c r="N3891" i="4"/>
  <c r="T3891" i="4"/>
  <c r="U3891" i="4"/>
  <c r="N3892" i="4"/>
  <c r="T3892" i="4"/>
  <c r="U3892" i="4"/>
  <c r="N3893" i="4"/>
  <c r="T3893" i="4"/>
  <c r="U3893" i="4"/>
  <c r="N3894" i="4"/>
  <c r="T3894" i="4"/>
  <c r="U3894" i="4"/>
  <c r="N3895" i="4"/>
  <c r="T3895" i="4"/>
  <c r="U3895" i="4"/>
  <c r="N3896" i="4"/>
  <c r="T3896" i="4"/>
  <c r="U3896" i="4"/>
  <c r="N3897" i="4"/>
  <c r="T3897" i="4"/>
  <c r="U3897" i="4"/>
  <c r="N3898" i="4"/>
  <c r="T3898" i="4"/>
  <c r="U3898" i="4"/>
  <c r="N3899" i="4"/>
  <c r="T3899" i="4"/>
  <c r="U3899" i="4"/>
  <c r="N3922" i="4" l="1"/>
  <c r="T3922" i="4"/>
  <c r="U3922" i="4"/>
  <c r="N3923" i="4"/>
  <c r="T3923" i="4"/>
  <c r="U3923" i="4"/>
  <c r="N3924" i="4"/>
  <c r="T3924" i="4"/>
  <c r="U3924" i="4"/>
  <c r="N3915" i="4"/>
  <c r="T3915" i="4"/>
  <c r="U3915" i="4"/>
  <c r="N3916" i="4"/>
  <c r="T3916" i="4"/>
  <c r="U3916" i="4"/>
  <c r="N3917" i="4"/>
  <c r="T3917" i="4"/>
  <c r="U3917" i="4"/>
  <c r="N3918" i="4"/>
  <c r="T3918" i="4"/>
  <c r="U3918" i="4"/>
  <c r="N3919" i="4"/>
  <c r="T3919" i="4"/>
  <c r="U3919" i="4"/>
  <c r="N3920" i="4"/>
  <c r="T3920" i="4"/>
  <c r="U3920" i="4"/>
  <c r="N3921" i="4"/>
  <c r="T3921" i="4"/>
  <c r="U3921" i="4"/>
  <c r="N324" i="4"/>
  <c r="O324" i="4" s="1"/>
  <c r="T324" i="4"/>
  <c r="U324" i="4"/>
  <c r="N810" i="4"/>
  <c r="O810" i="4" s="1"/>
  <c r="T810" i="4"/>
  <c r="U810" i="4"/>
  <c r="N805" i="4"/>
  <c r="O805" i="4" s="1"/>
  <c r="T805" i="4"/>
  <c r="U805" i="4"/>
  <c r="N806" i="4"/>
  <c r="O806" i="4" s="1"/>
  <c r="T806" i="4"/>
  <c r="U806" i="4"/>
  <c r="N807" i="4"/>
  <c r="O807" i="4" s="1"/>
  <c r="T807" i="4"/>
  <c r="U807" i="4"/>
  <c r="N808" i="4"/>
  <c r="O808" i="4" s="1"/>
  <c r="T808" i="4"/>
  <c r="U808" i="4"/>
  <c r="N809" i="4"/>
  <c r="O809" i="4" s="1"/>
  <c r="T809" i="4"/>
  <c r="U809" i="4"/>
  <c r="N837" i="4"/>
  <c r="N838" i="4"/>
  <c r="N839" i="4"/>
  <c r="N840" i="4"/>
  <c r="N841" i="4"/>
  <c r="N842" i="4"/>
  <c r="N843" i="4"/>
  <c r="N844" i="4"/>
  <c r="T837" i="4"/>
  <c r="T838" i="4"/>
  <c r="T839" i="4"/>
  <c r="T840" i="4"/>
  <c r="T841" i="4"/>
  <c r="T842" i="4"/>
  <c r="T843" i="4"/>
  <c r="T844" i="4"/>
  <c r="U837" i="4"/>
  <c r="U838" i="4"/>
  <c r="U839" i="4"/>
  <c r="U840" i="4"/>
  <c r="U841" i="4"/>
  <c r="U842" i="4"/>
  <c r="U843" i="4"/>
  <c r="U844" i="4"/>
  <c r="N845" i="4"/>
  <c r="N846" i="4"/>
  <c r="N847" i="4"/>
  <c r="N848" i="4"/>
  <c r="T845" i="4"/>
  <c r="T846" i="4"/>
  <c r="T847" i="4"/>
  <c r="T848" i="4"/>
  <c r="U845" i="4"/>
  <c r="U846" i="4"/>
  <c r="U847" i="4"/>
  <c r="U848" i="4"/>
  <c r="N849" i="4"/>
  <c r="N850" i="4"/>
  <c r="T849" i="4"/>
  <c r="T850" i="4"/>
  <c r="U849" i="4"/>
  <c r="U850" i="4"/>
  <c r="N851" i="4"/>
  <c r="N852" i="4"/>
  <c r="T851" i="4"/>
  <c r="T852" i="4"/>
  <c r="U851" i="4"/>
  <c r="U852" i="4"/>
  <c r="N172" i="4"/>
  <c r="O172" i="4" s="1"/>
  <c r="T172" i="4"/>
  <c r="U172" i="4"/>
  <c r="N625" i="4" l="1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O645" i="4" s="1"/>
  <c r="N646" i="4"/>
  <c r="O646" i="4" s="1"/>
  <c r="N647" i="4"/>
  <c r="O647" i="4" s="1"/>
  <c r="N648" i="4"/>
  <c r="O648" i="4" s="1"/>
  <c r="N649" i="4"/>
  <c r="O649" i="4" s="1"/>
  <c r="N650" i="4"/>
  <c r="O650" i="4" s="1"/>
  <c r="N651" i="4"/>
  <c r="O651" i="4" s="1"/>
  <c r="N652" i="4"/>
  <c r="O652" i="4" s="1"/>
  <c r="N653" i="4"/>
  <c r="O653" i="4" s="1"/>
  <c r="N654" i="4"/>
  <c r="O654" i="4" s="1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N595" i="4" l="1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N577" i="4"/>
  <c r="O577" i="4" s="1"/>
  <c r="T577" i="4"/>
  <c r="U577" i="4"/>
  <c r="N170" i="4"/>
  <c r="O170" i="4" s="1"/>
  <c r="T170" i="4"/>
  <c r="U170" i="4"/>
  <c r="N168" i="4"/>
  <c r="O168" i="4" s="1"/>
  <c r="T168" i="4"/>
  <c r="U168" i="4"/>
  <c r="N166" i="4"/>
  <c r="O166" i="4" s="1"/>
  <c r="T166" i="4"/>
  <c r="U166" i="4"/>
  <c r="N164" i="4"/>
  <c r="O164" i="4" s="1"/>
  <c r="T164" i="4"/>
  <c r="U164" i="4"/>
  <c r="N162" i="4"/>
  <c r="O162" i="4" s="1"/>
  <c r="T162" i="4"/>
  <c r="U162" i="4"/>
  <c r="N159" i="4"/>
  <c r="O159" i="4" s="1"/>
  <c r="T159" i="4"/>
  <c r="U159" i="4"/>
  <c r="N157" i="4"/>
  <c r="O157" i="4" s="1"/>
  <c r="T157" i="4"/>
  <c r="U157" i="4"/>
  <c r="N154" i="4"/>
  <c r="O154" i="4" s="1"/>
  <c r="T154" i="4"/>
  <c r="U154" i="4"/>
  <c r="N151" i="4"/>
  <c r="O151" i="4" s="1"/>
  <c r="T151" i="4"/>
  <c r="U151" i="4"/>
  <c r="N149" i="4"/>
  <c r="O149" i="4" s="1"/>
  <c r="T149" i="4"/>
  <c r="U149" i="4"/>
  <c r="N147" i="4"/>
  <c r="O147" i="4" s="1"/>
  <c r="T147" i="4"/>
  <c r="U147" i="4"/>
  <c r="N145" i="4"/>
  <c r="O145" i="4" s="1"/>
  <c r="T145" i="4"/>
  <c r="U145" i="4"/>
  <c r="N143" i="4"/>
  <c r="O143" i="4" s="1"/>
  <c r="T143" i="4"/>
  <c r="U143" i="4"/>
  <c r="N141" i="4"/>
  <c r="O141" i="4" s="1"/>
  <c r="T141" i="4"/>
  <c r="U141" i="4"/>
  <c r="N139" i="4"/>
  <c r="O139" i="4" s="1"/>
  <c r="T139" i="4"/>
  <c r="U139" i="4"/>
  <c r="N137" i="4"/>
  <c r="O137" i="4" s="1"/>
  <c r="T137" i="4"/>
  <c r="U137" i="4"/>
  <c r="N135" i="4"/>
  <c r="O135" i="4" s="1"/>
  <c r="T135" i="4"/>
  <c r="U135" i="4"/>
  <c r="N133" i="4"/>
  <c r="O133" i="4" s="1"/>
  <c r="T133" i="4"/>
  <c r="U133" i="4"/>
  <c r="N131" i="4"/>
  <c r="O131" i="4" s="1"/>
  <c r="T131" i="4"/>
  <c r="U131" i="4"/>
  <c r="N129" i="4"/>
  <c r="O129" i="4" s="1"/>
  <c r="T129" i="4"/>
  <c r="U129" i="4"/>
  <c r="N127" i="4"/>
  <c r="O127" i="4" s="1"/>
  <c r="T127" i="4"/>
  <c r="U127" i="4"/>
  <c r="N125" i="4"/>
  <c r="O125" i="4" s="1"/>
  <c r="T125" i="4"/>
  <c r="U125" i="4"/>
  <c r="N123" i="4"/>
  <c r="O123" i="4" s="1"/>
  <c r="T123" i="4"/>
  <c r="U123" i="4"/>
  <c r="N21" i="4"/>
  <c r="T21" i="4"/>
  <c r="U21" i="4"/>
  <c r="N2550" i="4" l="1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N2515" i="4"/>
  <c r="T2515" i="4"/>
  <c r="U2515" i="4"/>
  <c r="N2516" i="4"/>
  <c r="T2516" i="4"/>
  <c r="U2516" i="4"/>
  <c r="N2517" i="4"/>
  <c r="T2517" i="4"/>
  <c r="U2517" i="4"/>
  <c r="N2518" i="4"/>
  <c r="T2518" i="4"/>
  <c r="U2518" i="4"/>
  <c r="N2519" i="4"/>
  <c r="T2519" i="4"/>
  <c r="U2519" i="4"/>
  <c r="N2500" i="4"/>
  <c r="N2501" i="4"/>
  <c r="N2502" i="4"/>
  <c r="N2503" i="4"/>
  <c r="N2504" i="4"/>
  <c r="O2504" i="4" s="1"/>
  <c r="N2505" i="4"/>
  <c r="O2505" i="4" s="1"/>
  <c r="N2506" i="4"/>
  <c r="O2506" i="4" s="1"/>
  <c r="N2507" i="4"/>
  <c r="O2507" i="4" s="1"/>
  <c r="N2508" i="4"/>
  <c r="O2508" i="4" s="1"/>
  <c r="N2509" i="4"/>
  <c r="O2509" i="4" s="1"/>
  <c r="N2510" i="4"/>
  <c r="O2510" i="4" s="1"/>
  <c r="N2511" i="4"/>
  <c r="O2511" i="4" s="1"/>
  <c r="N2512" i="4"/>
  <c r="O2512" i="4" s="1"/>
  <c r="N2513" i="4"/>
  <c r="O2513" i="4" s="1"/>
  <c r="N2514" i="4"/>
  <c r="O2514" i="4" s="1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U2500" i="4"/>
  <c r="U2501" i="4"/>
  <c r="U2502" i="4"/>
  <c r="U2503" i="4"/>
  <c r="U2504" i="4"/>
  <c r="U2505" i="4"/>
  <c r="U2506" i="4"/>
  <c r="U2507" i="4"/>
  <c r="U2508" i="4"/>
  <c r="U2509" i="4"/>
  <c r="U2510" i="4"/>
  <c r="U2511" i="4"/>
  <c r="U2512" i="4"/>
  <c r="U2513" i="4"/>
  <c r="U2514" i="4"/>
  <c r="N3855" i="4"/>
  <c r="T3855" i="4"/>
  <c r="U3855" i="4"/>
  <c r="N3735" i="4" l="1"/>
  <c r="T3735" i="4"/>
  <c r="U3735" i="4"/>
  <c r="N3736" i="4"/>
  <c r="T3736" i="4"/>
  <c r="U3736" i="4"/>
  <c r="N3737" i="4"/>
  <c r="T3737" i="4"/>
  <c r="U3737" i="4"/>
  <c r="N3738" i="4"/>
  <c r="T3738" i="4"/>
  <c r="U3738" i="4"/>
  <c r="N3739" i="4"/>
  <c r="T3739" i="4"/>
  <c r="U3739" i="4"/>
  <c r="N3740" i="4"/>
  <c r="T3740" i="4"/>
  <c r="U3740" i="4"/>
  <c r="N3741" i="4"/>
  <c r="T3741" i="4"/>
  <c r="U3741" i="4"/>
  <c r="N3742" i="4"/>
  <c r="T3742" i="4"/>
  <c r="U3742" i="4"/>
  <c r="N3743" i="4"/>
  <c r="T3743" i="4"/>
  <c r="U3743" i="4"/>
  <c r="N3744" i="4"/>
  <c r="T3744" i="4"/>
  <c r="U3744" i="4"/>
  <c r="N3745" i="4"/>
  <c r="T3745" i="4"/>
  <c r="U3745" i="4"/>
  <c r="N3746" i="4"/>
  <c r="T3746" i="4"/>
  <c r="U3746" i="4"/>
  <c r="N3747" i="4"/>
  <c r="T3747" i="4"/>
  <c r="U3747" i="4"/>
  <c r="N3748" i="4"/>
  <c r="T3748" i="4"/>
  <c r="U3748" i="4"/>
  <c r="N3749" i="4"/>
  <c r="T3749" i="4"/>
  <c r="U3749" i="4"/>
  <c r="N3750" i="4"/>
  <c r="T3750" i="4"/>
  <c r="U3750" i="4"/>
  <c r="N3751" i="4"/>
  <c r="T3751" i="4"/>
  <c r="U3751" i="4"/>
  <c r="N3752" i="4"/>
  <c r="T3752" i="4"/>
  <c r="U3752" i="4"/>
  <c r="N3753" i="4"/>
  <c r="T3753" i="4"/>
  <c r="U3753" i="4"/>
  <c r="N3754" i="4"/>
  <c r="T3754" i="4"/>
  <c r="U3754" i="4"/>
  <c r="N3465" i="4"/>
  <c r="T3465" i="4"/>
  <c r="U3465" i="4"/>
  <c r="N3466" i="4"/>
  <c r="T3466" i="4"/>
  <c r="U3466" i="4"/>
  <c r="N3467" i="4"/>
  <c r="T3467" i="4"/>
  <c r="U3467" i="4"/>
  <c r="N3468" i="4"/>
  <c r="T3468" i="4"/>
  <c r="U3468" i="4"/>
  <c r="N3469" i="4"/>
  <c r="T3469" i="4"/>
  <c r="U3469" i="4"/>
  <c r="N3470" i="4"/>
  <c r="T3470" i="4"/>
  <c r="U3470" i="4"/>
  <c r="N3471" i="4"/>
  <c r="T3471" i="4"/>
  <c r="U3471" i="4"/>
  <c r="N2484" i="4"/>
  <c r="O2484" i="4" s="1"/>
  <c r="T2484" i="4"/>
  <c r="U2484" i="4"/>
  <c r="B4035" i="4" l="1"/>
  <c r="N2745" i="4"/>
  <c r="T2745" i="4"/>
  <c r="U2745" i="4"/>
  <c r="N2746" i="4"/>
  <c r="T2746" i="4"/>
  <c r="U2746" i="4"/>
  <c r="N2747" i="4"/>
  <c r="T2747" i="4"/>
  <c r="U2747" i="4"/>
  <c r="N2748" i="4"/>
  <c r="T2748" i="4"/>
  <c r="U2748" i="4"/>
  <c r="N2749" i="4"/>
  <c r="T2749" i="4"/>
  <c r="U2749" i="4"/>
  <c r="N2481" i="4"/>
  <c r="O2481" i="4" s="1"/>
  <c r="T2481" i="4"/>
  <c r="U2481" i="4"/>
  <c r="N2907" i="4"/>
  <c r="T2907" i="4"/>
  <c r="U2907" i="4"/>
  <c r="T2806" i="4" l="1"/>
  <c r="U2806" i="4"/>
  <c r="T2807" i="4"/>
  <c r="U2807" i="4"/>
  <c r="T2808" i="4"/>
  <c r="U2808" i="4"/>
  <c r="T2809" i="4"/>
  <c r="U2809" i="4"/>
  <c r="T2810" i="4"/>
  <c r="U2810" i="4"/>
  <c r="T2811" i="4"/>
  <c r="U2811" i="4"/>
  <c r="T2812" i="4"/>
  <c r="U2812" i="4"/>
  <c r="T2813" i="4"/>
  <c r="U2813" i="4"/>
  <c r="T2814" i="4"/>
  <c r="U2814" i="4"/>
  <c r="T2815" i="4"/>
  <c r="U2815" i="4"/>
  <c r="T2816" i="4"/>
  <c r="U2816" i="4"/>
  <c r="T2817" i="4"/>
  <c r="U2817" i="4"/>
  <c r="T2818" i="4"/>
  <c r="U2818" i="4"/>
  <c r="T2819" i="4"/>
  <c r="U2819" i="4"/>
  <c r="T2820" i="4"/>
  <c r="U2820" i="4"/>
  <c r="T2821" i="4"/>
  <c r="U2821" i="4"/>
  <c r="T2822" i="4"/>
  <c r="U2822" i="4"/>
  <c r="T2823" i="4"/>
  <c r="U2823" i="4"/>
  <c r="T2824" i="4"/>
  <c r="U2824" i="4"/>
  <c r="T2825" i="4"/>
  <c r="U2825" i="4"/>
  <c r="T2826" i="4"/>
  <c r="U2826" i="4"/>
  <c r="T2827" i="4"/>
  <c r="U2827" i="4"/>
  <c r="T2828" i="4"/>
  <c r="U2828" i="4"/>
  <c r="T2829" i="4"/>
  <c r="U2829" i="4"/>
  <c r="T2830" i="4"/>
  <c r="U2830" i="4"/>
  <c r="T2831" i="4"/>
  <c r="U2831" i="4"/>
  <c r="T2832" i="4"/>
  <c r="U2832" i="4"/>
  <c r="T2833" i="4"/>
  <c r="U2833" i="4"/>
  <c r="T2834" i="4"/>
  <c r="U2834" i="4"/>
  <c r="N17" i="4"/>
  <c r="N18" i="4"/>
  <c r="N19" i="4"/>
  <c r="N20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O119" i="4" s="1"/>
  <c r="N120" i="4"/>
  <c r="O120" i="4" s="1"/>
  <c r="N121" i="4"/>
  <c r="O121" i="4" s="1"/>
  <c r="N122" i="4"/>
  <c r="O122" i="4" s="1"/>
  <c r="N124" i="4"/>
  <c r="O124" i="4" s="1"/>
  <c r="N126" i="4"/>
  <c r="O126" i="4" s="1"/>
  <c r="N128" i="4"/>
  <c r="O128" i="4" s="1"/>
  <c r="N130" i="4"/>
  <c r="O130" i="4" s="1"/>
  <c r="N132" i="4"/>
  <c r="O132" i="4" s="1"/>
  <c r="N134" i="4"/>
  <c r="O134" i="4" s="1"/>
  <c r="N136" i="4"/>
  <c r="O136" i="4" s="1"/>
  <c r="N138" i="4"/>
  <c r="O138" i="4" s="1"/>
  <c r="N140" i="4"/>
  <c r="O140" i="4" s="1"/>
  <c r="N142" i="4"/>
  <c r="O142" i="4" s="1"/>
  <c r="N144" i="4"/>
  <c r="O144" i="4" s="1"/>
  <c r="N146" i="4"/>
  <c r="O146" i="4" s="1"/>
  <c r="N148" i="4"/>
  <c r="O148" i="4" s="1"/>
  <c r="N150" i="4"/>
  <c r="O150" i="4" s="1"/>
  <c r="N152" i="4"/>
  <c r="O152" i="4" s="1"/>
  <c r="N153" i="4"/>
  <c r="O153" i="4" s="1"/>
  <c r="N155" i="4"/>
  <c r="O155" i="4" s="1"/>
  <c r="N156" i="4"/>
  <c r="O156" i="4" s="1"/>
  <c r="N158" i="4"/>
  <c r="O158" i="4" s="1"/>
  <c r="N160" i="4"/>
  <c r="O160" i="4" s="1"/>
  <c r="N161" i="4"/>
  <c r="O161" i="4" s="1"/>
  <c r="N163" i="4"/>
  <c r="O163" i="4" s="1"/>
  <c r="N165" i="4"/>
  <c r="O165" i="4" s="1"/>
  <c r="N167" i="4"/>
  <c r="O167" i="4" s="1"/>
  <c r="N169" i="4"/>
  <c r="O169" i="4" s="1"/>
  <c r="N171" i="4"/>
  <c r="O171" i="4" s="1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O233" i="4" s="1"/>
  <c r="N234" i="4"/>
  <c r="O234" i="4" s="1"/>
  <c r="N235" i="4"/>
  <c r="O235" i="4" s="1"/>
  <c r="N236" i="4"/>
  <c r="O236" i="4" s="1"/>
  <c r="N237" i="4"/>
  <c r="O237" i="4" s="1"/>
  <c r="N238" i="4"/>
  <c r="O238" i="4" s="1"/>
  <c r="N239" i="4"/>
  <c r="O239" i="4" s="1"/>
  <c r="N240" i="4"/>
  <c r="O240" i="4" s="1"/>
  <c r="N241" i="4"/>
  <c r="O241" i="4" s="1"/>
  <c r="N242" i="4"/>
  <c r="O242" i="4" s="1"/>
  <c r="N243" i="4"/>
  <c r="O243" i="4" s="1"/>
  <c r="N244" i="4"/>
  <c r="O244" i="4" s="1"/>
  <c r="N245" i="4"/>
  <c r="O245" i="4" s="1"/>
  <c r="N246" i="4"/>
  <c r="O246" i="4" s="1"/>
  <c r="N247" i="4"/>
  <c r="O247" i="4" s="1"/>
  <c r="N248" i="4"/>
  <c r="O248" i="4" s="1"/>
  <c r="N249" i="4"/>
  <c r="O249" i="4" s="1"/>
  <c r="N250" i="4"/>
  <c r="O250" i="4" s="1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O263" i="4" s="1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O323" i="4" s="1"/>
  <c r="N325" i="4"/>
  <c r="O325" i="4" s="1"/>
  <c r="N326" i="4"/>
  <c r="O326" i="4" s="1"/>
  <c r="N327" i="4"/>
  <c r="O327" i="4" s="1"/>
  <c r="N328" i="4"/>
  <c r="O328" i="4" s="1"/>
  <c r="N329" i="4"/>
  <c r="O329" i="4" s="1"/>
  <c r="N330" i="4"/>
  <c r="O330" i="4" s="1"/>
  <c r="N331" i="4"/>
  <c r="O331" i="4" s="1"/>
  <c r="N332" i="4"/>
  <c r="O332" i="4" s="1"/>
  <c r="N333" i="4"/>
  <c r="O333" i="4" s="1"/>
  <c r="N334" i="4"/>
  <c r="O334" i="4" s="1"/>
  <c r="N335" i="4"/>
  <c r="O335" i="4" s="1"/>
  <c r="N336" i="4"/>
  <c r="O336" i="4" s="1"/>
  <c r="N337" i="4"/>
  <c r="O337" i="4" s="1"/>
  <c r="N338" i="4"/>
  <c r="O338" i="4" s="1"/>
  <c r="N339" i="4"/>
  <c r="O339" i="4" s="1"/>
  <c r="N340" i="4"/>
  <c r="O340" i="4" s="1"/>
  <c r="N341" i="4"/>
  <c r="O341" i="4" s="1"/>
  <c r="N342" i="4"/>
  <c r="O342" i="4" s="1"/>
  <c r="N343" i="4"/>
  <c r="O343" i="4" s="1"/>
  <c r="N344" i="4"/>
  <c r="O344" i="4" s="1"/>
  <c r="N345" i="4"/>
  <c r="O345" i="4" s="1"/>
  <c r="N346" i="4"/>
  <c r="O346" i="4" s="1"/>
  <c r="N347" i="4"/>
  <c r="O347" i="4" s="1"/>
  <c r="N348" i="4"/>
  <c r="O348" i="4" s="1"/>
  <c r="N349" i="4"/>
  <c r="O349" i="4" s="1"/>
  <c r="N350" i="4"/>
  <c r="O350" i="4" s="1"/>
  <c r="N351" i="4"/>
  <c r="O351" i="4" s="1"/>
  <c r="N352" i="4"/>
  <c r="O352" i="4" s="1"/>
  <c r="N353" i="4"/>
  <c r="O353" i="4" s="1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O474" i="4" s="1"/>
  <c r="N475" i="4"/>
  <c r="O475" i="4" s="1"/>
  <c r="N476" i="4"/>
  <c r="O476" i="4" s="1"/>
  <c r="N477" i="4"/>
  <c r="O477" i="4" s="1"/>
  <c r="N478" i="4"/>
  <c r="O478" i="4" s="1"/>
  <c r="N479" i="4"/>
  <c r="O479" i="4" s="1"/>
  <c r="N480" i="4"/>
  <c r="O480" i="4" s="1"/>
  <c r="N481" i="4"/>
  <c r="O481" i="4" s="1"/>
  <c r="N482" i="4"/>
  <c r="O482" i="4" s="1"/>
  <c r="N483" i="4"/>
  <c r="O483" i="4" s="1"/>
  <c r="N484" i="4"/>
  <c r="O484" i="4" s="1"/>
  <c r="N485" i="4"/>
  <c r="O485" i="4" s="1"/>
  <c r="N486" i="4"/>
  <c r="O486" i="4" s="1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O504" i="4" s="1"/>
  <c r="N505" i="4"/>
  <c r="O505" i="4" s="1"/>
  <c r="N506" i="4"/>
  <c r="O506" i="4" s="1"/>
  <c r="N507" i="4"/>
  <c r="O507" i="4" s="1"/>
  <c r="N508" i="4"/>
  <c r="O508" i="4" s="1"/>
  <c r="N509" i="4"/>
  <c r="O509" i="4" s="1"/>
  <c r="N510" i="4"/>
  <c r="O510" i="4" s="1"/>
  <c r="N511" i="4"/>
  <c r="O511" i="4" s="1"/>
  <c r="N512" i="4"/>
  <c r="O512" i="4" s="1"/>
  <c r="N513" i="4"/>
  <c r="O513" i="4" s="1"/>
  <c r="N514" i="4"/>
  <c r="O514" i="4" s="1"/>
  <c r="N515" i="4"/>
  <c r="O515" i="4" s="1"/>
  <c r="N516" i="4"/>
  <c r="O516" i="4" s="1"/>
  <c r="N517" i="4"/>
  <c r="O517" i="4" s="1"/>
  <c r="N518" i="4"/>
  <c r="O518" i="4" s="1"/>
  <c r="N519" i="4"/>
  <c r="O519" i="4" s="1"/>
  <c r="N520" i="4"/>
  <c r="O520" i="4" s="1"/>
  <c r="N521" i="4"/>
  <c r="O521" i="4" s="1"/>
  <c r="N522" i="4"/>
  <c r="O522" i="4" s="1"/>
  <c r="N523" i="4"/>
  <c r="O523" i="4" s="1"/>
  <c r="N524" i="4"/>
  <c r="O524" i="4" s="1"/>
  <c r="N525" i="4"/>
  <c r="O525" i="4" s="1"/>
  <c r="N526" i="4"/>
  <c r="O526" i="4" s="1"/>
  <c r="N527" i="4"/>
  <c r="O527" i="4" s="1"/>
  <c r="N528" i="4"/>
  <c r="O528" i="4" s="1"/>
  <c r="N529" i="4"/>
  <c r="O529" i="4" s="1"/>
  <c r="N530" i="4"/>
  <c r="O530" i="4" s="1"/>
  <c r="N531" i="4"/>
  <c r="O531" i="4" s="1"/>
  <c r="N532" i="4"/>
  <c r="O532" i="4" s="1"/>
  <c r="N533" i="4"/>
  <c r="O533" i="4" s="1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O564" i="4" s="1"/>
  <c r="N565" i="4"/>
  <c r="O565" i="4" s="1"/>
  <c r="N566" i="4"/>
  <c r="O566" i="4" s="1"/>
  <c r="N567" i="4"/>
  <c r="O567" i="4" s="1"/>
  <c r="N568" i="4"/>
  <c r="O568" i="4" s="1"/>
  <c r="N569" i="4"/>
  <c r="O569" i="4" s="1"/>
  <c r="N570" i="4"/>
  <c r="O570" i="4" s="1"/>
  <c r="N571" i="4"/>
  <c r="O571" i="4" s="1"/>
  <c r="N572" i="4"/>
  <c r="O572" i="4" s="1"/>
  <c r="N573" i="4"/>
  <c r="O573" i="4" s="1"/>
  <c r="N574" i="4"/>
  <c r="O574" i="4" s="1"/>
  <c r="N575" i="4"/>
  <c r="O575" i="4" s="1"/>
  <c r="N576" i="4"/>
  <c r="O576" i="4" s="1"/>
  <c r="N578" i="4"/>
  <c r="O578" i="4" s="1"/>
  <c r="N579" i="4"/>
  <c r="O579" i="4" s="1"/>
  <c r="N580" i="4"/>
  <c r="O580" i="4" s="1"/>
  <c r="N581" i="4"/>
  <c r="O581" i="4" s="1"/>
  <c r="N582" i="4"/>
  <c r="O582" i="4" s="1"/>
  <c r="N583" i="4"/>
  <c r="O583" i="4" s="1"/>
  <c r="N584" i="4"/>
  <c r="N585" i="4"/>
  <c r="N586" i="4"/>
  <c r="N587" i="4"/>
  <c r="N588" i="4"/>
  <c r="N589" i="4"/>
  <c r="N590" i="4"/>
  <c r="N591" i="4"/>
  <c r="N592" i="4"/>
  <c r="N593" i="4"/>
  <c r="N594" i="4"/>
  <c r="N655" i="4"/>
  <c r="O655" i="4" s="1"/>
  <c r="N656" i="4"/>
  <c r="O656" i="4" s="1"/>
  <c r="N657" i="4"/>
  <c r="O657" i="4" s="1"/>
  <c r="N658" i="4"/>
  <c r="O658" i="4" s="1"/>
  <c r="N659" i="4"/>
  <c r="O659" i="4" s="1"/>
  <c r="N660" i="4"/>
  <c r="O660" i="4" s="1"/>
  <c r="N661" i="4"/>
  <c r="O661" i="4" s="1"/>
  <c r="N662" i="4"/>
  <c r="O662" i="4" s="1"/>
  <c r="N663" i="4"/>
  <c r="O663" i="4" s="1"/>
  <c r="N664" i="4"/>
  <c r="O664" i="4" s="1"/>
  <c r="N665" i="4"/>
  <c r="O665" i="4" s="1"/>
  <c r="N666" i="4"/>
  <c r="O666" i="4" s="1"/>
  <c r="N667" i="4"/>
  <c r="O667" i="4" s="1"/>
  <c r="N668" i="4"/>
  <c r="O668" i="4" s="1"/>
  <c r="N669" i="4"/>
  <c r="O669" i="4" s="1"/>
  <c r="N670" i="4"/>
  <c r="O670" i="4" s="1"/>
  <c r="N671" i="4"/>
  <c r="O671" i="4" s="1"/>
  <c r="N672" i="4"/>
  <c r="O672" i="4" s="1"/>
  <c r="N673" i="4"/>
  <c r="O673" i="4" s="1"/>
  <c r="N674" i="4"/>
  <c r="O674" i="4" s="1"/>
  <c r="N675" i="4"/>
  <c r="O675" i="4" s="1"/>
  <c r="N676" i="4"/>
  <c r="O676" i="4" s="1"/>
  <c r="N677" i="4"/>
  <c r="O677" i="4" s="1"/>
  <c r="N678" i="4"/>
  <c r="O678" i="4" s="1"/>
  <c r="N679" i="4"/>
  <c r="O679" i="4" s="1"/>
  <c r="N680" i="4"/>
  <c r="O680" i="4" s="1"/>
  <c r="N681" i="4"/>
  <c r="O681" i="4" s="1"/>
  <c r="N682" i="4"/>
  <c r="O682" i="4" s="1"/>
  <c r="N683" i="4"/>
  <c r="O683" i="4" s="1"/>
  <c r="N684" i="4"/>
  <c r="O684" i="4" s="1"/>
  <c r="N685" i="4"/>
  <c r="O685" i="4" s="1"/>
  <c r="N686" i="4"/>
  <c r="O686" i="4" s="1"/>
  <c r="N687" i="4"/>
  <c r="O687" i="4" s="1"/>
  <c r="N688" i="4"/>
  <c r="O688" i="4" s="1"/>
  <c r="N689" i="4"/>
  <c r="O689" i="4" s="1"/>
  <c r="N690" i="4"/>
  <c r="O690" i="4" s="1"/>
  <c r="N691" i="4"/>
  <c r="O691" i="4" s="1"/>
  <c r="N692" i="4"/>
  <c r="O692" i="4" s="1"/>
  <c r="N693" i="4"/>
  <c r="O693" i="4" s="1"/>
  <c r="N694" i="4"/>
  <c r="O694" i="4" s="1"/>
  <c r="N695" i="4"/>
  <c r="O695" i="4" s="1"/>
  <c r="N696" i="4"/>
  <c r="O696" i="4" s="1"/>
  <c r="N697" i="4"/>
  <c r="O697" i="4" s="1"/>
  <c r="N698" i="4"/>
  <c r="O698" i="4" s="1"/>
  <c r="N699" i="4"/>
  <c r="O699" i="4" s="1"/>
  <c r="N700" i="4"/>
  <c r="O700" i="4" s="1"/>
  <c r="N701" i="4"/>
  <c r="O701" i="4" s="1"/>
  <c r="N702" i="4"/>
  <c r="O702" i="4" s="1"/>
  <c r="N703" i="4"/>
  <c r="O703" i="4" s="1"/>
  <c r="N704" i="4"/>
  <c r="O704" i="4" s="1"/>
  <c r="N705" i="4"/>
  <c r="O705" i="4" s="1"/>
  <c r="N706" i="4"/>
  <c r="O706" i="4" s="1"/>
  <c r="N707" i="4"/>
  <c r="O707" i="4" s="1"/>
  <c r="N708" i="4"/>
  <c r="O708" i="4" s="1"/>
  <c r="N709" i="4"/>
  <c r="O709" i="4" s="1"/>
  <c r="N710" i="4"/>
  <c r="O710" i="4" s="1"/>
  <c r="N711" i="4"/>
  <c r="O711" i="4" s="1"/>
  <c r="N712" i="4"/>
  <c r="O712" i="4" s="1"/>
  <c r="N713" i="4"/>
  <c r="O713" i="4" s="1"/>
  <c r="N714" i="4"/>
  <c r="O714" i="4" s="1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O790" i="4" s="1"/>
  <c r="N791" i="4"/>
  <c r="O791" i="4" s="1"/>
  <c r="N792" i="4"/>
  <c r="O792" i="4" s="1"/>
  <c r="N793" i="4"/>
  <c r="O793" i="4" s="1"/>
  <c r="N794" i="4"/>
  <c r="O794" i="4" s="1"/>
  <c r="N795" i="4"/>
  <c r="O795" i="4" s="1"/>
  <c r="N796" i="4"/>
  <c r="O796" i="4" s="1"/>
  <c r="N797" i="4"/>
  <c r="O797" i="4" s="1"/>
  <c r="N798" i="4"/>
  <c r="O798" i="4" s="1"/>
  <c r="N799" i="4"/>
  <c r="O799" i="4" s="1"/>
  <c r="N800" i="4"/>
  <c r="O800" i="4" s="1"/>
  <c r="N801" i="4"/>
  <c r="O801" i="4" s="1"/>
  <c r="N802" i="4"/>
  <c r="O802" i="4" s="1"/>
  <c r="N803" i="4"/>
  <c r="O803" i="4" s="1"/>
  <c r="N804" i="4"/>
  <c r="O804" i="4" s="1"/>
  <c r="N811" i="4"/>
  <c r="O811" i="4" s="1"/>
  <c r="N812" i="4"/>
  <c r="O812" i="4" s="1"/>
  <c r="N813" i="4"/>
  <c r="O813" i="4" s="1"/>
  <c r="N814" i="4"/>
  <c r="O814" i="4" s="1"/>
  <c r="N815" i="4"/>
  <c r="O815" i="4" s="1"/>
  <c r="N816" i="4"/>
  <c r="O816" i="4" s="1"/>
  <c r="N817" i="4"/>
  <c r="O817" i="4" s="1"/>
  <c r="N818" i="4"/>
  <c r="O818" i="4" s="1"/>
  <c r="N819" i="4"/>
  <c r="O819" i="4" s="1"/>
  <c r="N820" i="4"/>
  <c r="O820" i="4" s="1"/>
  <c r="N821" i="4"/>
  <c r="O821" i="4" s="1"/>
  <c r="N822" i="4"/>
  <c r="O822" i="4" s="1"/>
  <c r="N823" i="4"/>
  <c r="O823" i="4" s="1"/>
  <c r="N824" i="4"/>
  <c r="O824" i="4" s="1"/>
  <c r="N825" i="4"/>
  <c r="O825" i="4" s="1"/>
  <c r="N826" i="4"/>
  <c r="O826" i="4" s="1"/>
  <c r="N827" i="4"/>
  <c r="O827" i="4" s="1"/>
  <c r="N828" i="4"/>
  <c r="O828" i="4" s="1"/>
  <c r="N829" i="4"/>
  <c r="O829" i="4" s="1"/>
  <c r="N830" i="4"/>
  <c r="O830" i="4" s="1"/>
  <c r="N831" i="4"/>
  <c r="O831" i="4" s="1"/>
  <c r="N832" i="4"/>
  <c r="O832" i="4" s="1"/>
  <c r="N833" i="4"/>
  <c r="O833" i="4" s="1"/>
  <c r="N834" i="4"/>
  <c r="O834" i="4" s="1"/>
  <c r="N835" i="4"/>
  <c r="N836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6" i="4"/>
  <c r="N1117" i="4"/>
  <c r="N1118" i="4"/>
  <c r="N1119" i="4"/>
  <c r="N1120" i="4"/>
  <c r="N1121" i="4"/>
  <c r="N1123" i="4"/>
  <c r="N1125" i="4"/>
  <c r="N1126" i="4"/>
  <c r="N1127" i="4"/>
  <c r="N1128" i="4"/>
  <c r="N1129" i="4"/>
  <c r="N1131" i="4"/>
  <c r="N1132" i="4"/>
  <c r="N1133" i="4"/>
  <c r="N1135" i="4"/>
  <c r="N1136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O1169" i="4" s="1"/>
  <c r="N1170" i="4"/>
  <c r="O1170" i="4" s="1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3" i="4"/>
  <c r="N1755" i="4"/>
  <c r="N1756" i="4"/>
  <c r="N1758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8" i="4"/>
  <c r="N2249" i="4"/>
  <c r="N2250" i="4"/>
  <c r="N2251" i="4"/>
  <c r="N2252" i="4"/>
  <c r="N2254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O2448" i="4" s="1"/>
  <c r="N2449" i="4"/>
  <c r="O2449" i="4" s="1"/>
  <c r="N2450" i="4"/>
  <c r="O2450" i="4" s="1"/>
  <c r="N2451" i="4"/>
  <c r="O2451" i="4" s="1"/>
  <c r="N2452" i="4"/>
  <c r="O2452" i="4" s="1"/>
  <c r="N2453" i="4"/>
  <c r="O2453" i="4" s="1"/>
  <c r="N2454" i="4"/>
  <c r="O2454" i="4" s="1"/>
  <c r="N2455" i="4"/>
  <c r="O2455" i="4" s="1"/>
  <c r="N2456" i="4"/>
  <c r="O2456" i="4" s="1"/>
  <c r="N2457" i="4"/>
  <c r="O2457" i="4" s="1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O2477" i="4" s="1"/>
  <c r="N2478" i="4"/>
  <c r="O2478" i="4" s="1"/>
  <c r="N2479" i="4"/>
  <c r="N2480" i="4"/>
  <c r="O2480" i="4" s="1"/>
  <c r="N2482" i="4"/>
  <c r="O2482" i="4" s="1"/>
  <c r="N2483" i="4"/>
  <c r="O2483" i="4" s="1"/>
  <c r="N2485" i="4"/>
  <c r="O2485" i="4" s="1"/>
  <c r="N2486" i="4"/>
  <c r="O2486" i="4" s="1"/>
  <c r="N2487" i="4"/>
  <c r="O2487" i="4" s="1"/>
  <c r="N2488" i="4"/>
  <c r="O2488" i="4" s="1"/>
  <c r="N2489" i="4"/>
  <c r="O2489" i="4" s="1"/>
  <c r="N2490" i="4"/>
  <c r="O2490" i="4" s="1"/>
  <c r="N2491" i="4"/>
  <c r="O2491" i="4" s="1"/>
  <c r="N2492" i="4"/>
  <c r="O2492" i="4" s="1"/>
  <c r="N2493" i="4"/>
  <c r="O2493" i="4" s="1"/>
  <c r="N2494" i="4"/>
  <c r="O2494" i="4" s="1"/>
  <c r="N2495" i="4"/>
  <c r="O2495" i="4" s="1"/>
  <c r="N2496" i="4"/>
  <c r="O2496" i="4" s="1"/>
  <c r="N2497" i="4"/>
  <c r="O2497" i="4" s="1"/>
  <c r="N2498" i="4"/>
  <c r="O2498" i="4" s="1"/>
  <c r="N2499" i="4"/>
  <c r="O2499" i="4" s="1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O2885" i="4" s="1"/>
  <c r="N2886" i="4"/>
  <c r="O2886" i="4" s="1"/>
  <c r="N2887" i="4"/>
  <c r="O2887" i="4" s="1"/>
  <c r="N2888" i="4"/>
  <c r="O2888" i="4" s="1"/>
  <c r="N2889" i="4"/>
  <c r="O2889" i="4" s="1"/>
  <c r="N2890" i="4"/>
  <c r="O2890" i="4" s="1"/>
  <c r="N2891" i="4"/>
  <c r="O2891" i="4" s="1"/>
  <c r="N2892" i="4"/>
  <c r="O2892" i="4" s="1"/>
  <c r="N2893" i="4"/>
  <c r="O2893" i="4" s="1"/>
  <c r="N2894" i="4"/>
  <c r="O2894" i="4" s="1"/>
  <c r="N2895" i="4"/>
  <c r="O2895" i="4" s="1"/>
  <c r="N2896" i="4"/>
  <c r="O2896" i="4" s="1"/>
  <c r="N2897" i="4"/>
  <c r="O2897" i="4" s="1"/>
  <c r="N2898" i="4"/>
  <c r="O2898" i="4" s="1"/>
  <c r="N2899" i="4"/>
  <c r="O2899" i="4" s="1"/>
  <c r="N2900" i="4"/>
  <c r="O2900" i="4" s="1"/>
  <c r="N2901" i="4"/>
  <c r="O2901" i="4" s="1"/>
  <c r="N2902" i="4"/>
  <c r="O2902" i="4" s="1"/>
  <c r="N2903" i="4"/>
  <c r="O2903" i="4" s="1"/>
  <c r="N2904" i="4"/>
  <c r="O2904" i="4" s="1"/>
  <c r="N2905" i="4"/>
  <c r="N2906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O3015" i="4" s="1"/>
  <c r="N3016" i="4"/>
  <c r="O3016" i="4" s="1"/>
  <c r="N3017" i="4"/>
  <c r="O3017" i="4" s="1"/>
  <c r="N3018" i="4"/>
  <c r="O3018" i="4" s="1"/>
  <c r="N3019" i="4"/>
  <c r="O3019" i="4" s="1"/>
  <c r="N3020" i="4"/>
  <c r="N3021" i="4"/>
  <c r="O3021" i="4" s="1"/>
  <c r="N3022" i="4"/>
  <c r="O3022" i="4" s="1"/>
  <c r="N3023" i="4"/>
  <c r="O3023" i="4" s="1"/>
  <c r="N3024" i="4"/>
  <c r="O3024" i="4" s="1"/>
  <c r="N3025" i="4"/>
  <c r="O3025" i="4" s="1"/>
  <c r="N3026" i="4"/>
  <c r="N3027" i="4"/>
  <c r="O3027" i="4" s="1"/>
  <c r="N3028" i="4"/>
  <c r="O3028" i="4" s="1"/>
  <c r="N3029" i="4"/>
  <c r="O3029" i="4" s="1"/>
  <c r="N3030" i="4"/>
  <c r="O3030" i="4" s="1"/>
  <c r="N3031" i="4"/>
  <c r="O3031" i="4" s="1"/>
  <c r="N3032" i="4"/>
  <c r="O3032" i="4" s="1"/>
  <c r="N3033" i="4"/>
  <c r="O3033" i="4" s="1"/>
  <c r="N3034" i="4"/>
  <c r="O3034" i="4" s="1"/>
  <c r="N3035" i="4"/>
  <c r="N3036" i="4"/>
  <c r="N3037" i="4"/>
  <c r="N3038" i="4"/>
  <c r="O3038" i="4" s="1"/>
  <c r="N3039" i="4"/>
  <c r="O3039" i="4" s="1"/>
  <c r="N3040" i="4"/>
  <c r="O3040" i="4" s="1"/>
  <c r="N3041" i="4"/>
  <c r="O3041" i="4" s="1"/>
  <c r="N3042" i="4"/>
  <c r="O3042" i="4" s="1"/>
  <c r="N3043" i="4"/>
  <c r="N3044" i="4"/>
  <c r="N3045" i="4"/>
  <c r="O3045" i="4" s="1"/>
  <c r="N3046" i="4"/>
  <c r="O3046" i="4" s="1"/>
  <c r="N3047" i="4"/>
  <c r="O3047" i="4" s="1"/>
  <c r="N3048" i="4"/>
  <c r="O3048" i="4" s="1"/>
  <c r="N3049" i="4"/>
  <c r="O3049" i="4" s="1"/>
  <c r="N3050" i="4"/>
  <c r="O3050" i="4" s="1"/>
  <c r="N3051" i="4"/>
  <c r="O3051" i="4" s="1"/>
  <c r="N3052" i="4"/>
  <c r="O3052" i="4" s="1"/>
  <c r="N3053" i="4"/>
  <c r="O3053" i="4" s="1"/>
  <c r="N3054" i="4"/>
  <c r="O3054" i="4" s="1"/>
  <c r="N3055" i="4"/>
  <c r="O3055" i="4" s="1"/>
  <c r="N3056" i="4"/>
  <c r="O3056" i="4" s="1"/>
  <c r="N3057" i="4"/>
  <c r="O3057" i="4" s="1"/>
  <c r="N3058" i="4"/>
  <c r="O3058" i="4" s="1"/>
  <c r="N3059" i="4"/>
  <c r="O3059" i="4" s="1"/>
  <c r="N3060" i="4"/>
  <c r="O3060" i="4" s="1"/>
  <c r="N3061" i="4"/>
  <c r="O3061" i="4" s="1"/>
  <c r="N3062" i="4"/>
  <c r="O3062" i="4" s="1"/>
  <c r="N3063" i="4"/>
  <c r="O3063" i="4" s="1"/>
  <c r="N3064" i="4"/>
  <c r="O3064" i="4" s="1"/>
  <c r="N3065" i="4"/>
  <c r="O3065" i="4" s="1"/>
  <c r="N3066" i="4"/>
  <c r="O3066" i="4" s="1"/>
  <c r="N3067" i="4"/>
  <c r="O3067" i="4" s="1"/>
  <c r="N3068" i="4"/>
  <c r="O3068" i="4" s="1"/>
  <c r="N3069" i="4"/>
  <c r="O3069" i="4" s="1"/>
  <c r="N3070" i="4"/>
  <c r="O3070" i="4" s="1"/>
  <c r="N3071" i="4"/>
  <c r="O3071" i="4" s="1"/>
  <c r="N3072" i="4"/>
  <c r="O3072" i="4" s="1"/>
  <c r="N3073" i="4"/>
  <c r="O3073" i="4" s="1"/>
  <c r="N3074" i="4"/>
  <c r="O3074" i="4" s="1"/>
  <c r="N3075" i="4"/>
  <c r="O3075" i="4" s="1"/>
  <c r="N3076" i="4"/>
  <c r="O3076" i="4" s="1"/>
  <c r="N3077" i="4"/>
  <c r="O3077" i="4" s="1"/>
  <c r="N3078" i="4"/>
  <c r="O3078" i="4" s="1"/>
  <c r="N3079" i="4"/>
  <c r="O3079" i="4" s="1"/>
  <c r="N3080" i="4"/>
  <c r="O3080" i="4" s="1"/>
  <c r="N3081" i="4"/>
  <c r="O3081" i="4" s="1"/>
  <c r="N3082" i="4"/>
  <c r="O3082" i="4" s="1"/>
  <c r="N3083" i="4"/>
  <c r="O3083" i="4" s="1"/>
  <c r="N3084" i="4"/>
  <c r="O3084" i="4" s="1"/>
  <c r="N3085" i="4"/>
  <c r="O3085" i="4" s="1"/>
  <c r="N3086" i="4"/>
  <c r="O3086" i="4" s="1"/>
  <c r="N3087" i="4"/>
  <c r="O3087" i="4" s="1"/>
  <c r="N3088" i="4"/>
  <c r="O3088" i="4" s="1"/>
  <c r="N3089" i="4"/>
  <c r="O3089" i="4" s="1"/>
  <c r="N3090" i="4"/>
  <c r="O3090" i="4" s="1"/>
  <c r="N3091" i="4"/>
  <c r="O3091" i="4" s="1"/>
  <c r="N3092" i="4"/>
  <c r="O3092" i="4" s="1"/>
  <c r="N3093" i="4"/>
  <c r="O3093" i="4" s="1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O3105" i="4" s="1"/>
  <c r="N3106" i="4"/>
  <c r="O3106" i="4" s="1"/>
  <c r="N3107" i="4"/>
  <c r="O3107" i="4" s="1"/>
  <c r="N3108" i="4"/>
  <c r="O3108" i="4" s="1"/>
  <c r="N3109" i="4"/>
  <c r="O3109" i="4" s="1"/>
  <c r="N3110" i="4"/>
  <c r="O3110" i="4" s="1"/>
  <c r="N3111" i="4"/>
  <c r="O3111" i="4" s="1"/>
  <c r="N3112" i="4"/>
  <c r="O3112" i="4" s="1"/>
  <c r="N3113" i="4"/>
  <c r="O3113" i="4" s="1"/>
  <c r="N3114" i="4"/>
  <c r="O3114" i="4" s="1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O3135" i="4" s="1"/>
  <c r="N3136" i="4"/>
  <c r="O3136" i="4" s="1"/>
  <c r="N3137" i="4"/>
  <c r="O3137" i="4" s="1"/>
  <c r="N3138" i="4"/>
  <c r="O3138" i="4" s="1"/>
  <c r="N3139" i="4"/>
  <c r="O3139" i="4" s="1"/>
  <c r="N3140" i="4"/>
  <c r="O3140" i="4" s="1"/>
  <c r="N3141" i="4"/>
  <c r="O3141" i="4" s="1"/>
  <c r="N3142" i="4"/>
  <c r="O3142" i="4" s="1"/>
  <c r="N3143" i="4"/>
  <c r="O3143" i="4" s="1"/>
  <c r="N3144" i="4"/>
  <c r="O3144" i="4" s="1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515" i="4"/>
  <c r="N3516" i="4"/>
  <c r="N3517" i="4"/>
  <c r="N3518" i="4"/>
  <c r="N3519" i="4"/>
  <c r="N3520" i="4"/>
  <c r="N3521" i="4"/>
  <c r="N3522" i="4"/>
  <c r="N3523" i="4"/>
  <c r="N3524" i="4"/>
  <c r="N3538" i="4"/>
  <c r="O3538" i="4" s="1"/>
  <c r="N3539" i="4"/>
  <c r="O3539" i="4" s="1"/>
  <c r="N3540" i="4"/>
  <c r="O3540" i="4" s="1"/>
  <c r="N3541" i="4"/>
  <c r="O3541" i="4" s="1"/>
  <c r="N3542" i="4"/>
  <c r="O3542" i="4" s="1"/>
  <c r="N3543" i="4"/>
  <c r="O3543" i="4" s="1"/>
  <c r="N3544" i="4"/>
  <c r="O3544" i="4" s="1"/>
  <c r="N3545" i="4"/>
  <c r="O3545" i="4" s="1"/>
  <c r="N3546" i="4"/>
  <c r="O3546" i="4" s="1"/>
  <c r="N3547" i="4"/>
  <c r="O3547" i="4" s="1"/>
  <c r="N3548" i="4"/>
  <c r="O3548" i="4" s="1"/>
  <c r="N3549" i="4"/>
  <c r="O3549" i="4" s="1"/>
  <c r="N3550" i="4"/>
  <c r="O3550" i="4" s="1"/>
  <c r="N3551" i="4"/>
  <c r="O3551" i="4" s="1"/>
  <c r="N3552" i="4"/>
  <c r="O3552" i="4" s="1"/>
  <c r="N3553" i="4"/>
  <c r="O3553" i="4" s="1"/>
  <c r="N3554" i="4"/>
  <c r="O3554" i="4" s="1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O3715" i="4" s="1"/>
  <c r="N3716" i="4"/>
  <c r="O3716" i="4" s="1"/>
  <c r="N3717" i="4"/>
  <c r="O3717" i="4" s="1"/>
  <c r="N3718" i="4"/>
  <c r="O3718" i="4" s="1"/>
  <c r="N3719" i="4"/>
  <c r="O3719" i="4" s="1"/>
  <c r="N3720" i="4"/>
  <c r="O3720" i="4" s="1"/>
  <c r="N3721" i="4"/>
  <c r="O3721" i="4" s="1"/>
  <c r="N3722" i="4"/>
  <c r="O3722" i="4" s="1"/>
  <c r="N3723" i="4"/>
  <c r="O3723" i="4" s="1"/>
  <c r="N3724" i="4"/>
  <c r="O3724" i="4" s="1"/>
  <c r="N3725" i="4"/>
  <c r="O3725" i="4" s="1"/>
  <c r="N3726" i="4"/>
  <c r="O3726" i="4" s="1"/>
  <c r="N3727" i="4"/>
  <c r="O3727" i="4" s="1"/>
  <c r="N3728" i="4"/>
  <c r="O3728" i="4" s="1"/>
  <c r="N3729" i="4"/>
  <c r="O3729" i="4" s="1"/>
  <c r="N3730" i="4"/>
  <c r="O3730" i="4" s="1"/>
  <c r="N3731" i="4"/>
  <c r="O3731" i="4" s="1"/>
  <c r="N3732" i="4"/>
  <c r="O3732" i="4" s="1"/>
  <c r="N3733" i="4"/>
  <c r="O3733" i="4" s="1"/>
  <c r="N3734" i="4"/>
  <c r="O3734" i="4" s="1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O3775" i="4" s="1"/>
  <c r="N3776" i="4"/>
  <c r="O3776" i="4" s="1"/>
  <c r="N3777" i="4"/>
  <c r="O3777" i="4" s="1"/>
  <c r="N3778" i="4"/>
  <c r="O3778" i="4" s="1"/>
  <c r="N3779" i="4"/>
  <c r="O3779" i="4" s="1"/>
  <c r="N3780" i="4"/>
  <c r="O3780" i="4" s="1"/>
  <c r="N3781" i="4"/>
  <c r="O3781" i="4" s="1"/>
  <c r="N3782" i="4"/>
  <c r="O3782" i="4" s="1"/>
  <c r="N3783" i="4"/>
  <c r="O3783" i="4" s="1"/>
  <c r="N3784" i="4"/>
  <c r="O3784" i="4" s="1"/>
  <c r="N3785" i="4"/>
  <c r="O3785" i="4" s="1"/>
  <c r="N3786" i="4"/>
  <c r="O3786" i="4" s="1"/>
  <c r="N3787" i="4"/>
  <c r="O3787" i="4" s="1"/>
  <c r="N3788" i="4"/>
  <c r="O3788" i="4" s="1"/>
  <c r="N3789" i="4"/>
  <c r="O3789" i="4" s="1"/>
  <c r="N3790" i="4"/>
  <c r="O3790" i="4" s="1"/>
  <c r="N3791" i="4"/>
  <c r="O3791" i="4" s="1"/>
  <c r="N3792" i="4"/>
  <c r="O3792" i="4" s="1"/>
  <c r="N3793" i="4"/>
  <c r="O3793" i="4" s="1"/>
  <c r="N3794" i="4"/>
  <c r="O3794" i="4" s="1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909" i="4"/>
  <c r="N3910" i="4"/>
  <c r="N3911" i="4"/>
  <c r="N3912" i="4"/>
  <c r="N3913" i="4"/>
  <c r="N391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O3938" i="4" s="1"/>
  <c r="N3939" i="4"/>
  <c r="O3939" i="4" s="1"/>
  <c r="N3940" i="4"/>
  <c r="N3941" i="4"/>
  <c r="O3941" i="4" s="1"/>
  <c r="N3942" i="4"/>
  <c r="N3943" i="4"/>
  <c r="N3944" i="4"/>
  <c r="O3944" i="4" s="1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O3966" i="4" s="1"/>
  <c r="N3967" i="4"/>
  <c r="O3967" i="4" s="1"/>
  <c r="N3968" i="4"/>
  <c r="N3969" i="4"/>
  <c r="N3970" i="4"/>
  <c r="O3970" i="4" s="1"/>
  <c r="N3971" i="4"/>
  <c r="O3971" i="4" s="1"/>
  <c r="N3972" i="4"/>
  <c r="O3972" i="4" s="1"/>
  <c r="N3973" i="4"/>
  <c r="O3973" i="4" s="1"/>
  <c r="N3974" i="4"/>
  <c r="O3974" i="4" s="1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O4005" i="4" s="1"/>
  <c r="N4006" i="4"/>
  <c r="O4006" i="4" s="1"/>
  <c r="N4007" i="4"/>
  <c r="O4007" i="4" s="1"/>
  <c r="N4008" i="4"/>
  <c r="O4008" i="4" s="1"/>
  <c r="N4009" i="4"/>
  <c r="O4009" i="4" s="1"/>
  <c r="N4010" i="4"/>
  <c r="O4010" i="4" s="1"/>
  <c r="N4011" i="4"/>
  <c r="O4011" i="4" s="1"/>
  <c r="N4012" i="4"/>
  <c r="O4012" i="4" s="1"/>
  <c r="N4013" i="4"/>
  <c r="O4013" i="4" s="1"/>
  <c r="N4014" i="4"/>
  <c r="O4014" i="4" s="1"/>
  <c r="N4015" i="4"/>
  <c r="O4015" i="4" s="1"/>
  <c r="N4016" i="4"/>
  <c r="O4016" i="4" s="1"/>
  <c r="N4017" i="4"/>
  <c r="O4017" i="4" s="1"/>
  <c r="N4018" i="4"/>
  <c r="O4018" i="4" s="1"/>
  <c r="N4019" i="4"/>
  <c r="O4019" i="4" s="1"/>
  <c r="N4020" i="4"/>
  <c r="O4020" i="4" s="1"/>
  <c r="N4021" i="4"/>
  <c r="O4021" i="4" s="1"/>
  <c r="N4022" i="4"/>
  <c r="O4022" i="4" s="1"/>
  <c r="N4023" i="4"/>
  <c r="O4023" i="4" s="1"/>
  <c r="N4024" i="4"/>
  <c r="O4024" i="4" s="1"/>
  <c r="N4025" i="4"/>
  <c r="O4025" i="4" s="1"/>
  <c r="N4026" i="4"/>
  <c r="O4026" i="4" s="1"/>
  <c r="N4027" i="4"/>
  <c r="O4027" i="4" s="1"/>
  <c r="N4028" i="4"/>
  <c r="O4028" i="4" s="1"/>
  <c r="N4029" i="4"/>
  <c r="O4029" i="4" s="1"/>
  <c r="N4030" i="4"/>
  <c r="O4030" i="4" s="1"/>
  <c r="N4031" i="4"/>
  <c r="O4031" i="4" s="1"/>
  <c r="N4032" i="4"/>
  <c r="O4032" i="4" s="1"/>
  <c r="N4033" i="4"/>
  <c r="N403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T3975" i="4" l="1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T3909" i="4"/>
  <c r="T3910" i="4"/>
  <c r="T3911" i="4"/>
  <c r="T3912" i="4"/>
  <c r="T3913" i="4"/>
  <c r="T3914" i="4"/>
  <c r="U3909" i="4"/>
  <c r="U3910" i="4"/>
  <c r="U3911" i="4"/>
  <c r="U3912" i="4"/>
  <c r="U3913" i="4"/>
  <c r="U3914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A2" i="11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T3755" i="4"/>
  <c r="T3756" i="4"/>
  <c r="T3757" i="4"/>
  <c r="T3758" i="4"/>
  <c r="T3759" i="4"/>
  <c r="T3760" i="4"/>
  <c r="T3761" i="4"/>
  <c r="T3762" i="4"/>
  <c r="T3763" i="4"/>
  <c r="T3764" i="4"/>
  <c r="U3755" i="4"/>
  <c r="U3756" i="4"/>
  <c r="U3757" i="4"/>
  <c r="U3758" i="4"/>
  <c r="U3759" i="4"/>
  <c r="U3760" i="4"/>
  <c r="U3761" i="4"/>
  <c r="U3762" i="4"/>
  <c r="U3763" i="4"/>
  <c r="U376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T3515" i="4"/>
  <c r="T3516" i="4"/>
  <c r="T3517" i="4"/>
  <c r="T3518" i="4"/>
  <c r="T3519" i="4"/>
  <c r="T3520" i="4"/>
  <c r="T3521" i="4"/>
  <c r="T3522" i="4"/>
  <c r="T3523" i="4"/>
  <c r="T3524" i="4"/>
  <c r="U3515" i="4"/>
  <c r="U3516" i="4"/>
  <c r="U3517" i="4"/>
  <c r="U3518" i="4"/>
  <c r="U3519" i="4"/>
  <c r="U3520" i="4"/>
  <c r="U3521" i="4"/>
  <c r="U3522" i="4"/>
  <c r="U3523" i="4"/>
  <c r="U3524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T3345" i="4" l="1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T3195" i="4" l="1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T2805" i="4"/>
  <c r="U2805" i="4"/>
  <c r="T2779" i="4"/>
  <c r="U2779" i="4"/>
  <c r="T2775" i="4"/>
  <c r="T2776" i="4"/>
  <c r="T2777" i="4"/>
  <c r="T2778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U2775" i="4"/>
  <c r="U2776" i="4"/>
  <c r="U2777" i="4"/>
  <c r="U2778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T2665" i="4"/>
  <c r="U2665" i="4"/>
  <c r="T2666" i="4"/>
  <c r="U2666" i="4"/>
  <c r="T2667" i="4"/>
  <c r="U2667" i="4"/>
  <c r="T2668" i="4"/>
  <c r="U2668" i="4"/>
  <c r="T2669" i="4"/>
  <c r="U2669" i="4"/>
  <c r="T2670" i="4"/>
  <c r="U2670" i="4"/>
  <c r="T2671" i="4"/>
  <c r="U2671" i="4"/>
  <c r="T2672" i="4"/>
  <c r="U2672" i="4"/>
  <c r="T2673" i="4"/>
  <c r="U2673" i="4"/>
  <c r="T2674" i="4"/>
  <c r="U2674" i="4"/>
  <c r="T2675" i="4"/>
  <c r="U2675" i="4"/>
  <c r="T2676" i="4"/>
  <c r="U2676" i="4"/>
  <c r="T2677" i="4"/>
  <c r="U2677" i="4"/>
  <c r="T2678" i="4"/>
  <c r="U2678" i="4"/>
  <c r="T2679" i="4"/>
  <c r="U2679" i="4"/>
  <c r="T2680" i="4"/>
  <c r="U2680" i="4"/>
  <c r="T2681" i="4"/>
  <c r="U2681" i="4"/>
  <c r="T2682" i="4"/>
  <c r="U2682" i="4"/>
  <c r="T2683" i="4"/>
  <c r="U2683" i="4"/>
  <c r="T2684" i="4"/>
  <c r="U2684" i="4"/>
  <c r="T2655" i="4"/>
  <c r="T2656" i="4"/>
  <c r="T2657" i="4"/>
  <c r="T2658" i="4"/>
  <c r="T2659" i="4"/>
  <c r="T2660" i="4"/>
  <c r="T2661" i="4"/>
  <c r="T2662" i="4"/>
  <c r="T2663" i="4"/>
  <c r="T2664" i="4"/>
  <c r="U2655" i="4"/>
  <c r="U2656" i="4"/>
  <c r="U2657" i="4"/>
  <c r="U2658" i="4"/>
  <c r="U2659" i="4"/>
  <c r="U2660" i="4"/>
  <c r="U2661" i="4"/>
  <c r="U2662" i="4"/>
  <c r="U2663" i="4"/>
  <c r="U266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2" i="4"/>
  <c r="T2483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U2468" i="4"/>
  <c r="U2469" i="4"/>
  <c r="U2470" i="4"/>
  <c r="U2471" i="4"/>
  <c r="U2472" i="4"/>
  <c r="U2473" i="4"/>
  <c r="U2474" i="4"/>
  <c r="U2475" i="4"/>
  <c r="U2476" i="4"/>
  <c r="U2477" i="4"/>
  <c r="U2478" i="4"/>
  <c r="U2479" i="4"/>
  <c r="U2480" i="4"/>
  <c r="U2482" i="4"/>
  <c r="U2483" i="4"/>
  <c r="U2485" i="4"/>
  <c r="U2486" i="4"/>
  <c r="U2487" i="4"/>
  <c r="U2488" i="4"/>
  <c r="U2489" i="4"/>
  <c r="U2490" i="4"/>
  <c r="U2491" i="4"/>
  <c r="U2492" i="4"/>
  <c r="U2493" i="4"/>
  <c r="U2494" i="4"/>
  <c r="U2495" i="4"/>
  <c r="U2496" i="4"/>
  <c r="U2497" i="4"/>
  <c r="U2498" i="4"/>
  <c r="U2499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U2438" i="4"/>
  <c r="U2439" i="4"/>
  <c r="U2440" i="4"/>
  <c r="U2441" i="4"/>
  <c r="U2442" i="4"/>
  <c r="U2443" i="4"/>
  <c r="U2444" i="4"/>
  <c r="U2445" i="4"/>
  <c r="U2446" i="4"/>
  <c r="U2447" i="4"/>
  <c r="U2448" i="4"/>
  <c r="U2449" i="4"/>
  <c r="U2450" i="4"/>
  <c r="U2451" i="4"/>
  <c r="U2452" i="4"/>
  <c r="U2453" i="4"/>
  <c r="U2454" i="4"/>
  <c r="U2455" i="4"/>
  <c r="U2456" i="4"/>
  <c r="U2457" i="4"/>
  <c r="U2458" i="4"/>
  <c r="U2459" i="4"/>
  <c r="U2460" i="4"/>
  <c r="U2461" i="4"/>
  <c r="U2462" i="4"/>
  <c r="U2463" i="4"/>
  <c r="U2464" i="4"/>
  <c r="U2465" i="4"/>
  <c r="U2466" i="4"/>
  <c r="U246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U2408" i="4"/>
  <c r="U2409" i="4"/>
  <c r="U2410" i="4"/>
  <c r="U2411" i="4"/>
  <c r="U2412" i="4"/>
  <c r="U2413" i="4"/>
  <c r="U2414" i="4"/>
  <c r="U2415" i="4"/>
  <c r="U2416" i="4"/>
  <c r="U2417" i="4"/>
  <c r="U2418" i="4"/>
  <c r="U2419" i="4"/>
  <c r="U2420" i="4"/>
  <c r="U2421" i="4"/>
  <c r="U2422" i="4"/>
  <c r="U2423" i="4"/>
  <c r="U2424" i="4"/>
  <c r="U2425" i="4"/>
  <c r="U2426" i="4"/>
  <c r="U2427" i="4"/>
  <c r="U2428" i="4"/>
  <c r="U2429" i="4"/>
  <c r="U2430" i="4"/>
  <c r="U2431" i="4"/>
  <c r="U2432" i="4"/>
  <c r="U2433" i="4"/>
  <c r="U2434" i="4"/>
  <c r="U2435" i="4"/>
  <c r="U2436" i="4"/>
  <c r="U243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U2348" i="4"/>
  <c r="U2349" i="4"/>
  <c r="U2350" i="4"/>
  <c r="U2351" i="4"/>
  <c r="U2352" i="4"/>
  <c r="U2353" i="4"/>
  <c r="U2354" i="4"/>
  <c r="U2355" i="4"/>
  <c r="U2356" i="4"/>
  <c r="U2357" i="4"/>
  <c r="U2358" i="4"/>
  <c r="U2359" i="4"/>
  <c r="U2360" i="4"/>
  <c r="U2361" i="4"/>
  <c r="U2362" i="4"/>
  <c r="U2363" i="4"/>
  <c r="U2364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337" i="4"/>
  <c r="U2338" i="4"/>
  <c r="U2339" i="4"/>
  <c r="U2340" i="4"/>
  <c r="U2341" i="4"/>
  <c r="U2342" i="4"/>
  <c r="U2343" i="4"/>
  <c r="U2344" i="4"/>
  <c r="U2345" i="4"/>
  <c r="U2346" i="4"/>
  <c r="U234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8" i="4"/>
  <c r="T2249" i="4"/>
  <c r="T2250" i="4"/>
  <c r="T2251" i="4"/>
  <c r="T2252" i="4"/>
  <c r="T2254" i="4"/>
  <c r="T2256" i="4"/>
  <c r="T2257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8" i="4"/>
  <c r="U2249" i="4"/>
  <c r="U2250" i="4"/>
  <c r="U2251" i="4"/>
  <c r="U2252" i="4"/>
  <c r="U2254" i="4"/>
  <c r="U2256" i="4"/>
  <c r="U2257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T2165" i="4" l="1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T2075" i="4"/>
  <c r="U2075" i="4"/>
  <c r="T2076" i="4"/>
  <c r="U2076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T1955" i="4"/>
  <c r="U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T1741" i="4"/>
  <c r="T1742" i="4"/>
  <c r="T1743" i="4"/>
  <c r="T1744" i="4"/>
  <c r="T1745" i="4"/>
  <c r="T1746" i="4"/>
  <c r="T1747" i="4"/>
  <c r="T1748" i="4"/>
  <c r="T1749" i="4"/>
  <c r="T1750" i="4"/>
  <c r="T1751" i="4"/>
  <c r="T1753" i="4"/>
  <c r="T1755" i="4"/>
  <c r="T1756" i="4"/>
  <c r="T1758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U1741" i="4"/>
  <c r="U1742" i="4"/>
  <c r="U1743" i="4"/>
  <c r="U1744" i="4"/>
  <c r="U1745" i="4"/>
  <c r="U1746" i="4"/>
  <c r="U1747" i="4"/>
  <c r="U1748" i="4"/>
  <c r="U1749" i="4"/>
  <c r="U1750" i="4"/>
  <c r="U1751" i="4"/>
  <c r="U1753" i="4"/>
  <c r="U1755" i="4"/>
  <c r="U1756" i="4"/>
  <c r="U1758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T1683" i="4"/>
  <c r="U1683" i="4"/>
  <c r="T1681" i="4"/>
  <c r="T1682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U1681" i="4"/>
  <c r="U1682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T1591" i="4"/>
  <c r="U1591" i="4"/>
  <c r="T1592" i="4"/>
  <c r="U1592" i="4"/>
  <c r="T17" i="4"/>
  <c r="T18" i="4"/>
  <c r="T19" i="4"/>
  <c r="T20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4" i="4"/>
  <c r="T126" i="4"/>
  <c r="T128" i="4"/>
  <c r="T130" i="4"/>
  <c r="T132" i="4"/>
  <c r="T134" i="4"/>
  <c r="T136" i="4"/>
  <c r="T138" i="4"/>
  <c r="T140" i="4"/>
  <c r="T142" i="4"/>
  <c r="T144" i="4"/>
  <c r="T146" i="4"/>
  <c r="T148" i="4"/>
  <c r="T150" i="4"/>
  <c r="T152" i="4"/>
  <c r="T153" i="4"/>
  <c r="T155" i="4"/>
  <c r="T156" i="4"/>
  <c r="T158" i="4"/>
  <c r="T160" i="4"/>
  <c r="T161" i="4"/>
  <c r="T163" i="4"/>
  <c r="T165" i="4"/>
  <c r="T167" i="4"/>
  <c r="T169" i="4"/>
  <c r="T171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6" i="4"/>
  <c r="T1117" i="4"/>
  <c r="T1118" i="4"/>
  <c r="T1119" i="4"/>
  <c r="T1120" i="4"/>
  <c r="T1121" i="4"/>
  <c r="T1123" i="4"/>
  <c r="T1125" i="4"/>
  <c r="T1126" i="4"/>
  <c r="T1127" i="4"/>
  <c r="T1128" i="4"/>
  <c r="T1129" i="4"/>
  <c r="T1131" i="4"/>
  <c r="T1132" i="4"/>
  <c r="T1133" i="4"/>
  <c r="T1135" i="4"/>
  <c r="T1136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U159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T4035" i="4" l="1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171" i="4" l="1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167" i="4"/>
  <c r="U1168" i="4"/>
  <c r="U1169" i="4"/>
  <c r="U1170" i="4"/>
  <c r="J4035" i="4"/>
  <c r="K4035" i="4"/>
  <c r="L4035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05" i="4"/>
  <c r="U1106" i="4"/>
  <c r="U1107" i="4"/>
  <c r="U1108" i="4"/>
  <c r="U1109" i="4"/>
  <c r="U1110" i="4"/>
  <c r="U1111" i="4"/>
  <c r="U1112" i="4"/>
  <c r="U1113" i="4"/>
  <c r="U1114" i="4"/>
  <c r="U1116" i="4"/>
  <c r="U1117" i="4"/>
  <c r="U1118" i="4"/>
  <c r="U1119" i="4"/>
  <c r="U1120" i="4"/>
  <c r="U1121" i="4"/>
  <c r="U1123" i="4"/>
  <c r="U1125" i="4"/>
  <c r="U1126" i="4"/>
  <c r="U1127" i="4"/>
  <c r="U1128" i="4"/>
  <c r="U1129" i="4"/>
  <c r="U1131" i="4"/>
  <c r="U1132" i="4"/>
  <c r="U1133" i="4"/>
  <c r="U1135" i="4"/>
  <c r="U1136" i="4"/>
  <c r="U1138" i="4"/>
  <c r="U1139" i="4"/>
  <c r="U1140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15" i="4" l="1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985" i="4"/>
  <c r="U986" i="4" l="1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895" i="4" l="1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17" i="4"/>
  <c r="U18" i="4"/>
  <c r="U19" i="4"/>
  <c r="U20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4" i="4"/>
  <c r="U126" i="4"/>
  <c r="U128" i="4"/>
  <c r="U130" i="4"/>
  <c r="U132" i="4"/>
  <c r="U134" i="4"/>
  <c r="U136" i="4"/>
  <c r="U138" i="4"/>
  <c r="U140" i="4"/>
  <c r="U142" i="4"/>
  <c r="U144" i="4"/>
  <c r="U146" i="4"/>
  <c r="U148" i="4"/>
  <c r="U150" i="4"/>
  <c r="U152" i="4"/>
  <c r="U153" i="4"/>
  <c r="U155" i="4"/>
  <c r="U156" i="4"/>
  <c r="U158" i="4"/>
  <c r="U160" i="4"/>
  <c r="U161" i="4"/>
  <c r="U163" i="4"/>
  <c r="U165" i="4"/>
  <c r="U167" i="4"/>
  <c r="U169" i="4"/>
  <c r="U171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4035" i="4" l="1"/>
  <c r="V4035" i="4" l="1"/>
  <c r="C4034" i="4"/>
</calcChain>
</file>

<file path=xl/sharedStrings.xml><?xml version="1.0" encoding="utf-8"?>
<sst xmlns="http://schemas.openxmlformats.org/spreadsheetml/2006/main" count="29035" uniqueCount="226">
  <si>
    <t>Комментарий</t>
  </si>
  <si>
    <t>Должность</t>
  </si>
  <si>
    <t>Гос.№ ТС</t>
  </si>
  <si>
    <t>ТИП ТС</t>
  </si>
  <si>
    <t>Статус</t>
  </si>
  <si>
    <t>Заказчик</t>
  </si>
  <si>
    <t>Часов в табеле</t>
  </si>
  <si>
    <t>Подверждающий документ</t>
  </si>
  <si>
    <t>КТУ</t>
  </si>
  <si>
    <t>Начальник участка</t>
  </si>
  <si>
    <t>Работа</t>
  </si>
  <si>
    <t>Универсал</t>
  </si>
  <si>
    <t>Водитель</t>
  </si>
  <si>
    <t>ЦА-320</t>
  </si>
  <si>
    <t>Часов на заказчика  в работе</t>
  </si>
  <si>
    <t>Часов на заказчика  дежурство</t>
  </si>
  <si>
    <t>РГБ</t>
  </si>
  <si>
    <t>Общий итог</t>
  </si>
  <si>
    <t>Число месяца</t>
  </si>
  <si>
    <t>Месяц</t>
  </si>
  <si>
    <t>(пусто)</t>
  </si>
  <si>
    <t>Сумма по полю Часов в табеле</t>
  </si>
  <si>
    <t>Ставка руб.</t>
  </si>
  <si>
    <t>Ремонт</t>
  </si>
  <si>
    <t>В пути</t>
  </si>
  <si>
    <t>Итого часов на заказчика</t>
  </si>
  <si>
    <t>Диспетчер</t>
  </si>
  <si>
    <t>Участок</t>
  </si>
  <si>
    <t>Стропальщик</t>
  </si>
  <si>
    <t>Межвахта</t>
  </si>
  <si>
    <t>Выходной</t>
  </si>
  <si>
    <t>Автокран</t>
  </si>
  <si>
    <t>Машинист Автокрана</t>
  </si>
  <si>
    <t>Слесарь</t>
  </si>
  <si>
    <t>Итог</t>
  </si>
  <si>
    <t>Машинист бульдозера</t>
  </si>
  <si>
    <t>Бульдозер</t>
  </si>
  <si>
    <t>КРБ (Мобил)</t>
  </si>
  <si>
    <t>Актировка</t>
  </si>
  <si>
    <t>Машинист ППУ</t>
  </si>
  <si>
    <t>ППУ</t>
  </si>
  <si>
    <t>КРБ (Техн)</t>
  </si>
  <si>
    <t>АТЗ</t>
  </si>
  <si>
    <t>ГПРУ</t>
  </si>
  <si>
    <t>Не выход</t>
  </si>
  <si>
    <t>(несколько элементов)</t>
  </si>
  <si>
    <t>Разница часов</t>
  </si>
  <si>
    <t>ТТН</t>
  </si>
  <si>
    <t>Больничный</t>
  </si>
  <si>
    <t>Машинист погрузчика</t>
  </si>
  <si>
    <t>Обучение</t>
  </si>
  <si>
    <t>Погрузчик</t>
  </si>
  <si>
    <t>Отпуск свой счет</t>
  </si>
  <si>
    <t>ЗП за часы</t>
  </si>
  <si>
    <t>Сумма по полю ЗП за часы</t>
  </si>
  <si>
    <t xml:space="preserve"> Часов в табеле</t>
  </si>
  <si>
    <t xml:space="preserve"> Разница часов</t>
  </si>
  <si>
    <t xml:space="preserve"> часов на заказчика</t>
  </si>
  <si>
    <t>скв. 58 МНГКМ 08.02.2024</t>
  </si>
  <si>
    <t>скв. 58 МНГКМ 11.02.2024</t>
  </si>
  <si>
    <t>Ставка за ТТН</t>
  </si>
  <si>
    <t>Сумма за ТТН</t>
  </si>
  <si>
    <t xml:space="preserve"> Сумма за ТТН</t>
  </si>
  <si>
    <t>скв. 58 МНГКМ</t>
  </si>
  <si>
    <t>Машинист крана манипулятора</t>
  </si>
  <si>
    <t>КМУ</t>
  </si>
  <si>
    <t>Тягач Площадка</t>
  </si>
  <si>
    <t>б-т</t>
  </si>
  <si>
    <t>Автоцистерна</t>
  </si>
  <si>
    <t>Механик</t>
  </si>
  <si>
    <t>Дежурство</t>
  </si>
  <si>
    <t>Автослесарь</t>
  </si>
  <si>
    <t>Вахтовка</t>
  </si>
  <si>
    <t>Тягач Трал</t>
  </si>
  <si>
    <t>Перегон на Бованы</t>
  </si>
  <si>
    <t>Р58 08.02</t>
  </si>
  <si>
    <t>Р58 11.02</t>
  </si>
  <si>
    <t>Автоэлектрик</t>
  </si>
  <si>
    <t>Кол-во ТТН</t>
  </si>
  <si>
    <t>Мастер ПРР</t>
  </si>
  <si>
    <t>2 точки выгрузки</t>
  </si>
  <si>
    <t xml:space="preserve">Отпуск </t>
  </si>
  <si>
    <t>Машинист Погрузчика</t>
  </si>
  <si>
    <t>(Все)</t>
  </si>
  <si>
    <t>Апрель</t>
  </si>
  <si>
    <t>С тралом в пути на Тамбей метель</t>
  </si>
  <si>
    <t>Хищник</t>
  </si>
  <si>
    <t>2 путевка на Седлецкого</t>
  </si>
  <si>
    <t>Катаем по зимнику</t>
  </si>
  <si>
    <t>с 20.03 по 23.03 Бованы-211</t>
  </si>
  <si>
    <t>3 точки</t>
  </si>
  <si>
    <t>4 точки</t>
  </si>
  <si>
    <t>ССК</t>
  </si>
  <si>
    <t>Бованы-Тамбей</t>
  </si>
  <si>
    <t>Специалист по БДД</t>
  </si>
  <si>
    <t>54-127</t>
  </si>
  <si>
    <t>54 малы</t>
  </si>
  <si>
    <t>58-107</t>
  </si>
  <si>
    <t>208-бн</t>
  </si>
  <si>
    <t>бн-211</t>
  </si>
  <si>
    <t>т-б</t>
  </si>
  <si>
    <t>Мед</t>
  </si>
  <si>
    <t>Дев</t>
  </si>
  <si>
    <t>Пер</t>
  </si>
  <si>
    <t>Бат</t>
  </si>
  <si>
    <t>Мор</t>
  </si>
  <si>
    <t>Ака</t>
  </si>
  <si>
    <t>Под</t>
  </si>
  <si>
    <t>Сай</t>
  </si>
  <si>
    <t>Зяб</t>
  </si>
  <si>
    <t>Юсу</t>
  </si>
  <si>
    <t>Гор</t>
  </si>
  <si>
    <t>Баб</t>
  </si>
  <si>
    <t>Клю</t>
  </si>
  <si>
    <t>Анд</t>
  </si>
  <si>
    <t>Мус</t>
  </si>
  <si>
    <t>Хаб</t>
  </si>
  <si>
    <t>Бер</t>
  </si>
  <si>
    <t>Зан</t>
  </si>
  <si>
    <t>Кос</t>
  </si>
  <si>
    <t>Иср</t>
  </si>
  <si>
    <t>Лит</t>
  </si>
  <si>
    <t>Мас</t>
  </si>
  <si>
    <t>Яма</t>
  </si>
  <si>
    <t>Тиш</t>
  </si>
  <si>
    <t>Тит</t>
  </si>
  <si>
    <t>Хус</t>
  </si>
  <si>
    <t>Али</t>
  </si>
  <si>
    <t>Арх</t>
  </si>
  <si>
    <t>Бич</t>
  </si>
  <si>
    <t>Вас</t>
  </si>
  <si>
    <t>Дав</t>
  </si>
  <si>
    <t>Дем</t>
  </si>
  <si>
    <t>Ден</t>
  </si>
  <si>
    <t>Зве</t>
  </si>
  <si>
    <t>Кар</t>
  </si>
  <si>
    <t>Кир</t>
  </si>
  <si>
    <t>Коз</t>
  </si>
  <si>
    <t>Кон</t>
  </si>
  <si>
    <t>Кот</t>
  </si>
  <si>
    <t>Куж</t>
  </si>
  <si>
    <t>Куз</t>
  </si>
  <si>
    <t>Кук</t>
  </si>
  <si>
    <t>Бар</t>
  </si>
  <si>
    <t>Лав</t>
  </si>
  <si>
    <t>Лип</t>
  </si>
  <si>
    <t>Мам</t>
  </si>
  <si>
    <t>Мок</t>
  </si>
  <si>
    <t>Мот</t>
  </si>
  <si>
    <t>Мут</t>
  </si>
  <si>
    <t>Нес</t>
  </si>
  <si>
    <t>Мух</t>
  </si>
  <si>
    <t>Они</t>
  </si>
  <si>
    <t>Оси</t>
  </si>
  <si>
    <t>Про</t>
  </si>
  <si>
    <t>Цыд</t>
  </si>
  <si>
    <t>Шку</t>
  </si>
  <si>
    <t>Шум</t>
  </si>
  <si>
    <t>Щер</t>
  </si>
  <si>
    <t>Кор</t>
  </si>
  <si>
    <t>Дор</t>
  </si>
  <si>
    <t>Коф</t>
  </si>
  <si>
    <t>Зыр</t>
  </si>
  <si>
    <t>Илл</t>
  </si>
  <si>
    <t>Пры</t>
  </si>
  <si>
    <t>Тар</t>
  </si>
  <si>
    <t>Сар</t>
  </si>
  <si>
    <t>Тат</t>
  </si>
  <si>
    <t>Ход</t>
  </si>
  <si>
    <t>Унд</t>
  </si>
  <si>
    <t>Бит</t>
  </si>
  <si>
    <t>Ток</t>
  </si>
  <si>
    <t>Ско</t>
  </si>
  <si>
    <t>Сол</t>
  </si>
  <si>
    <t>Боб</t>
  </si>
  <si>
    <t>Сим</t>
  </si>
  <si>
    <t>Тро</t>
  </si>
  <si>
    <t>Тре</t>
  </si>
  <si>
    <t>Вер</t>
  </si>
  <si>
    <t>Шус</t>
  </si>
  <si>
    <t>Нур</t>
  </si>
  <si>
    <t>Вил</t>
  </si>
  <si>
    <t>Вор</t>
  </si>
  <si>
    <t>Гус</t>
  </si>
  <si>
    <t>Дер</t>
  </si>
  <si>
    <t>Нау</t>
  </si>
  <si>
    <t>Кри</t>
  </si>
  <si>
    <t>Буд</t>
  </si>
  <si>
    <t>Саб</t>
  </si>
  <si>
    <t>Жар</t>
  </si>
  <si>
    <t>Бог</t>
  </si>
  <si>
    <t>Бол</t>
  </si>
  <si>
    <t>Мал</t>
  </si>
  <si>
    <t>Газ</t>
  </si>
  <si>
    <t>Сеф</t>
  </si>
  <si>
    <t>Бут</t>
  </si>
  <si>
    <t>Кур</t>
  </si>
  <si>
    <t>Диб</t>
  </si>
  <si>
    <t>Его</t>
  </si>
  <si>
    <t>Алб</t>
  </si>
  <si>
    <t>Гри</t>
  </si>
  <si>
    <t>Дад</t>
  </si>
  <si>
    <t>Жел</t>
  </si>
  <si>
    <t>Ибр</t>
  </si>
  <si>
    <t>Маг</t>
  </si>
  <si>
    <t>Ожг</t>
  </si>
  <si>
    <t>Саф</t>
  </si>
  <si>
    <t>Сив</t>
  </si>
  <si>
    <t>Син</t>
  </si>
  <si>
    <t>Тол</t>
  </si>
  <si>
    <t>Аха</t>
  </si>
  <si>
    <t>Гар</t>
  </si>
  <si>
    <t>Коч</t>
  </si>
  <si>
    <t>Сотрудник</t>
  </si>
  <si>
    <t>Ха</t>
  </si>
  <si>
    <t>Та</t>
  </si>
  <si>
    <t>Бо</t>
  </si>
  <si>
    <t>Ун</t>
  </si>
  <si>
    <t/>
  </si>
  <si>
    <t>КР</t>
  </si>
  <si>
    <t>РГ</t>
  </si>
  <si>
    <t>ГП</t>
  </si>
  <si>
    <t>СС</t>
  </si>
  <si>
    <t>Названия строк</t>
  </si>
  <si>
    <t>Сумма по полю ТТН</t>
  </si>
  <si>
    <t>Сумма по полю Сумма за ТТН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</si>
</sst>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6" formatCode="#,##0\ _₽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4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pivotButton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pivotButton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/>
  </cellXfs>
  <cellStyles count="1">
    <cellStyle name="Обычный" xfId="0" builtinId="0"/>
  </cellStyles>
  <dxfs count="283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6" formatCode="#,##0\ _₽"/>
    </dxf>
    <dxf>
      <numFmt numFmtId="166" formatCode="#,##0\ _₽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horizontal="center"/>
    </dxf>
    <dxf>
      <alignment horizontal="center"/>
    </dxf>
    <dxf>
      <alignment wrapText="1"/>
    </dxf>
    <dxf>
      <alignment wrapText="1"/>
    </dxf>
    <dxf>
      <alignment vertical="top"/>
    </dxf>
    <dxf>
      <alignment vertical="top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wrapText="1"/>
    </dxf>
    <dxf>
      <alignment wrapText="1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" formatCode="#,##0"/>
    </dxf>
    <dxf>
      <numFmt numFmtId="3" formatCode="#,##0"/>
    </dxf>
    <dxf>
      <numFmt numFmtId="0" formatCode="General"/>
    </dxf>
    <dxf>
      <numFmt numFmtId="164" formatCode="#"/>
    </dxf>
    <dxf>
      <numFmt numFmtId="1" formatCode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26" Type="http://schemas.microsoft.com/office/2017/10/relationships/person" Target="persons/pers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25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8" Type="http://schemas.microsoft.com/office/2017/10/relationships/person" Target="persons/person3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7" Type="http://schemas.microsoft.com/office/2017/10/relationships/person" Target="persons/pers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298449</xdr:colOff>
      <xdr:row>2</xdr:row>
      <xdr:rowOff>22225</xdr:rowOff>
    </xdr:from>
    <xdr:to>
      <xdr:col>11</xdr:col>
      <xdr:colOff>285749</xdr:colOff>
      <xdr:row>8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Участок 1">
              <a:extLst>
                <a:ext uri="{FF2B5EF4-FFF2-40B4-BE49-F238E27FC236}">
                  <a16:creationId xmlns:a16="http://schemas.microsoft.com/office/drawing/2014/main" id="{24662870-D401-49D2-91D4-4C7255570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часток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5782" y="403225"/>
              <a:ext cx="1828800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55034</xdr:colOff>
      <xdr:row>2</xdr:row>
      <xdr:rowOff>40216</xdr:rowOff>
    </xdr:from>
    <xdr:to>
      <xdr:col>18</xdr:col>
      <xdr:colOff>42334</xdr:colOff>
      <xdr:row>13</xdr:row>
      <xdr:rowOff>87841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Должность">
              <a:extLst>
                <a:ext uri="{FF2B5EF4-FFF2-40B4-BE49-F238E27FC236}">
                  <a16:creationId xmlns:a16="http://schemas.microsoft.com/office/drawing/2014/main" id="{25FDD531-28F0-C0B9-ACD2-C0AE065467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олжность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0784" y="42121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154781</xdr:colOff>
      <xdr:row>28</xdr:row>
      <xdr:rowOff>140494</xdr:rowOff>
    </xdr:from>
    <xdr:to>
      <xdr:col>32</xdr:col>
      <xdr:colOff>404812</xdr:colOff>
      <xdr:row>39</xdr:row>
      <xdr:rowOff>188119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Сотрудник">
              <a:extLst>
                <a:ext uri="{FF2B5EF4-FFF2-40B4-BE49-F238E27FC236}">
                  <a16:creationId xmlns:a16="http://schemas.microsoft.com/office/drawing/2014/main" id="{9D4C5419-6E54-9E89-BDCA-1DFEA3F7CB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отрудник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9156" y="5581650"/>
              <a:ext cx="45720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154782</xdr:colOff>
      <xdr:row>28</xdr:row>
      <xdr:rowOff>152400</xdr:rowOff>
    </xdr:from>
    <xdr:to>
      <xdr:col>18</xdr:col>
      <xdr:colOff>316707</xdr:colOff>
      <xdr:row>40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Участок">
              <a:extLst>
                <a:ext uri="{FF2B5EF4-FFF2-40B4-BE49-F238E27FC236}">
                  <a16:creationId xmlns:a16="http://schemas.microsoft.com/office/drawing/2014/main" id="{D5F5BE56-12C8-0C17-4898-79C5A0BDAD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часток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8907" y="55935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ем" refreshedDate="46300.783108449075" missingItemsLimit="0" createdVersion="7" refreshedVersion="8" minRefreshableVersion="3" recordCount="4018" xr:uid="{2663CA51-71C2-42C3-B6BC-F9376209CE8B}">
  <cacheSource type="worksheet">
    <worksheetSource name="Таблица1"/>
  </cacheSource>
  <cacheFields count="22">
    <cacheField name="Месяц" numFmtId="0">
      <sharedItems containsBlank="1" count="2">
        <s v="Апрель"/>
        <m/>
      </sharedItems>
    </cacheField>
    <cacheField name="Число месяца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Сотрудник" numFmtId="0">
      <sharedItems count="112">
        <s v="Мед"/>
        <s v="Дев"/>
        <s v="Пер"/>
        <s v="Бат"/>
        <s v="Мор"/>
        <s v="Ака"/>
        <s v="Под"/>
        <s v="Сай"/>
        <s v="Зяб"/>
        <s v="Юсу"/>
        <s v="Гор"/>
        <s v="Баб"/>
        <s v="Клю"/>
        <s v="Анд"/>
        <s v="Мус"/>
        <s v="Хаб"/>
        <s v="Бер"/>
        <s v="Зан"/>
        <s v="Кос"/>
        <s v="Иср"/>
        <s v="Лит"/>
        <s v="Мас"/>
        <s v="Яма"/>
        <s v="Тиш"/>
        <s v="Тит"/>
        <s v="Хус"/>
        <s v="Али"/>
        <s v="Арх"/>
        <s v="Бич"/>
        <s v="Вас"/>
        <s v="Дав"/>
        <s v="Дем"/>
        <s v="Ден"/>
        <s v="Зве"/>
        <s v="Кар"/>
        <s v="Кир"/>
        <s v="Коз"/>
        <s v="Кон"/>
        <s v="Кот"/>
        <s v="Куж"/>
        <s v="Куз"/>
        <s v="Кук"/>
        <s v="Бар"/>
        <s v="Лав"/>
        <s v="Лип"/>
        <s v="Мам"/>
        <s v="Мок"/>
        <s v="Мот"/>
        <s v="Мут"/>
        <s v="Нес"/>
        <s v="Мух"/>
        <s v="Они"/>
        <s v="Оси"/>
        <s v="Про"/>
        <s v="Цыд"/>
        <s v="Шку"/>
        <s v="Шум"/>
        <s v="Щер"/>
        <s v="Кор"/>
        <s v="Дор"/>
        <s v="Коф"/>
        <s v="Зыр"/>
        <s v="Илл"/>
        <s v="Пры"/>
        <s v="Тар"/>
        <s v="Сар"/>
        <s v="Тат"/>
        <s v="Ход"/>
        <s v="Унд"/>
        <s v="Бит"/>
        <s v="Ток"/>
        <s v="Ско"/>
        <s v="Сол"/>
        <s v="Боб"/>
        <s v="Сим"/>
        <s v="Тро"/>
        <s v="Тре"/>
        <s v="Вер"/>
        <s v="Шус"/>
        <s v="Нур"/>
        <s v="Вил"/>
        <s v="Вор"/>
        <s v="Гус"/>
        <s v="Дер"/>
        <s v="Нау"/>
        <s v="Кри"/>
        <s v="Буд"/>
        <s v="Саб"/>
        <s v="Жар"/>
        <s v="Бог"/>
        <s v="Бол"/>
        <s v="Мал"/>
        <s v="Газ"/>
        <s v="Сеф"/>
        <s v="Бут"/>
        <s v="Кур"/>
        <s v="Диб"/>
        <s v="Его"/>
        <s v="Алб"/>
        <s v="Гри"/>
        <s v="Дад"/>
        <s v="Жел"/>
        <s v="Ибр"/>
        <s v="Маг"/>
        <s v="Ожг"/>
        <s v="Саф"/>
        <s v="Сив"/>
        <s v="Син"/>
        <s v="Тол"/>
        <s v="Аха"/>
        <s v="Гар"/>
        <s v="Коч"/>
      </sharedItems>
    </cacheField>
    <cacheField name="Должность" numFmtId="0">
      <sharedItems count="15">
        <s v="Начальник участка"/>
        <s v="Водитель"/>
        <s v="Диспетчер"/>
        <s v="Стропальщик"/>
        <s v="Машинист Автокрана"/>
        <s v="Слесарь"/>
        <s v="Машинист бульдозера"/>
        <s v="Машинист ППУ"/>
        <s v="Машинист погрузчика"/>
        <s v="Машинист крана манипулятора"/>
        <s v="Механик"/>
        <s v="Автослесарь"/>
        <s v="Специалист по БДД"/>
        <s v="Автоэлектрик"/>
        <s v="Мастер ПРР"/>
      </sharedItems>
    </cacheField>
    <cacheField name="Участок" numFmtId="0">
      <sharedItems count="3">
        <s v="Ха"/>
        <s v="Та"/>
        <s v="Бо"/>
      </sharedItems>
    </cacheField>
    <cacheField name="ТИП ТС" numFmtId="0">
      <sharedItems containsBlank="1" count="23">
        <s v="Начальник участка"/>
        <s v="ЦА-320"/>
        <s v="Диспетчер"/>
        <s v="Стропальщик"/>
        <s v="Автокран"/>
        <s v="Слесарь"/>
        <s v="Бульдозер"/>
        <s v="ППУ"/>
        <s v="АТЗ"/>
        <s v="Тягач Площадка"/>
        <s v="Погрузчик"/>
        <s v="Автоцистерна"/>
        <s v="КМУ"/>
        <s v="Тягач Трал"/>
        <s v="Механик"/>
        <s v="Вахтовка"/>
        <s v="Автослесарь"/>
        <s v="Специалист по БДД"/>
        <m/>
        <s v="Автоэлектрик"/>
        <s v="Машинист Автокрана"/>
        <s v="Хищник"/>
        <s v="Мастер ПРР"/>
      </sharedItems>
    </cacheField>
    <cacheField name="Гос.№ ТС" numFmtId="0">
      <sharedItems containsNonDate="0" containsString="0" containsBlank="1" count="1">
        <m/>
      </sharedItems>
    </cacheField>
    <cacheField name="Статус" numFmtId="0">
      <sharedItems containsBlank="1" count="13">
        <s v="Работа"/>
        <s v="В пути"/>
        <s v="Межвахта"/>
        <s v="Выходной"/>
        <m/>
        <s v="Дежурство"/>
        <s v="Ремонт"/>
        <s v="Актировка"/>
        <s v="Больничный"/>
        <s v="Не выход"/>
        <s v="Обучение"/>
        <s v="Отпуск свой счет"/>
        <s v="Отпуск "/>
      </sharedItems>
    </cacheField>
    <cacheField name="Заказчик" numFmtId="0">
      <sharedItems count="6">
        <s v="Ун"/>
        <s v=""/>
        <s v="КР"/>
        <s v="РГ"/>
        <s v="ГП"/>
        <s v="СС"/>
      </sharedItems>
    </cacheField>
    <cacheField name="Часов в табеле" numFmtId="0">
      <sharedItems containsString="0" containsBlank="1" containsNumber="1" containsInteger="1" minValue="1" maxValue="22"/>
    </cacheField>
    <cacheField name="ТТН" numFmtId="0">
      <sharedItems containsString="0" containsBlank="1" containsNumber="1" containsInteger="1" minValue="1" maxValue="3" count="4">
        <m/>
        <n v="1"/>
        <n v="2"/>
        <n v="3"/>
      </sharedItems>
    </cacheField>
    <cacheField name="Часов на заказчика  в работе" numFmtId="0">
      <sharedItems containsString="0" containsBlank="1" containsNumber="1" containsInteger="1" minValue="1" maxValue="22"/>
    </cacheField>
    <cacheField name="Часов на заказчика  дежурство" numFmtId="0">
      <sharedItems containsString="0" containsBlank="1" containsNumber="1" containsInteger="1" minValue="11" maxValue="11"/>
    </cacheField>
    <cacheField name="Итого часов на заказчика" numFmtId="0">
      <sharedItems containsSemiMixedTypes="0" containsString="0" containsNumber="1" containsInteger="1" minValue="0" maxValue="22"/>
    </cacheField>
    <cacheField name="Разница часов" numFmtId="0">
      <sharedItems containsSemiMixedTypes="0" containsString="0" containsNumber="1" containsInteger="1" minValue="0" maxValue="0"/>
    </cacheField>
    <cacheField name="Подверждающий документ" numFmtId="0">
      <sharedItems containsNonDate="0" containsString="0" containsBlank="1"/>
    </cacheField>
    <cacheField name="Ставка руб." numFmtId="3">
      <sharedItems containsString="0" containsBlank="1" containsNumber="1" containsInteger="1" minValue="80000" maxValue="220000" count="18">
        <n v="100000"/>
        <m/>
        <n v="200000"/>
        <n v="170000"/>
        <n v="135000"/>
        <n v="160000"/>
        <n v="80000"/>
        <n v="150000"/>
        <n v="88000"/>
        <n v="180000"/>
        <n v="145000"/>
        <n v="110000"/>
        <n v="190000"/>
        <n v="115000"/>
        <n v="120000"/>
        <n v="162000"/>
        <n v="174000"/>
        <n v="220000"/>
      </sharedItems>
    </cacheField>
    <cacheField name="Ставка за ТТН" numFmtId="3">
      <sharedItems containsString="0" containsBlank="1" containsNumber="1" containsInteger="1" minValue="1660" maxValue="5000" count="4">
        <m/>
        <n v="1660"/>
        <n v="5000"/>
        <n v="2000"/>
      </sharedItems>
    </cacheField>
    <cacheField name="КТУ" numFmtId="0">
      <sharedItems containsString="0" containsBlank="1" containsNumber="1" minValue="1" maxValue="1.2" count="3">
        <n v="1"/>
        <n v="1.2"/>
        <m/>
      </sharedItems>
    </cacheField>
    <cacheField name="ЗП за часы" numFmtId="3">
      <sharedItems containsSemiMixedTypes="0" containsString="0" containsNumber="1" minValue="0" maxValue="15999.999999999998"/>
    </cacheField>
    <cacheField name="Сумма за ТТН" numFmtId="0">
      <sharedItems containsSemiMixedTypes="0" containsString="0" containsNumber="1" containsInteger="1" minValue="0" maxValue="6000"/>
    </cacheField>
    <cacheField name="Комментарий" numFmtId="0">
      <sharedItems containsBlank="1"/>
    </cacheField>
  </cacheFields>
  <extLst>
    <ext xmlns:x14="http://schemas.microsoft.com/office/spreadsheetml/2009/9/main" uri="{725AE2AE-9491-48be-B2B4-4EB974FC3084}">
      <x14:pivotCacheDefinition pivotCacheId="14111276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8">
  <r>
    <x v="0"/>
    <x v="0"/>
    <x v="0"/>
    <x v="0"/>
    <x v="0"/>
    <x v="0"/>
    <x v="0"/>
    <x v="0"/>
    <x v="0"/>
    <n v="11"/>
    <x v="0"/>
    <m/>
    <m/>
    <n v="0"/>
    <n v="0"/>
    <m/>
    <x v="0"/>
    <x v="0"/>
    <x v="0"/>
    <n v="3333.333333333333"/>
    <n v="0"/>
    <m/>
  </r>
  <r>
    <x v="0"/>
    <x v="1"/>
    <x v="0"/>
    <x v="0"/>
    <x v="0"/>
    <x v="0"/>
    <x v="0"/>
    <x v="0"/>
    <x v="0"/>
    <n v="11"/>
    <x v="0"/>
    <m/>
    <m/>
    <n v="0"/>
    <n v="0"/>
    <m/>
    <x v="0"/>
    <x v="0"/>
    <x v="0"/>
    <n v="3333.333333333333"/>
    <n v="0"/>
    <m/>
  </r>
  <r>
    <x v="0"/>
    <x v="2"/>
    <x v="0"/>
    <x v="0"/>
    <x v="0"/>
    <x v="0"/>
    <x v="0"/>
    <x v="0"/>
    <x v="0"/>
    <n v="11"/>
    <x v="0"/>
    <m/>
    <m/>
    <n v="0"/>
    <n v="0"/>
    <m/>
    <x v="0"/>
    <x v="0"/>
    <x v="0"/>
    <n v="3333.333333333333"/>
    <n v="0"/>
    <m/>
  </r>
  <r>
    <x v="0"/>
    <x v="3"/>
    <x v="0"/>
    <x v="0"/>
    <x v="0"/>
    <x v="0"/>
    <x v="0"/>
    <x v="0"/>
    <x v="0"/>
    <n v="3"/>
    <x v="0"/>
    <m/>
    <m/>
    <n v="0"/>
    <n v="0"/>
    <m/>
    <x v="0"/>
    <x v="0"/>
    <x v="0"/>
    <n v="909.09090909090901"/>
    <n v="0"/>
    <m/>
  </r>
  <r>
    <x v="0"/>
    <x v="3"/>
    <x v="0"/>
    <x v="0"/>
    <x v="0"/>
    <x v="0"/>
    <x v="0"/>
    <x v="1"/>
    <x v="0"/>
    <n v="5"/>
    <x v="0"/>
    <m/>
    <m/>
    <n v="0"/>
    <n v="0"/>
    <m/>
    <x v="0"/>
    <x v="0"/>
    <x v="0"/>
    <n v="0"/>
    <n v="0"/>
    <m/>
  </r>
  <r>
    <x v="0"/>
    <x v="4"/>
    <x v="0"/>
    <x v="0"/>
    <x v="0"/>
    <x v="0"/>
    <x v="0"/>
    <x v="1"/>
    <x v="0"/>
    <n v="8"/>
    <x v="0"/>
    <m/>
    <m/>
    <n v="0"/>
    <n v="0"/>
    <m/>
    <x v="0"/>
    <x v="0"/>
    <x v="0"/>
    <n v="0"/>
    <n v="0"/>
    <m/>
  </r>
  <r>
    <x v="0"/>
    <x v="5"/>
    <x v="0"/>
    <x v="0"/>
    <x v="0"/>
    <x v="0"/>
    <x v="0"/>
    <x v="1"/>
    <x v="0"/>
    <n v="8"/>
    <x v="0"/>
    <m/>
    <m/>
    <n v="0"/>
    <n v="0"/>
    <m/>
    <x v="0"/>
    <x v="0"/>
    <x v="0"/>
    <n v="0"/>
    <n v="0"/>
    <m/>
  </r>
  <r>
    <x v="0"/>
    <x v="6"/>
    <x v="0"/>
    <x v="0"/>
    <x v="0"/>
    <x v="0"/>
    <x v="0"/>
    <x v="1"/>
    <x v="0"/>
    <n v="8"/>
    <x v="0"/>
    <m/>
    <m/>
    <n v="0"/>
    <n v="0"/>
    <m/>
    <x v="0"/>
    <x v="0"/>
    <x v="0"/>
    <n v="0"/>
    <n v="0"/>
    <m/>
  </r>
  <r>
    <x v="0"/>
    <x v="7"/>
    <x v="0"/>
    <x v="0"/>
    <x v="0"/>
    <x v="0"/>
    <x v="0"/>
    <x v="1"/>
    <x v="0"/>
    <n v="8"/>
    <x v="0"/>
    <m/>
    <m/>
    <n v="0"/>
    <n v="0"/>
    <m/>
    <x v="0"/>
    <x v="0"/>
    <x v="0"/>
    <n v="0"/>
    <n v="0"/>
    <m/>
  </r>
  <r>
    <x v="0"/>
    <x v="8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9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0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1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2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13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14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5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6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7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8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19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20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21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2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3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4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5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6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27"/>
    <x v="0"/>
    <x v="0"/>
    <x v="0"/>
    <x v="0"/>
    <x v="0"/>
    <x v="3"/>
    <x v="0"/>
    <n v="1"/>
    <x v="0"/>
    <m/>
    <m/>
    <n v="0"/>
    <n v="0"/>
    <m/>
    <x v="0"/>
    <x v="0"/>
    <x v="0"/>
    <n v="0"/>
    <n v="0"/>
    <m/>
  </r>
  <r>
    <x v="0"/>
    <x v="28"/>
    <x v="0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29"/>
    <x v="1"/>
    <x v="0"/>
    <x v="0"/>
    <x v="0"/>
    <x v="0"/>
    <x v="2"/>
    <x v="0"/>
    <n v="8"/>
    <x v="0"/>
    <m/>
    <m/>
    <n v="0"/>
    <n v="0"/>
    <m/>
    <x v="0"/>
    <x v="0"/>
    <x v="0"/>
    <n v="0"/>
    <n v="0"/>
    <m/>
  </r>
  <r>
    <x v="0"/>
    <x v="0"/>
    <x v="1"/>
    <x v="1"/>
    <x v="1"/>
    <x v="1"/>
    <x v="0"/>
    <x v="4"/>
    <x v="1"/>
    <m/>
    <x v="0"/>
    <m/>
    <m/>
    <n v="0"/>
    <n v="0"/>
    <m/>
    <x v="0"/>
    <x v="0"/>
    <x v="0"/>
    <n v="0"/>
    <n v="0"/>
    <m/>
  </r>
  <r>
    <x v="0"/>
    <x v="1"/>
    <x v="1"/>
    <x v="1"/>
    <x v="1"/>
    <x v="1"/>
    <x v="0"/>
    <x v="1"/>
    <x v="0"/>
    <n v="8"/>
    <x v="0"/>
    <m/>
    <m/>
    <n v="0"/>
    <n v="0"/>
    <m/>
    <x v="0"/>
    <x v="0"/>
    <x v="0"/>
    <n v="0"/>
    <n v="0"/>
    <m/>
  </r>
  <r>
    <x v="0"/>
    <x v="2"/>
    <x v="1"/>
    <x v="1"/>
    <x v="1"/>
    <x v="1"/>
    <x v="0"/>
    <x v="1"/>
    <x v="0"/>
    <n v="8"/>
    <x v="0"/>
    <m/>
    <m/>
    <n v="0"/>
    <n v="0"/>
    <m/>
    <x v="0"/>
    <x v="0"/>
    <x v="0"/>
    <n v="0"/>
    <n v="0"/>
    <m/>
  </r>
  <r>
    <x v="0"/>
    <x v="3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3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4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4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5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5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6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6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7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7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8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9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9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10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1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2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12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13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4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5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6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7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8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19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19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20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21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22"/>
    <x v="1"/>
    <x v="1"/>
    <x v="1"/>
    <x v="1"/>
    <x v="0"/>
    <x v="0"/>
    <x v="2"/>
    <n v="22"/>
    <x v="0"/>
    <n v="22"/>
    <m/>
    <n v="22"/>
    <n v="0"/>
    <m/>
    <x v="0"/>
    <x v="0"/>
    <x v="0"/>
    <n v="6666.6666666666661"/>
    <n v="0"/>
    <m/>
  </r>
  <r>
    <x v="0"/>
    <x v="23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23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24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24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25"/>
    <x v="1"/>
    <x v="1"/>
    <x v="1"/>
    <x v="1"/>
    <x v="0"/>
    <x v="6"/>
    <x v="0"/>
    <n v="11"/>
    <x v="0"/>
    <m/>
    <m/>
    <n v="0"/>
    <n v="0"/>
    <m/>
    <x v="0"/>
    <x v="0"/>
    <x v="0"/>
    <n v="3333.333333333333"/>
    <n v="0"/>
    <m/>
  </r>
  <r>
    <x v="0"/>
    <x v="26"/>
    <x v="1"/>
    <x v="1"/>
    <x v="1"/>
    <x v="1"/>
    <x v="0"/>
    <x v="6"/>
    <x v="0"/>
    <n v="11"/>
    <x v="0"/>
    <m/>
    <m/>
    <n v="0"/>
    <n v="0"/>
    <m/>
    <x v="0"/>
    <x v="0"/>
    <x v="0"/>
    <n v="3333.333333333333"/>
    <n v="0"/>
    <m/>
  </r>
  <r>
    <x v="0"/>
    <x v="27"/>
    <x v="1"/>
    <x v="1"/>
    <x v="1"/>
    <x v="1"/>
    <x v="0"/>
    <x v="6"/>
    <x v="0"/>
    <n v="11"/>
    <x v="0"/>
    <m/>
    <m/>
    <n v="0"/>
    <n v="0"/>
    <m/>
    <x v="0"/>
    <x v="0"/>
    <x v="0"/>
    <n v="3333.333333333333"/>
    <n v="0"/>
    <m/>
  </r>
  <r>
    <x v="0"/>
    <x v="28"/>
    <x v="1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29"/>
    <x v="1"/>
    <x v="1"/>
    <x v="1"/>
    <x v="1"/>
    <x v="0"/>
    <x v="0"/>
    <x v="2"/>
    <n v="11"/>
    <x v="0"/>
    <n v="11"/>
    <m/>
    <n v="11"/>
    <n v="0"/>
    <m/>
    <x v="0"/>
    <x v="0"/>
    <x v="0"/>
    <n v="3333.333333333333"/>
    <n v="0"/>
    <m/>
  </r>
  <r>
    <x v="0"/>
    <x v="29"/>
    <x v="2"/>
    <x v="1"/>
    <x v="1"/>
    <x v="1"/>
    <x v="0"/>
    <x v="5"/>
    <x v="2"/>
    <n v="11"/>
    <x v="0"/>
    <n v="11"/>
    <m/>
    <n v="11"/>
    <n v="0"/>
    <m/>
    <x v="0"/>
    <x v="0"/>
    <x v="0"/>
    <n v="3333.333333333333"/>
    <n v="0"/>
    <m/>
  </r>
  <r>
    <x v="0"/>
    <x v="0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3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4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5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6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7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8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9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0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1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2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13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14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5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6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7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8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19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20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21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2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3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4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5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6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27"/>
    <x v="2"/>
    <x v="1"/>
    <x v="0"/>
    <x v="1"/>
    <x v="0"/>
    <x v="3"/>
    <x v="0"/>
    <n v="1"/>
    <x v="0"/>
    <m/>
    <m/>
    <n v="0"/>
    <n v="0"/>
    <m/>
    <x v="0"/>
    <x v="0"/>
    <x v="0"/>
    <n v="0"/>
    <n v="0"/>
    <m/>
  </r>
  <r>
    <x v="0"/>
    <x v="28"/>
    <x v="2"/>
    <x v="1"/>
    <x v="0"/>
    <x v="1"/>
    <x v="0"/>
    <x v="2"/>
    <x v="0"/>
    <n v="8"/>
    <x v="0"/>
    <m/>
    <m/>
    <n v="0"/>
    <n v="0"/>
    <m/>
    <x v="0"/>
    <x v="0"/>
    <x v="0"/>
    <n v="0"/>
    <n v="0"/>
    <m/>
  </r>
  <r>
    <x v="0"/>
    <x v="29"/>
    <x v="3"/>
    <x v="1"/>
    <x v="0"/>
    <x v="1"/>
    <x v="0"/>
    <x v="1"/>
    <x v="0"/>
    <n v="8"/>
    <x v="0"/>
    <m/>
    <m/>
    <n v="0"/>
    <n v="0"/>
    <m/>
    <x v="0"/>
    <x v="0"/>
    <x v="0"/>
    <n v="0"/>
    <n v="0"/>
    <m/>
  </r>
  <r>
    <x v="0"/>
    <x v="0"/>
    <x v="3"/>
    <x v="1"/>
    <x v="0"/>
    <x v="1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3"/>
    <x v="3"/>
    <x v="1"/>
    <x v="0"/>
    <x v="1"/>
    <x v="0"/>
    <x v="0"/>
    <x v="3"/>
    <n v="16"/>
    <x v="0"/>
    <n v="16"/>
    <m/>
    <n v="16"/>
    <n v="0"/>
    <m/>
    <x v="0"/>
    <x v="0"/>
    <x v="0"/>
    <n v="4848.484848484848"/>
    <n v="0"/>
    <m/>
  </r>
  <r>
    <x v="0"/>
    <x v="3"/>
    <x v="3"/>
    <x v="1"/>
    <x v="0"/>
    <x v="1"/>
    <x v="0"/>
    <x v="5"/>
    <x v="3"/>
    <n v="6"/>
    <x v="0"/>
    <n v="6"/>
    <m/>
    <n v="6"/>
    <n v="0"/>
    <m/>
    <x v="0"/>
    <x v="0"/>
    <x v="0"/>
    <n v="1818.181818181818"/>
    <n v="0"/>
    <m/>
  </r>
  <r>
    <x v="0"/>
    <x v="4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4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5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5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6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6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7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7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8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8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9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9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0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0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1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1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2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2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3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3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4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4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5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5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6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6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7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7"/>
    <x v="3"/>
    <x v="1"/>
    <x v="0"/>
    <x v="1"/>
    <x v="0"/>
    <x v="5"/>
    <x v="3"/>
    <n v="11"/>
    <x v="0"/>
    <n v="11"/>
    <m/>
    <n v="11"/>
    <n v="0"/>
    <m/>
    <x v="0"/>
    <x v="0"/>
    <x v="0"/>
    <n v="3333.333333333333"/>
    <n v="0"/>
    <m/>
  </r>
  <r>
    <x v="0"/>
    <x v="18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9"/>
    <x v="3"/>
    <x v="1"/>
    <x v="0"/>
    <x v="1"/>
    <x v="0"/>
    <x v="5"/>
    <x v="3"/>
    <n v="6"/>
    <x v="0"/>
    <n v="6"/>
    <m/>
    <n v="6"/>
    <n v="0"/>
    <m/>
    <x v="0"/>
    <x v="0"/>
    <x v="0"/>
    <n v="1818.181818181818"/>
    <n v="0"/>
    <m/>
  </r>
  <r>
    <x v="0"/>
    <x v="19"/>
    <x v="3"/>
    <x v="1"/>
    <x v="0"/>
    <x v="1"/>
    <x v="0"/>
    <x v="0"/>
    <x v="3"/>
    <n v="5"/>
    <x v="0"/>
    <n v="5"/>
    <m/>
    <n v="5"/>
    <n v="0"/>
    <m/>
    <x v="0"/>
    <x v="0"/>
    <x v="0"/>
    <n v="1515.151515151515"/>
    <n v="0"/>
    <m/>
  </r>
  <r>
    <x v="0"/>
    <x v="20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1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1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2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2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3"/>
    <x v="3"/>
    <x v="1"/>
    <x v="0"/>
    <x v="1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4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4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5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5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6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6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7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7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8"/>
    <x v="3"/>
    <x v="1"/>
    <x v="0"/>
    <x v="1"/>
    <x v="0"/>
    <x v="0"/>
    <x v="3"/>
    <n v="6"/>
    <x v="0"/>
    <n v="6"/>
    <m/>
    <n v="6"/>
    <n v="0"/>
    <m/>
    <x v="0"/>
    <x v="0"/>
    <x v="0"/>
    <n v="1818.181818181818"/>
    <n v="0"/>
    <m/>
  </r>
  <r>
    <x v="0"/>
    <x v="28"/>
    <x v="3"/>
    <x v="1"/>
    <x v="0"/>
    <x v="1"/>
    <x v="0"/>
    <x v="5"/>
    <x v="3"/>
    <n v="5"/>
    <x v="0"/>
    <n v="5"/>
    <m/>
    <n v="5"/>
    <n v="0"/>
    <m/>
    <x v="0"/>
    <x v="0"/>
    <x v="0"/>
    <n v="1515.151515151515"/>
    <n v="0"/>
    <m/>
  </r>
  <r>
    <x v="0"/>
    <x v="29"/>
    <x v="3"/>
    <x v="1"/>
    <x v="0"/>
    <x v="1"/>
    <x v="0"/>
    <x v="0"/>
    <x v="3"/>
    <n v="16"/>
    <x v="0"/>
    <n v="16"/>
    <m/>
    <n v="16"/>
    <n v="0"/>
    <m/>
    <x v="0"/>
    <x v="0"/>
    <x v="0"/>
    <n v="4848.484848484848"/>
    <n v="0"/>
    <m/>
  </r>
  <r>
    <x v="0"/>
    <x v="29"/>
    <x v="4"/>
    <x v="1"/>
    <x v="0"/>
    <x v="1"/>
    <x v="0"/>
    <x v="5"/>
    <x v="3"/>
    <n v="6"/>
    <x v="0"/>
    <n v="6"/>
    <m/>
    <n v="6"/>
    <n v="0"/>
    <m/>
    <x v="0"/>
    <x v="0"/>
    <x v="0"/>
    <n v="1818.181818181818"/>
    <n v="0"/>
    <m/>
  </r>
  <r>
    <x v="0"/>
    <x v="0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2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3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4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5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6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7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8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9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0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1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2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3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4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5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6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7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8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19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20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21"/>
    <x v="4"/>
    <x v="2"/>
    <x v="2"/>
    <x v="2"/>
    <x v="0"/>
    <x v="0"/>
    <x v="0"/>
    <n v="11"/>
    <x v="0"/>
    <m/>
    <m/>
    <n v="0"/>
    <n v="0"/>
    <m/>
    <x v="0"/>
    <x v="0"/>
    <x v="0"/>
    <n v="3333.333333333333"/>
    <n v="0"/>
    <m/>
  </r>
  <r>
    <x v="0"/>
    <x v="22"/>
    <x v="4"/>
    <x v="2"/>
    <x v="2"/>
    <x v="2"/>
    <x v="0"/>
    <x v="1"/>
    <x v="0"/>
    <n v="8"/>
    <x v="0"/>
    <m/>
    <m/>
    <n v="0"/>
    <n v="0"/>
    <m/>
    <x v="0"/>
    <x v="0"/>
    <x v="0"/>
    <n v="0"/>
    <n v="0"/>
    <m/>
  </r>
  <r>
    <x v="0"/>
    <x v="23"/>
    <x v="4"/>
    <x v="2"/>
    <x v="2"/>
    <x v="2"/>
    <x v="0"/>
    <x v="1"/>
    <x v="0"/>
    <n v="8"/>
    <x v="0"/>
    <m/>
    <m/>
    <n v="0"/>
    <n v="0"/>
    <m/>
    <x v="0"/>
    <x v="0"/>
    <x v="0"/>
    <n v="0"/>
    <n v="0"/>
    <m/>
  </r>
  <r>
    <x v="0"/>
    <x v="24"/>
    <x v="4"/>
    <x v="2"/>
    <x v="2"/>
    <x v="2"/>
    <x v="0"/>
    <x v="1"/>
    <x v="0"/>
    <n v="8"/>
    <x v="0"/>
    <m/>
    <m/>
    <n v="0"/>
    <n v="0"/>
    <m/>
    <x v="0"/>
    <x v="0"/>
    <x v="0"/>
    <n v="0"/>
    <n v="0"/>
    <m/>
  </r>
  <r>
    <x v="0"/>
    <x v="25"/>
    <x v="4"/>
    <x v="2"/>
    <x v="2"/>
    <x v="2"/>
    <x v="0"/>
    <x v="1"/>
    <x v="0"/>
    <n v="8"/>
    <x v="0"/>
    <m/>
    <m/>
    <n v="0"/>
    <n v="0"/>
    <m/>
    <x v="0"/>
    <x v="0"/>
    <x v="0"/>
    <n v="0"/>
    <n v="0"/>
    <m/>
  </r>
  <r>
    <x v="0"/>
    <x v="26"/>
    <x v="4"/>
    <x v="2"/>
    <x v="2"/>
    <x v="2"/>
    <x v="0"/>
    <x v="3"/>
    <x v="0"/>
    <n v="1"/>
    <x v="0"/>
    <m/>
    <m/>
    <n v="0"/>
    <n v="0"/>
    <m/>
    <x v="0"/>
    <x v="0"/>
    <x v="0"/>
    <n v="0"/>
    <n v="0"/>
    <m/>
  </r>
  <r>
    <x v="0"/>
    <x v="27"/>
    <x v="4"/>
    <x v="2"/>
    <x v="2"/>
    <x v="2"/>
    <x v="0"/>
    <x v="3"/>
    <x v="0"/>
    <n v="1"/>
    <x v="0"/>
    <m/>
    <m/>
    <n v="0"/>
    <n v="0"/>
    <m/>
    <x v="0"/>
    <x v="0"/>
    <x v="0"/>
    <n v="0"/>
    <n v="0"/>
    <m/>
  </r>
  <r>
    <x v="0"/>
    <x v="28"/>
    <x v="4"/>
    <x v="2"/>
    <x v="2"/>
    <x v="2"/>
    <x v="0"/>
    <x v="2"/>
    <x v="0"/>
    <n v="8"/>
    <x v="0"/>
    <m/>
    <m/>
    <n v="0"/>
    <n v="0"/>
    <m/>
    <x v="0"/>
    <x v="0"/>
    <x v="0"/>
    <n v="0"/>
    <n v="0"/>
    <m/>
  </r>
  <r>
    <x v="0"/>
    <x v="29"/>
    <x v="5"/>
    <x v="2"/>
    <x v="2"/>
    <x v="2"/>
    <x v="0"/>
    <x v="2"/>
    <x v="0"/>
    <n v="8"/>
    <x v="0"/>
    <m/>
    <m/>
    <n v="0"/>
    <n v="0"/>
    <m/>
    <x v="0"/>
    <x v="0"/>
    <x v="0"/>
    <n v="0"/>
    <n v="0"/>
    <m/>
  </r>
  <r>
    <x v="0"/>
    <x v="0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3"/>
    <x v="5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4"/>
    <x v="5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5"/>
    <x v="5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6"/>
    <x v="5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7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8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9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0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1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2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3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4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5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6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7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8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9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0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1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2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3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4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5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6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7"/>
    <x v="5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8"/>
    <x v="5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9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0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3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4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5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6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7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8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9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0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1"/>
    <x v="6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2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3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4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5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6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7"/>
    <x v="6"/>
    <x v="3"/>
    <x v="0"/>
    <x v="3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8"/>
    <x v="6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19"/>
    <x v="6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20"/>
    <x v="6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21"/>
    <x v="6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22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3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4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5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6"/>
    <x v="6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7"/>
    <x v="6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8"/>
    <x v="6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9"/>
    <x v="7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0"/>
    <x v="7"/>
    <x v="3"/>
    <x v="0"/>
    <x v="3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"/>
    <x v="7"/>
    <x v="3"/>
    <x v="1"/>
    <x v="3"/>
    <x v="0"/>
    <x v="3"/>
    <x v="0"/>
    <n v="1"/>
    <x v="0"/>
    <m/>
    <m/>
    <n v="0"/>
    <n v="0"/>
    <m/>
    <x v="0"/>
    <x v="0"/>
    <x v="0"/>
    <n v="0"/>
    <n v="0"/>
    <m/>
  </r>
  <r>
    <x v="0"/>
    <x v="2"/>
    <x v="7"/>
    <x v="3"/>
    <x v="1"/>
    <x v="3"/>
    <x v="0"/>
    <x v="3"/>
    <x v="0"/>
    <n v="1"/>
    <x v="0"/>
    <m/>
    <m/>
    <n v="0"/>
    <n v="0"/>
    <m/>
    <x v="0"/>
    <x v="0"/>
    <x v="0"/>
    <n v="0"/>
    <n v="0"/>
    <m/>
  </r>
  <r>
    <x v="0"/>
    <x v="3"/>
    <x v="7"/>
    <x v="3"/>
    <x v="1"/>
    <x v="3"/>
    <x v="0"/>
    <x v="0"/>
    <x v="0"/>
    <n v="11"/>
    <x v="0"/>
    <m/>
    <m/>
    <n v="0"/>
    <n v="0"/>
    <m/>
    <x v="0"/>
    <x v="0"/>
    <x v="0"/>
    <n v="3333.333333333333"/>
    <n v="0"/>
    <m/>
  </r>
  <r>
    <x v="0"/>
    <x v="4"/>
    <x v="7"/>
    <x v="3"/>
    <x v="1"/>
    <x v="3"/>
    <x v="0"/>
    <x v="7"/>
    <x v="0"/>
    <n v="11"/>
    <x v="0"/>
    <m/>
    <m/>
    <n v="0"/>
    <n v="0"/>
    <m/>
    <x v="0"/>
    <x v="0"/>
    <x v="0"/>
    <n v="3333.333333333333"/>
    <n v="0"/>
    <m/>
  </r>
  <r>
    <x v="0"/>
    <x v="5"/>
    <x v="7"/>
    <x v="3"/>
    <x v="1"/>
    <x v="3"/>
    <x v="0"/>
    <x v="7"/>
    <x v="0"/>
    <n v="11"/>
    <x v="0"/>
    <m/>
    <m/>
    <n v="0"/>
    <n v="0"/>
    <m/>
    <x v="0"/>
    <x v="0"/>
    <x v="0"/>
    <n v="3333.333333333333"/>
    <n v="0"/>
    <m/>
  </r>
  <r>
    <x v="0"/>
    <x v="6"/>
    <x v="7"/>
    <x v="3"/>
    <x v="1"/>
    <x v="3"/>
    <x v="0"/>
    <x v="7"/>
    <x v="0"/>
    <n v="11"/>
    <x v="0"/>
    <m/>
    <m/>
    <n v="0"/>
    <n v="0"/>
    <m/>
    <x v="0"/>
    <x v="0"/>
    <x v="0"/>
    <n v="3333.333333333333"/>
    <n v="0"/>
    <m/>
  </r>
  <r>
    <x v="0"/>
    <x v="7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8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9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0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1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2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3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4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5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6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7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8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19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20"/>
    <x v="7"/>
    <x v="3"/>
    <x v="1"/>
    <x v="3"/>
    <x v="0"/>
    <x v="0"/>
    <x v="2"/>
    <n v="11"/>
    <x v="0"/>
    <m/>
    <m/>
    <n v="0"/>
    <n v="0"/>
    <m/>
    <x v="0"/>
    <x v="0"/>
    <x v="0"/>
    <n v="3333.333333333333"/>
    <n v="0"/>
    <m/>
  </r>
  <r>
    <x v="0"/>
    <x v="21"/>
    <x v="7"/>
    <x v="3"/>
    <x v="1"/>
    <x v="3"/>
    <x v="0"/>
    <x v="1"/>
    <x v="0"/>
    <n v="8"/>
    <x v="0"/>
    <m/>
    <m/>
    <n v="0"/>
    <n v="0"/>
    <m/>
    <x v="0"/>
    <x v="0"/>
    <x v="0"/>
    <n v="0"/>
    <n v="0"/>
    <m/>
  </r>
  <r>
    <x v="0"/>
    <x v="22"/>
    <x v="7"/>
    <x v="3"/>
    <x v="1"/>
    <x v="3"/>
    <x v="0"/>
    <x v="1"/>
    <x v="0"/>
    <n v="8"/>
    <x v="0"/>
    <m/>
    <m/>
    <n v="0"/>
    <n v="0"/>
    <m/>
    <x v="0"/>
    <x v="0"/>
    <x v="0"/>
    <n v="0"/>
    <n v="0"/>
    <m/>
  </r>
  <r>
    <x v="0"/>
    <x v="23"/>
    <x v="7"/>
    <x v="3"/>
    <x v="1"/>
    <x v="3"/>
    <x v="0"/>
    <x v="1"/>
    <x v="0"/>
    <n v="8"/>
    <x v="0"/>
    <m/>
    <m/>
    <n v="0"/>
    <n v="0"/>
    <m/>
    <x v="0"/>
    <x v="0"/>
    <x v="0"/>
    <n v="0"/>
    <n v="0"/>
    <m/>
  </r>
  <r>
    <x v="0"/>
    <x v="24"/>
    <x v="7"/>
    <x v="3"/>
    <x v="1"/>
    <x v="3"/>
    <x v="0"/>
    <x v="2"/>
    <x v="0"/>
    <n v="8"/>
    <x v="0"/>
    <m/>
    <m/>
    <n v="0"/>
    <n v="0"/>
    <m/>
    <x v="0"/>
    <x v="0"/>
    <x v="0"/>
    <n v="0"/>
    <n v="0"/>
    <m/>
  </r>
  <r>
    <x v="0"/>
    <x v="25"/>
    <x v="7"/>
    <x v="3"/>
    <x v="1"/>
    <x v="3"/>
    <x v="0"/>
    <x v="2"/>
    <x v="0"/>
    <n v="8"/>
    <x v="0"/>
    <m/>
    <m/>
    <n v="0"/>
    <n v="0"/>
    <m/>
    <x v="0"/>
    <x v="0"/>
    <x v="0"/>
    <n v="0"/>
    <n v="0"/>
    <m/>
  </r>
  <r>
    <x v="0"/>
    <x v="26"/>
    <x v="7"/>
    <x v="3"/>
    <x v="1"/>
    <x v="3"/>
    <x v="0"/>
    <x v="3"/>
    <x v="0"/>
    <n v="1"/>
    <x v="0"/>
    <m/>
    <m/>
    <n v="0"/>
    <n v="0"/>
    <m/>
    <x v="0"/>
    <x v="0"/>
    <x v="0"/>
    <n v="0"/>
    <n v="0"/>
    <m/>
  </r>
  <r>
    <x v="0"/>
    <x v="27"/>
    <x v="7"/>
    <x v="3"/>
    <x v="1"/>
    <x v="3"/>
    <x v="0"/>
    <x v="3"/>
    <x v="0"/>
    <n v="1"/>
    <x v="0"/>
    <m/>
    <m/>
    <n v="0"/>
    <n v="0"/>
    <m/>
    <x v="0"/>
    <x v="0"/>
    <x v="0"/>
    <n v="0"/>
    <n v="0"/>
    <m/>
  </r>
  <r>
    <x v="0"/>
    <x v="28"/>
    <x v="7"/>
    <x v="3"/>
    <x v="1"/>
    <x v="3"/>
    <x v="0"/>
    <x v="2"/>
    <x v="0"/>
    <n v="8"/>
    <x v="0"/>
    <m/>
    <m/>
    <n v="0"/>
    <n v="0"/>
    <m/>
    <x v="0"/>
    <x v="0"/>
    <x v="0"/>
    <n v="0"/>
    <n v="0"/>
    <m/>
  </r>
  <r>
    <x v="0"/>
    <x v="29"/>
    <x v="8"/>
    <x v="3"/>
    <x v="1"/>
    <x v="3"/>
    <x v="0"/>
    <x v="2"/>
    <x v="0"/>
    <n v="8"/>
    <x v="0"/>
    <m/>
    <m/>
    <n v="0"/>
    <n v="0"/>
    <m/>
    <x v="0"/>
    <x v="0"/>
    <x v="0"/>
    <n v="0"/>
    <n v="0"/>
    <m/>
  </r>
  <r>
    <x v="0"/>
    <x v="0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3"/>
    <x v="8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4"/>
    <x v="8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5"/>
    <x v="8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6"/>
    <x v="8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7"/>
    <x v="8"/>
    <x v="3"/>
    <x v="0"/>
    <x v="3"/>
    <x v="0"/>
    <x v="1"/>
    <x v="0"/>
    <n v="8"/>
    <x v="0"/>
    <m/>
    <m/>
    <n v="0"/>
    <n v="0"/>
    <m/>
    <x v="0"/>
    <x v="0"/>
    <x v="0"/>
    <n v="0"/>
    <n v="0"/>
    <m/>
  </r>
  <r>
    <x v="0"/>
    <x v="8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9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0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1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2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3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14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5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6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7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8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19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0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1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2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3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4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5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6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7"/>
    <x v="8"/>
    <x v="3"/>
    <x v="0"/>
    <x v="3"/>
    <x v="0"/>
    <x v="3"/>
    <x v="0"/>
    <n v="1"/>
    <x v="0"/>
    <m/>
    <m/>
    <n v="0"/>
    <n v="0"/>
    <m/>
    <x v="0"/>
    <x v="0"/>
    <x v="0"/>
    <n v="0"/>
    <n v="0"/>
    <m/>
  </r>
  <r>
    <x v="0"/>
    <x v="28"/>
    <x v="8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29"/>
    <x v="9"/>
    <x v="3"/>
    <x v="0"/>
    <x v="3"/>
    <x v="0"/>
    <x v="2"/>
    <x v="0"/>
    <n v="8"/>
    <x v="0"/>
    <m/>
    <m/>
    <n v="0"/>
    <n v="0"/>
    <m/>
    <x v="0"/>
    <x v="0"/>
    <x v="0"/>
    <n v="0"/>
    <n v="0"/>
    <m/>
  </r>
  <r>
    <x v="0"/>
    <x v="0"/>
    <x v="9"/>
    <x v="4"/>
    <x v="0"/>
    <x v="4"/>
    <x v="0"/>
    <x v="0"/>
    <x v="3"/>
    <n v="17"/>
    <x v="0"/>
    <n v="17"/>
    <m/>
    <n v="17"/>
    <n v="0"/>
    <m/>
    <x v="0"/>
    <x v="0"/>
    <x v="0"/>
    <n v="5151.515151515151"/>
    <n v="0"/>
    <m/>
  </r>
  <r>
    <x v="0"/>
    <x v="0"/>
    <x v="9"/>
    <x v="4"/>
    <x v="0"/>
    <x v="4"/>
    <x v="0"/>
    <x v="0"/>
    <x v="3"/>
    <n v="5"/>
    <x v="0"/>
    <n v="5"/>
    <m/>
    <n v="5"/>
    <n v="0"/>
    <m/>
    <x v="0"/>
    <x v="0"/>
    <x v="0"/>
    <n v="1515.151515151515"/>
    <n v="0"/>
    <m/>
  </r>
  <r>
    <x v="0"/>
    <x v="1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3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4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5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6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7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8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9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0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1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2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3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4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5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6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17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8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19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0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1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2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3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4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5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6"/>
    <x v="9"/>
    <x v="4"/>
    <x v="0"/>
    <x v="4"/>
    <x v="0"/>
    <x v="0"/>
    <x v="3"/>
    <n v="11"/>
    <x v="0"/>
    <n v="11"/>
    <m/>
    <n v="11"/>
    <n v="0"/>
    <m/>
    <x v="0"/>
    <x v="0"/>
    <x v="0"/>
    <n v="3333.333333333333"/>
    <n v="0"/>
    <m/>
  </r>
  <r>
    <x v="0"/>
    <x v="27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8"/>
    <x v="9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29"/>
    <x v="10"/>
    <x v="4"/>
    <x v="0"/>
    <x v="4"/>
    <x v="0"/>
    <x v="0"/>
    <x v="3"/>
    <n v="22"/>
    <x v="0"/>
    <n v="22"/>
    <m/>
    <n v="22"/>
    <n v="0"/>
    <m/>
    <x v="0"/>
    <x v="0"/>
    <x v="0"/>
    <n v="6666.6666666666661"/>
    <n v="0"/>
    <m/>
  </r>
  <r>
    <x v="0"/>
    <x v="0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1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3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4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5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6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7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8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9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10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1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2"/>
    <x v="10"/>
    <x v="5"/>
    <x v="0"/>
    <x v="5"/>
    <x v="0"/>
    <x v="3"/>
    <x v="0"/>
    <n v="1"/>
    <x v="0"/>
    <m/>
    <m/>
    <n v="0"/>
    <n v="0"/>
    <m/>
    <x v="1"/>
    <x v="0"/>
    <x v="0"/>
    <n v="0"/>
    <n v="0"/>
    <m/>
  </r>
  <r>
    <x v="0"/>
    <x v="13"/>
    <x v="10"/>
    <x v="5"/>
    <x v="0"/>
    <x v="5"/>
    <x v="0"/>
    <x v="3"/>
    <x v="0"/>
    <n v="1"/>
    <x v="0"/>
    <m/>
    <m/>
    <n v="0"/>
    <n v="0"/>
    <m/>
    <x v="1"/>
    <x v="0"/>
    <x v="0"/>
    <n v="0"/>
    <n v="0"/>
    <m/>
  </r>
  <r>
    <x v="0"/>
    <x v="14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5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6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7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8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19"/>
    <x v="10"/>
    <x v="5"/>
    <x v="0"/>
    <x v="5"/>
    <x v="0"/>
    <x v="3"/>
    <x v="0"/>
    <n v="1"/>
    <x v="0"/>
    <m/>
    <m/>
    <n v="0"/>
    <n v="0"/>
    <m/>
    <x v="1"/>
    <x v="0"/>
    <x v="0"/>
    <n v="0"/>
    <n v="0"/>
    <m/>
  </r>
  <r>
    <x v="0"/>
    <x v="20"/>
    <x v="10"/>
    <x v="5"/>
    <x v="0"/>
    <x v="5"/>
    <x v="0"/>
    <x v="3"/>
    <x v="0"/>
    <n v="1"/>
    <x v="0"/>
    <m/>
    <m/>
    <n v="0"/>
    <n v="0"/>
    <m/>
    <x v="1"/>
    <x v="0"/>
    <x v="0"/>
    <n v="0"/>
    <n v="0"/>
    <m/>
  </r>
  <r>
    <x v="0"/>
    <x v="21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22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23"/>
    <x v="10"/>
    <x v="5"/>
    <x v="0"/>
    <x v="5"/>
    <x v="0"/>
    <x v="2"/>
    <x v="0"/>
    <n v="8"/>
    <x v="0"/>
    <m/>
    <m/>
    <n v="0"/>
    <n v="0"/>
    <m/>
    <x v="1"/>
    <x v="0"/>
    <x v="0"/>
    <n v="0"/>
    <n v="0"/>
    <m/>
  </r>
  <r>
    <x v="0"/>
    <x v="24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5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6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7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8"/>
    <x v="10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29"/>
    <x v="11"/>
    <x v="5"/>
    <x v="0"/>
    <x v="5"/>
    <x v="0"/>
    <x v="8"/>
    <x v="0"/>
    <n v="1"/>
    <x v="0"/>
    <m/>
    <m/>
    <n v="0"/>
    <n v="0"/>
    <m/>
    <x v="1"/>
    <x v="0"/>
    <x v="0"/>
    <n v="0"/>
    <n v="0"/>
    <m/>
  </r>
  <r>
    <x v="0"/>
    <x v="0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3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4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5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6"/>
    <x v="11"/>
    <x v="6"/>
    <x v="1"/>
    <x v="6"/>
    <x v="0"/>
    <x v="6"/>
    <x v="0"/>
    <n v="11"/>
    <x v="0"/>
    <m/>
    <m/>
    <n v="0"/>
    <n v="0"/>
    <m/>
    <x v="2"/>
    <x v="0"/>
    <x v="0"/>
    <n v="6666.6666666666661"/>
    <n v="0"/>
    <m/>
  </r>
  <r>
    <x v="0"/>
    <x v="7"/>
    <x v="11"/>
    <x v="6"/>
    <x v="1"/>
    <x v="6"/>
    <x v="0"/>
    <x v="6"/>
    <x v="0"/>
    <n v="11"/>
    <x v="0"/>
    <m/>
    <m/>
    <n v="0"/>
    <n v="0"/>
    <m/>
    <x v="2"/>
    <x v="0"/>
    <x v="0"/>
    <n v="6666.6666666666661"/>
    <n v="0"/>
    <m/>
  </r>
  <r>
    <x v="0"/>
    <x v="8"/>
    <x v="11"/>
    <x v="6"/>
    <x v="1"/>
    <x v="6"/>
    <x v="0"/>
    <x v="5"/>
    <x v="2"/>
    <n v="11"/>
    <x v="0"/>
    <m/>
    <n v="11"/>
    <n v="11"/>
    <n v="0"/>
    <m/>
    <x v="2"/>
    <x v="0"/>
    <x v="0"/>
    <n v="6666.6666666666661"/>
    <n v="0"/>
    <m/>
  </r>
  <r>
    <x v="0"/>
    <x v="9"/>
    <x v="11"/>
    <x v="6"/>
    <x v="1"/>
    <x v="6"/>
    <x v="0"/>
    <x v="5"/>
    <x v="2"/>
    <n v="11"/>
    <x v="0"/>
    <m/>
    <n v="11"/>
    <n v="11"/>
    <n v="0"/>
    <m/>
    <x v="2"/>
    <x v="0"/>
    <x v="0"/>
    <n v="6666.6666666666661"/>
    <n v="0"/>
    <m/>
  </r>
  <r>
    <x v="0"/>
    <x v="10"/>
    <x v="11"/>
    <x v="6"/>
    <x v="1"/>
    <x v="6"/>
    <x v="0"/>
    <x v="5"/>
    <x v="2"/>
    <n v="11"/>
    <x v="0"/>
    <m/>
    <n v="11"/>
    <n v="11"/>
    <n v="0"/>
    <m/>
    <x v="2"/>
    <x v="0"/>
    <x v="0"/>
    <n v="6666.6666666666661"/>
    <n v="0"/>
    <m/>
  </r>
  <r>
    <x v="0"/>
    <x v="11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2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3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4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5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6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7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9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0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1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2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3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4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5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6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7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8"/>
    <x v="11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9"/>
    <x v="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0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5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6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7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8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9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0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1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2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3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7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8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9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0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2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3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4"/>
    <x v="8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5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6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8"/>
    <x v="8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9"/>
    <x v="12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0"/>
    <x v="12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1"/>
    <x v="12"/>
    <x v="1"/>
    <x v="1"/>
    <x v="8"/>
    <x v="0"/>
    <x v="7"/>
    <x v="2"/>
    <n v="11"/>
    <x v="0"/>
    <m/>
    <m/>
    <n v="0"/>
    <n v="0"/>
    <m/>
    <x v="4"/>
    <x v="1"/>
    <x v="0"/>
    <n v="4500"/>
    <n v="0"/>
    <m/>
  </r>
  <r>
    <x v="0"/>
    <x v="2"/>
    <x v="12"/>
    <x v="1"/>
    <x v="1"/>
    <x v="8"/>
    <x v="0"/>
    <x v="0"/>
    <x v="2"/>
    <n v="11"/>
    <x v="1"/>
    <m/>
    <m/>
    <n v="0"/>
    <n v="0"/>
    <m/>
    <x v="4"/>
    <x v="1"/>
    <x v="0"/>
    <n v="4500"/>
    <n v="1660"/>
    <m/>
  </r>
  <r>
    <x v="0"/>
    <x v="3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4"/>
    <x v="12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5"/>
    <x v="12"/>
    <x v="1"/>
    <x v="1"/>
    <x v="8"/>
    <x v="0"/>
    <x v="7"/>
    <x v="2"/>
    <n v="11"/>
    <x v="0"/>
    <m/>
    <m/>
    <n v="0"/>
    <n v="0"/>
    <m/>
    <x v="4"/>
    <x v="1"/>
    <x v="0"/>
    <n v="4500"/>
    <n v="0"/>
    <m/>
  </r>
  <r>
    <x v="0"/>
    <x v="6"/>
    <x v="12"/>
    <x v="1"/>
    <x v="1"/>
    <x v="8"/>
    <x v="0"/>
    <x v="7"/>
    <x v="2"/>
    <n v="11"/>
    <x v="0"/>
    <m/>
    <m/>
    <n v="0"/>
    <n v="0"/>
    <m/>
    <x v="4"/>
    <x v="1"/>
    <x v="0"/>
    <n v="4500"/>
    <n v="0"/>
    <m/>
  </r>
  <r>
    <x v="0"/>
    <x v="7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8"/>
    <x v="12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9"/>
    <x v="12"/>
    <x v="1"/>
    <x v="1"/>
    <x v="8"/>
    <x v="0"/>
    <x v="6"/>
    <x v="0"/>
    <n v="11"/>
    <x v="0"/>
    <m/>
    <m/>
    <n v="0"/>
    <n v="0"/>
    <m/>
    <x v="4"/>
    <x v="1"/>
    <x v="0"/>
    <n v="4500"/>
    <n v="0"/>
    <m/>
  </r>
  <r>
    <x v="0"/>
    <x v="10"/>
    <x v="12"/>
    <x v="1"/>
    <x v="1"/>
    <x v="8"/>
    <x v="0"/>
    <x v="0"/>
    <x v="2"/>
    <n v="11"/>
    <x v="1"/>
    <m/>
    <m/>
    <n v="0"/>
    <n v="0"/>
    <m/>
    <x v="4"/>
    <x v="1"/>
    <x v="0"/>
    <n v="4500"/>
    <n v="1660"/>
    <m/>
  </r>
  <r>
    <x v="0"/>
    <x v="11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12"/>
    <x v="12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13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14"/>
    <x v="12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15"/>
    <x v="12"/>
    <x v="1"/>
    <x v="1"/>
    <x v="8"/>
    <x v="0"/>
    <x v="0"/>
    <x v="2"/>
    <n v="11"/>
    <x v="1"/>
    <m/>
    <m/>
    <n v="0"/>
    <n v="0"/>
    <m/>
    <x v="4"/>
    <x v="1"/>
    <x v="0"/>
    <n v="4500"/>
    <n v="1660"/>
    <m/>
  </r>
  <r>
    <x v="0"/>
    <x v="16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17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18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19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20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21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22"/>
    <x v="12"/>
    <x v="1"/>
    <x v="1"/>
    <x v="8"/>
    <x v="0"/>
    <x v="0"/>
    <x v="2"/>
    <n v="11"/>
    <x v="1"/>
    <m/>
    <m/>
    <n v="0"/>
    <n v="0"/>
    <m/>
    <x v="4"/>
    <x v="2"/>
    <x v="0"/>
    <n v="4500"/>
    <n v="5000"/>
    <s v="Бованы-Тамбей"/>
  </r>
  <r>
    <x v="0"/>
    <x v="23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24"/>
    <x v="12"/>
    <x v="1"/>
    <x v="1"/>
    <x v="8"/>
    <x v="0"/>
    <x v="0"/>
    <x v="2"/>
    <n v="11"/>
    <x v="0"/>
    <m/>
    <m/>
    <n v="0"/>
    <n v="0"/>
    <m/>
    <x v="4"/>
    <x v="1"/>
    <x v="0"/>
    <n v="4500"/>
    <n v="0"/>
    <m/>
  </r>
  <r>
    <x v="0"/>
    <x v="25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26"/>
    <x v="12"/>
    <x v="1"/>
    <x v="1"/>
    <x v="8"/>
    <x v="0"/>
    <x v="0"/>
    <x v="2"/>
    <n v="11"/>
    <x v="1"/>
    <m/>
    <m/>
    <n v="0"/>
    <n v="0"/>
    <m/>
    <x v="4"/>
    <x v="2"/>
    <x v="0"/>
    <n v="4500"/>
    <n v="5000"/>
    <s v="Бованы-Тамбей"/>
  </r>
  <r>
    <x v="0"/>
    <x v="27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28"/>
    <x v="12"/>
    <x v="1"/>
    <x v="1"/>
    <x v="8"/>
    <x v="0"/>
    <x v="0"/>
    <x v="2"/>
    <n v="22"/>
    <x v="0"/>
    <m/>
    <m/>
    <n v="0"/>
    <n v="0"/>
    <m/>
    <x v="4"/>
    <x v="1"/>
    <x v="0"/>
    <n v="9000"/>
    <n v="0"/>
    <m/>
  </r>
  <r>
    <x v="0"/>
    <x v="29"/>
    <x v="13"/>
    <x v="1"/>
    <x v="1"/>
    <x v="8"/>
    <x v="0"/>
    <x v="0"/>
    <x v="2"/>
    <n v="22"/>
    <x v="1"/>
    <m/>
    <m/>
    <n v="0"/>
    <n v="0"/>
    <m/>
    <x v="4"/>
    <x v="1"/>
    <x v="0"/>
    <n v="9000"/>
    <n v="1660"/>
    <m/>
  </r>
  <r>
    <x v="0"/>
    <x v="0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3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4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5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6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7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8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9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0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1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2"/>
    <x v="1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3"/>
    <x v="13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14"/>
    <x v="13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15"/>
    <x v="13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16"/>
    <x v="13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17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18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19"/>
    <x v="13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20"/>
    <x v="13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21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2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3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4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5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6"/>
    <x v="13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27"/>
    <x v="13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28"/>
    <x v="13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9"/>
    <x v="14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0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3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4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5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6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7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8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9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0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1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2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3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4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5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6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7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8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9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0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1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2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3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4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5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6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7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8"/>
    <x v="14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9"/>
    <x v="15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0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1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2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3"/>
    <x v="15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4"/>
    <x v="15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5"/>
    <x v="15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6"/>
    <x v="15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7"/>
    <x v="15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8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9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0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1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2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13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14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5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6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7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8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19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20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21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2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3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4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5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6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27"/>
    <x v="15"/>
    <x v="3"/>
    <x v="0"/>
    <x v="3"/>
    <x v="0"/>
    <x v="3"/>
    <x v="0"/>
    <n v="1"/>
    <x v="0"/>
    <m/>
    <m/>
    <n v="0"/>
    <n v="0"/>
    <m/>
    <x v="6"/>
    <x v="0"/>
    <x v="0"/>
    <n v="0"/>
    <n v="0"/>
    <m/>
  </r>
  <r>
    <x v="0"/>
    <x v="28"/>
    <x v="15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29"/>
    <x v="16"/>
    <x v="3"/>
    <x v="0"/>
    <x v="3"/>
    <x v="0"/>
    <x v="2"/>
    <x v="0"/>
    <n v="8"/>
    <x v="0"/>
    <m/>
    <m/>
    <n v="0"/>
    <n v="0"/>
    <m/>
    <x v="6"/>
    <x v="0"/>
    <x v="0"/>
    <n v="0"/>
    <n v="0"/>
    <m/>
  </r>
  <r>
    <x v="0"/>
    <x v="0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3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4"/>
    <x v="16"/>
    <x v="1"/>
    <x v="0"/>
    <x v="9"/>
    <x v="0"/>
    <x v="7"/>
    <x v="3"/>
    <n v="11"/>
    <x v="0"/>
    <n v="11"/>
    <m/>
    <n v="11"/>
    <n v="0"/>
    <m/>
    <x v="4"/>
    <x v="0"/>
    <x v="0"/>
    <n v="4500"/>
    <n v="0"/>
    <m/>
  </r>
  <r>
    <x v="0"/>
    <x v="5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6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7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8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9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0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1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2"/>
    <x v="16"/>
    <x v="1"/>
    <x v="0"/>
    <x v="9"/>
    <x v="0"/>
    <x v="7"/>
    <x v="3"/>
    <n v="11"/>
    <x v="0"/>
    <n v="11"/>
    <m/>
    <n v="11"/>
    <n v="0"/>
    <m/>
    <x v="4"/>
    <x v="0"/>
    <x v="0"/>
    <n v="4500"/>
    <n v="0"/>
    <m/>
  </r>
  <r>
    <x v="0"/>
    <x v="12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3"/>
    <x v="16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4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5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6"/>
    <x v="16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7"/>
    <x v="16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8"/>
    <x v="16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9"/>
    <x v="16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0"/>
    <x v="16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1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2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3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4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5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6"/>
    <x v="16"/>
    <x v="1"/>
    <x v="0"/>
    <x v="9"/>
    <x v="0"/>
    <x v="3"/>
    <x v="0"/>
    <n v="1"/>
    <x v="0"/>
    <m/>
    <m/>
    <n v="0"/>
    <n v="0"/>
    <m/>
    <x v="4"/>
    <x v="0"/>
    <x v="0"/>
    <n v="0"/>
    <n v="0"/>
    <m/>
  </r>
  <r>
    <x v="0"/>
    <x v="27"/>
    <x v="16"/>
    <x v="1"/>
    <x v="0"/>
    <x v="9"/>
    <x v="0"/>
    <x v="3"/>
    <x v="0"/>
    <n v="1"/>
    <x v="0"/>
    <m/>
    <m/>
    <n v="0"/>
    <n v="0"/>
    <m/>
    <x v="4"/>
    <x v="0"/>
    <x v="0"/>
    <n v="0"/>
    <n v="0"/>
    <m/>
  </r>
  <r>
    <x v="0"/>
    <x v="28"/>
    <x v="16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29"/>
    <x v="17"/>
    <x v="1"/>
    <x v="0"/>
    <x v="9"/>
    <x v="0"/>
    <x v="2"/>
    <x v="0"/>
    <n v="8"/>
    <x v="0"/>
    <m/>
    <m/>
    <n v="0"/>
    <n v="0"/>
    <m/>
    <x v="4"/>
    <x v="0"/>
    <x v="0"/>
    <n v="0"/>
    <n v="0"/>
    <m/>
  </r>
  <r>
    <x v="0"/>
    <x v="0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2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3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4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5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6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7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8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9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0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1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2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3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4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5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6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7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8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19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20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21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22"/>
    <x v="17"/>
    <x v="0"/>
    <x v="0"/>
    <x v="0"/>
    <x v="0"/>
    <x v="0"/>
    <x v="0"/>
    <n v="11"/>
    <x v="0"/>
    <m/>
    <m/>
    <n v="0"/>
    <n v="0"/>
    <m/>
    <x v="7"/>
    <x v="0"/>
    <x v="1"/>
    <n v="6000"/>
    <n v="0"/>
    <m/>
  </r>
  <r>
    <x v="0"/>
    <x v="23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4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5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6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7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8"/>
    <x v="17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9"/>
    <x v="18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0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2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3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4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5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6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7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8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9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0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1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2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3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4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5"/>
    <x v="18"/>
    <x v="3"/>
    <x v="0"/>
    <x v="3"/>
    <x v="0"/>
    <x v="9"/>
    <x v="0"/>
    <n v="1"/>
    <x v="0"/>
    <m/>
    <m/>
    <n v="0"/>
    <n v="0"/>
    <m/>
    <x v="6"/>
    <x v="0"/>
    <x v="0"/>
    <n v="0"/>
    <n v="0"/>
    <m/>
  </r>
  <r>
    <x v="0"/>
    <x v="16"/>
    <x v="18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17"/>
    <x v="18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18"/>
    <x v="18"/>
    <x v="3"/>
    <x v="0"/>
    <x v="3"/>
    <x v="0"/>
    <x v="1"/>
    <x v="0"/>
    <n v="8"/>
    <x v="0"/>
    <m/>
    <m/>
    <n v="0"/>
    <n v="0"/>
    <m/>
    <x v="6"/>
    <x v="0"/>
    <x v="0"/>
    <n v="0"/>
    <n v="0"/>
    <m/>
  </r>
  <r>
    <x v="0"/>
    <x v="19"/>
    <x v="18"/>
    <x v="3"/>
    <x v="0"/>
    <x v="3"/>
    <x v="0"/>
    <x v="0"/>
    <x v="0"/>
    <n v="11"/>
    <x v="0"/>
    <m/>
    <m/>
    <n v="0"/>
    <n v="0"/>
    <m/>
    <x v="6"/>
    <x v="0"/>
    <x v="0"/>
    <n v="2666.666666666667"/>
    <n v="0"/>
    <m/>
  </r>
  <r>
    <x v="0"/>
    <x v="20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1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2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3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4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5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6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7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8"/>
    <x v="18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0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0"/>
    <x v="19"/>
    <x v="3"/>
    <x v="0"/>
    <x v="3"/>
    <x v="0"/>
    <x v="0"/>
    <x v="3"/>
    <n v="22"/>
    <x v="0"/>
    <n v="22"/>
    <m/>
    <n v="22"/>
    <n v="0"/>
    <m/>
    <x v="6"/>
    <x v="0"/>
    <x v="0"/>
    <n v="5333.3333333333339"/>
    <n v="0"/>
    <m/>
  </r>
  <r>
    <x v="0"/>
    <x v="1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2"/>
    <x v="19"/>
    <x v="3"/>
    <x v="0"/>
    <x v="3"/>
    <x v="0"/>
    <x v="0"/>
    <x v="3"/>
    <n v="22"/>
    <x v="0"/>
    <n v="22"/>
    <m/>
    <n v="22"/>
    <n v="0"/>
    <m/>
    <x v="6"/>
    <x v="0"/>
    <x v="0"/>
    <n v="5333.3333333333339"/>
    <n v="0"/>
    <m/>
  </r>
  <r>
    <x v="0"/>
    <x v="1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0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2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0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0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2"/>
    <x v="19"/>
    <x v="3"/>
    <x v="0"/>
    <x v="3"/>
    <x v="0"/>
    <x v="0"/>
    <x v="3"/>
    <n v="22"/>
    <x v="0"/>
    <n v="22"/>
    <m/>
    <n v="22"/>
    <n v="0"/>
    <m/>
    <x v="6"/>
    <x v="0"/>
    <x v="0"/>
    <n v="5333.3333333333339"/>
    <n v="0"/>
    <m/>
  </r>
  <r>
    <x v="0"/>
    <x v="1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19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0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1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2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3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4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5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6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7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8"/>
    <x v="19"/>
    <x v="3"/>
    <x v="0"/>
    <x v="3"/>
    <x v="0"/>
    <x v="0"/>
    <x v="3"/>
    <n v="11"/>
    <x v="0"/>
    <n v="11"/>
    <m/>
    <n v="11"/>
    <n v="0"/>
    <m/>
    <x v="6"/>
    <x v="0"/>
    <x v="0"/>
    <n v="2666.666666666667"/>
    <n v="0"/>
    <m/>
  </r>
  <r>
    <x v="0"/>
    <x v="29"/>
    <x v="20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0"/>
    <x v="20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1"/>
    <x v="20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2"/>
    <x v="20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3"/>
    <x v="20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4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5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6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7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8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9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0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1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2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3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4"/>
    <x v="20"/>
    <x v="6"/>
    <x v="1"/>
    <x v="6"/>
    <x v="0"/>
    <x v="0"/>
    <x v="0"/>
    <n v="22"/>
    <x v="0"/>
    <m/>
    <m/>
    <n v="0"/>
    <n v="0"/>
    <m/>
    <x v="2"/>
    <x v="0"/>
    <x v="1"/>
    <n v="15999.999999999998"/>
    <n v="0"/>
    <m/>
  </r>
  <r>
    <x v="0"/>
    <x v="15"/>
    <x v="20"/>
    <x v="6"/>
    <x v="1"/>
    <x v="6"/>
    <x v="0"/>
    <x v="0"/>
    <x v="0"/>
    <n v="22"/>
    <x v="0"/>
    <m/>
    <m/>
    <n v="0"/>
    <n v="0"/>
    <m/>
    <x v="2"/>
    <x v="0"/>
    <x v="1"/>
    <n v="15999.999999999998"/>
    <n v="0"/>
    <m/>
  </r>
  <r>
    <x v="0"/>
    <x v="16"/>
    <x v="20"/>
    <x v="6"/>
    <x v="1"/>
    <x v="6"/>
    <x v="0"/>
    <x v="0"/>
    <x v="0"/>
    <n v="11"/>
    <x v="0"/>
    <m/>
    <m/>
    <n v="0"/>
    <n v="0"/>
    <m/>
    <x v="2"/>
    <x v="0"/>
    <x v="1"/>
    <n v="7999.9999999999991"/>
    <n v="0"/>
    <m/>
  </r>
  <r>
    <x v="0"/>
    <x v="17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18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19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0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1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2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3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4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5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6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7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8"/>
    <x v="20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29"/>
    <x v="21"/>
    <x v="6"/>
    <x v="1"/>
    <x v="6"/>
    <x v="0"/>
    <x v="0"/>
    <x v="2"/>
    <n v="11"/>
    <x v="0"/>
    <n v="11"/>
    <m/>
    <n v="11"/>
    <n v="0"/>
    <m/>
    <x v="2"/>
    <x v="0"/>
    <x v="1"/>
    <n v="7999.9999999999991"/>
    <n v="0"/>
    <m/>
  </r>
  <r>
    <x v="0"/>
    <x v="0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3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4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5"/>
    <x v="21"/>
    <x v="8"/>
    <x v="1"/>
    <x v="10"/>
    <x v="0"/>
    <x v="0"/>
    <x v="2"/>
    <n v="4"/>
    <x v="0"/>
    <n v="4"/>
    <m/>
    <n v="4"/>
    <n v="0"/>
    <m/>
    <x v="9"/>
    <x v="0"/>
    <x v="1"/>
    <n v="2618.1818181818185"/>
    <n v="0"/>
    <m/>
  </r>
  <r>
    <x v="0"/>
    <x v="6"/>
    <x v="21"/>
    <x v="8"/>
    <x v="1"/>
    <x v="10"/>
    <x v="0"/>
    <x v="6"/>
    <x v="0"/>
    <n v="11"/>
    <x v="0"/>
    <m/>
    <m/>
    <n v="0"/>
    <n v="0"/>
    <m/>
    <x v="9"/>
    <x v="0"/>
    <x v="0"/>
    <n v="6000"/>
    <n v="0"/>
    <m/>
  </r>
  <r>
    <x v="0"/>
    <x v="7"/>
    <x v="21"/>
    <x v="8"/>
    <x v="1"/>
    <x v="10"/>
    <x v="0"/>
    <x v="6"/>
    <x v="2"/>
    <n v="11"/>
    <x v="0"/>
    <n v="11"/>
    <m/>
    <n v="11"/>
    <n v="0"/>
    <m/>
    <x v="9"/>
    <x v="0"/>
    <x v="1"/>
    <n v="7200"/>
    <n v="0"/>
    <m/>
  </r>
  <r>
    <x v="0"/>
    <x v="8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9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0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1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2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3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4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5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6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17"/>
    <x v="21"/>
    <x v="8"/>
    <x v="1"/>
    <x v="10"/>
    <x v="0"/>
    <x v="6"/>
    <x v="0"/>
    <n v="11"/>
    <x v="0"/>
    <m/>
    <m/>
    <n v="0"/>
    <n v="0"/>
    <m/>
    <x v="9"/>
    <x v="0"/>
    <x v="0"/>
    <n v="6000"/>
    <n v="0"/>
    <m/>
  </r>
  <r>
    <x v="0"/>
    <x v="18"/>
    <x v="21"/>
    <x v="8"/>
    <x v="1"/>
    <x v="10"/>
    <x v="0"/>
    <x v="6"/>
    <x v="0"/>
    <n v="11"/>
    <x v="0"/>
    <m/>
    <m/>
    <n v="0"/>
    <n v="0"/>
    <m/>
    <x v="9"/>
    <x v="0"/>
    <x v="0"/>
    <n v="6000"/>
    <n v="0"/>
    <m/>
  </r>
  <r>
    <x v="0"/>
    <x v="19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0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1"/>
    <x v="21"/>
    <x v="8"/>
    <x v="1"/>
    <x v="10"/>
    <x v="0"/>
    <x v="7"/>
    <x v="2"/>
    <n v="11"/>
    <x v="0"/>
    <n v="11"/>
    <m/>
    <n v="11"/>
    <n v="0"/>
    <m/>
    <x v="9"/>
    <x v="0"/>
    <x v="1"/>
    <n v="7200"/>
    <n v="0"/>
    <m/>
  </r>
  <r>
    <x v="0"/>
    <x v="22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3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4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5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6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7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8"/>
    <x v="21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29"/>
    <x v="22"/>
    <x v="8"/>
    <x v="1"/>
    <x v="10"/>
    <x v="0"/>
    <x v="0"/>
    <x v="2"/>
    <n v="11"/>
    <x v="0"/>
    <n v="11"/>
    <m/>
    <n v="11"/>
    <n v="0"/>
    <m/>
    <x v="9"/>
    <x v="0"/>
    <x v="1"/>
    <n v="7200"/>
    <n v="0"/>
    <m/>
  </r>
  <r>
    <x v="0"/>
    <x v="0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1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2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3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4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5"/>
    <x v="22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6"/>
    <x v="22"/>
    <x v="4"/>
    <x v="0"/>
    <x v="4"/>
    <x v="0"/>
    <x v="3"/>
    <x v="0"/>
    <n v="1"/>
    <x v="0"/>
    <m/>
    <m/>
    <n v="0"/>
    <n v="0"/>
    <m/>
    <x v="5"/>
    <x v="0"/>
    <x v="0"/>
    <n v="0"/>
    <n v="0"/>
    <m/>
  </r>
  <r>
    <x v="0"/>
    <x v="7"/>
    <x v="22"/>
    <x v="4"/>
    <x v="0"/>
    <x v="4"/>
    <x v="0"/>
    <x v="2"/>
    <x v="0"/>
    <n v="8"/>
    <x v="0"/>
    <m/>
    <m/>
    <n v="0"/>
    <n v="0"/>
    <m/>
    <x v="5"/>
    <x v="0"/>
    <x v="0"/>
    <n v="0"/>
    <n v="0"/>
    <m/>
  </r>
  <r>
    <x v="0"/>
    <x v="8"/>
    <x v="22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9"/>
    <x v="22"/>
    <x v="4"/>
    <x v="0"/>
    <x v="4"/>
    <x v="0"/>
    <x v="1"/>
    <x v="0"/>
    <n v="8"/>
    <x v="0"/>
    <m/>
    <m/>
    <n v="0"/>
    <n v="0"/>
    <m/>
    <x v="5"/>
    <x v="0"/>
    <x v="0"/>
    <n v="0"/>
    <n v="0"/>
    <m/>
  </r>
  <r>
    <x v="0"/>
    <x v="10"/>
    <x v="22"/>
    <x v="4"/>
    <x v="0"/>
    <x v="4"/>
    <x v="0"/>
    <x v="10"/>
    <x v="0"/>
    <n v="11"/>
    <x v="0"/>
    <m/>
    <m/>
    <n v="0"/>
    <n v="0"/>
    <m/>
    <x v="5"/>
    <x v="0"/>
    <x v="0"/>
    <n v="0"/>
    <n v="0"/>
    <m/>
  </r>
  <r>
    <x v="0"/>
    <x v="11"/>
    <x v="22"/>
    <x v="4"/>
    <x v="0"/>
    <x v="4"/>
    <x v="0"/>
    <x v="10"/>
    <x v="0"/>
    <n v="11"/>
    <x v="0"/>
    <m/>
    <m/>
    <n v="0"/>
    <n v="0"/>
    <m/>
    <x v="5"/>
    <x v="0"/>
    <x v="0"/>
    <n v="0"/>
    <n v="0"/>
    <m/>
  </r>
  <r>
    <x v="0"/>
    <x v="12"/>
    <x v="22"/>
    <x v="4"/>
    <x v="0"/>
    <x v="4"/>
    <x v="0"/>
    <x v="7"/>
    <x v="0"/>
    <n v="11"/>
    <x v="0"/>
    <m/>
    <m/>
    <n v="0"/>
    <n v="0"/>
    <m/>
    <x v="5"/>
    <x v="0"/>
    <x v="0"/>
    <n v="5333.3333333333339"/>
    <n v="0"/>
    <m/>
  </r>
  <r>
    <x v="0"/>
    <x v="13"/>
    <x v="22"/>
    <x v="4"/>
    <x v="0"/>
    <x v="4"/>
    <x v="0"/>
    <x v="10"/>
    <x v="0"/>
    <n v="11"/>
    <x v="0"/>
    <m/>
    <m/>
    <n v="0"/>
    <n v="0"/>
    <m/>
    <x v="5"/>
    <x v="0"/>
    <x v="0"/>
    <n v="0"/>
    <n v="0"/>
    <m/>
  </r>
  <r>
    <x v="0"/>
    <x v="14"/>
    <x v="22"/>
    <x v="4"/>
    <x v="0"/>
    <x v="4"/>
    <x v="0"/>
    <x v="0"/>
    <x v="0"/>
    <n v="11"/>
    <x v="0"/>
    <m/>
    <m/>
    <n v="0"/>
    <n v="0"/>
    <m/>
    <x v="5"/>
    <x v="0"/>
    <x v="0"/>
    <n v="5333.3333333333339"/>
    <n v="0"/>
    <m/>
  </r>
  <r>
    <x v="0"/>
    <x v="15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6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7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8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9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0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1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2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3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4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5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6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7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8"/>
    <x v="22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9"/>
    <x v="23"/>
    <x v="4"/>
    <x v="0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0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1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3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4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5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6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7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8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9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10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11"/>
    <x v="23"/>
    <x v="3"/>
    <x v="0"/>
    <x v="3"/>
    <x v="0"/>
    <x v="0"/>
    <x v="3"/>
    <n v="22"/>
    <x v="0"/>
    <n v="22"/>
    <m/>
    <n v="22"/>
    <n v="0"/>
    <m/>
    <x v="8"/>
    <x v="0"/>
    <x v="0"/>
    <n v="5866.666666666667"/>
    <n v="0"/>
    <m/>
  </r>
  <r>
    <x v="0"/>
    <x v="12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3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4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5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6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7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8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9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0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1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2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3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4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5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6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7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8"/>
    <x v="23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9"/>
    <x v="24"/>
    <x v="3"/>
    <x v="0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0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3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4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5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6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7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8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9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0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1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2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3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4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5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6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7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8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19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0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1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2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3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4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5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6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7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8"/>
    <x v="24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29"/>
    <x v="25"/>
    <x v="5"/>
    <x v="0"/>
    <x v="5"/>
    <x v="0"/>
    <x v="0"/>
    <x v="0"/>
    <n v="11"/>
    <x v="0"/>
    <m/>
    <m/>
    <n v="0"/>
    <n v="0"/>
    <m/>
    <x v="1"/>
    <x v="0"/>
    <x v="0"/>
    <n v="0"/>
    <n v="0"/>
    <m/>
  </r>
  <r>
    <x v="0"/>
    <x v="0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s v="скв. 58 МНГКМ 08.02.2024"/>
  </r>
  <r>
    <x v="0"/>
    <x v="3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s v="скв. 58 МНГКМ 11.02.2024"/>
  </r>
  <r>
    <x v="0"/>
    <x v="4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5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6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7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8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9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0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1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2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3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4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5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6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7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8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9"/>
    <x v="25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0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1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2"/>
    <x v="25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3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4"/>
    <x v="25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25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6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7"/>
    <x v="25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8"/>
    <x v="25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9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0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s v="скв. 58 МНГКМ"/>
  </r>
  <r>
    <x v="0"/>
    <x v="3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s v="скв. 58 МНГКМ"/>
  </r>
  <r>
    <x v="0"/>
    <x v="4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5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6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7"/>
    <x v="26"/>
    <x v="1"/>
    <x v="1"/>
    <x v="8"/>
    <x v="0"/>
    <x v="6"/>
    <x v="2"/>
    <n v="11"/>
    <x v="0"/>
    <m/>
    <m/>
    <n v="0"/>
    <n v="0"/>
    <m/>
    <x v="10"/>
    <x v="1"/>
    <x v="0"/>
    <n v="4833.333333333333"/>
    <n v="0"/>
    <m/>
  </r>
  <r>
    <x v="0"/>
    <x v="8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9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0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1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2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3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4"/>
    <x v="26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15"/>
    <x v="26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16"/>
    <x v="26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17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8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9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0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1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2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3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4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5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6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7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8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9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0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"/>
    <x v="26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2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s v="скв. 58 МНГКМ 08.02.2024"/>
  </r>
  <r>
    <x v="0"/>
    <x v="3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s v="скв. 58 МНГКМ 11.02.2024"/>
  </r>
  <r>
    <x v="0"/>
    <x v="4"/>
    <x v="26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5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6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7"/>
    <x v="26"/>
    <x v="1"/>
    <x v="1"/>
    <x v="8"/>
    <x v="0"/>
    <x v="6"/>
    <x v="0"/>
    <n v="11"/>
    <x v="0"/>
    <m/>
    <m/>
    <n v="0"/>
    <n v="0"/>
    <m/>
    <x v="10"/>
    <x v="1"/>
    <x v="0"/>
    <n v="4833.333333333333"/>
    <n v="0"/>
    <m/>
  </r>
  <r>
    <x v="0"/>
    <x v="8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9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0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1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2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3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4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5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6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7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8"/>
    <x v="26"/>
    <x v="1"/>
    <x v="1"/>
    <x v="8"/>
    <x v="0"/>
    <x v="6"/>
    <x v="0"/>
    <n v="11"/>
    <x v="0"/>
    <m/>
    <m/>
    <n v="0"/>
    <n v="0"/>
    <m/>
    <x v="10"/>
    <x v="1"/>
    <x v="0"/>
    <n v="4833.333333333333"/>
    <n v="0"/>
    <m/>
  </r>
  <r>
    <x v="0"/>
    <x v="19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0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1"/>
    <x v="26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2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3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4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5"/>
    <x v="26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6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7"/>
    <x v="26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8"/>
    <x v="26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9"/>
    <x v="27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0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3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4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5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6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7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8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9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0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1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2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3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4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5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6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7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8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9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0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1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2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3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4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5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6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7"/>
    <x v="27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8"/>
    <x v="27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9"/>
    <x v="2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0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28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5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6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8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9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0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2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3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7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9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0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28"/>
    <x v="1"/>
    <x v="1"/>
    <x v="11"/>
    <x v="0"/>
    <x v="7"/>
    <x v="0"/>
    <n v="11"/>
    <x v="0"/>
    <n v="11"/>
    <m/>
    <n v="11"/>
    <n v="0"/>
    <m/>
    <x v="3"/>
    <x v="0"/>
    <x v="0"/>
    <n v="5666.6666666666661"/>
    <n v="0"/>
    <m/>
  </r>
  <r>
    <x v="0"/>
    <x v="22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3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4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5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6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8"/>
    <x v="28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9"/>
    <x v="2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0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3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4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5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6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7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8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9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0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1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2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3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4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5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6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7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8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9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0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1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2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3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4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5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6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7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8"/>
    <x v="29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9"/>
    <x v="30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0"/>
    <x v="30"/>
    <x v="9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"/>
    <x v="30"/>
    <x v="9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"/>
    <x v="30"/>
    <x v="9"/>
    <x v="1"/>
    <x v="12"/>
    <x v="0"/>
    <x v="7"/>
    <x v="0"/>
    <n v="11"/>
    <x v="0"/>
    <m/>
    <m/>
    <n v="0"/>
    <n v="0"/>
    <m/>
    <x v="12"/>
    <x v="0"/>
    <x v="0"/>
    <n v="6333.333333333333"/>
    <n v="0"/>
    <m/>
  </r>
  <r>
    <x v="0"/>
    <x v="3"/>
    <x v="30"/>
    <x v="9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4"/>
    <x v="30"/>
    <x v="9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5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6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7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8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9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0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1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2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13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14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5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6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7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8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19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20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21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2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3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4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5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6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27"/>
    <x v="30"/>
    <x v="9"/>
    <x v="1"/>
    <x v="12"/>
    <x v="0"/>
    <x v="3"/>
    <x v="0"/>
    <n v="1"/>
    <x v="0"/>
    <m/>
    <m/>
    <n v="0"/>
    <n v="0"/>
    <m/>
    <x v="12"/>
    <x v="0"/>
    <x v="0"/>
    <n v="0"/>
    <n v="0"/>
    <m/>
  </r>
  <r>
    <x v="0"/>
    <x v="28"/>
    <x v="30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29"/>
    <x v="31"/>
    <x v="9"/>
    <x v="1"/>
    <x v="12"/>
    <x v="0"/>
    <x v="2"/>
    <x v="0"/>
    <n v="8"/>
    <x v="0"/>
    <m/>
    <m/>
    <n v="0"/>
    <n v="0"/>
    <m/>
    <x v="12"/>
    <x v="0"/>
    <x v="0"/>
    <n v="0"/>
    <n v="0"/>
    <m/>
  </r>
  <r>
    <x v="0"/>
    <x v="0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3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4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5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6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7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8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9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0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2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3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5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6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7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8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9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0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1"/>
    <x v="31"/>
    <x v="7"/>
    <x v="1"/>
    <x v="7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2"/>
    <x v="31"/>
    <x v="7"/>
    <x v="1"/>
    <x v="7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23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4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5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6"/>
    <x v="31"/>
    <x v="7"/>
    <x v="1"/>
    <x v="7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27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8"/>
    <x v="31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9"/>
    <x v="32"/>
    <x v="7"/>
    <x v="1"/>
    <x v="7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0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32"/>
    <x v="1"/>
    <x v="1"/>
    <x v="11"/>
    <x v="0"/>
    <x v="0"/>
    <x v="2"/>
    <n v="13"/>
    <x v="0"/>
    <n v="13"/>
    <m/>
    <n v="13"/>
    <n v="0"/>
    <m/>
    <x v="3"/>
    <x v="0"/>
    <x v="0"/>
    <n v="6696.969696969697"/>
    <n v="0"/>
    <m/>
  </r>
  <r>
    <x v="0"/>
    <x v="3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5"/>
    <x v="32"/>
    <x v="1"/>
    <x v="1"/>
    <x v="11"/>
    <x v="0"/>
    <x v="0"/>
    <x v="2"/>
    <n v="14"/>
    <x v="0"/>
    <n v="14"/>
    <m/>
    <n v="14"/>
    <n v="0"/>
    <m/>
    <x v="3"/>
    <x v="0"/>
    <x v="0"/>
    <n v="7212.121212121212"/>
    <n v="0"/>
    <m/>
  </r>
  <r>
    <x v="0"/>
    <x v="6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32"/>
    <x v="1"/>
    <x v="1"/>
    <x v="11"/>
    <x v="0"/>
    <x v="0"/>
    <x v="2"/>
    <n v="20"/>
    <x v="0"/>
    <n v="20"/>
    <m/>
    <n v="20"/>
    <n v="0"/>
    <m/>
    <x v="3"/>
    <x v="0"/>
    <x v="0"/>
    <n v="10303.030303030302"/>
    <n v="0"/>
    <m/>
  </r>
  <r>
    <x v="0"/>
    <x v="8"/>
    <x v="32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9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9"/>
    <x v="32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10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2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3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32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16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32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17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9"/>
    <x v="32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20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32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32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22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3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4"/>
    <x v="32"/>
    <x v="1"/>
    <x v="1"/>
    <x v="11"/>
    <x v="0"/>
    <x v="0"/>
    <x v="2"/>
    <n v="21"/>
    <x v="0"/>
    <n v="21"/>
    <m/>
    <n v="21"/>
    <n v="0"/>
    <m/>
    <x v="3"/>
    <x v="0"/>
    <x v="0"/>
    <n v="10818.181818181818"/>
    <n v="0"/>
    <m/>
  </r>
  <r>
    <x v="0"/>
    <x v="24"/>
    <x v="32"/>
    <x v="1"/>
    <x v="1"/>
    <x v="11"/>
    <x v="0"/>
    <x v="5"/>
    <x v="2"/>
    <n v="1"/>
    <x v="0"/>
    <n v="1"/>
    <m/>
    <n v="1"/>
    <n v="0"/>
    <m/>
    <x v="3"/>
    <x v="0"/>
    <x v="0"/>
    <n v="515.15151515151513"/>
    <n v="0"/>
    <m/>
  </r>
  <r>
    <x v="0"/>
    <x v="25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6"/>
    <x v="32"/>
    <x v="1"/>
    <x v="1"/>
    <x v="11"/>
    <x v="0"/>
    <x v="0"/>
    <x v="2"/>
    <n v="17"/>
    <x v="0"/>
    <n v="17"/>
    <m/>
    <n v="17"/>
    <n v="0"/>
    <m/>
    <x v="3"/>
    <x v="0"/>
    <x v="0"/>
    <n v="8757.575757575758"/>
    <n v="0"/>
    <m/>
  </r>
  <r>
    <x v="0"/>
    <x v="26"/>
    <x v="32"/>
    <x v="1"/>
    <x v="1"/>
    <x v="11"/>
    <x v="0"/>
    <x v="5"/>
    <x v="2"/>
    <n v="5"/>
    <x v="0"/>
    <n v="5"/>
    <m/>
    <n v="5"/>
    <n v="0"/>
    <m/>
    <x v="3"/>
    <x v="0"/>
    <x v="0"/>
    <n v="2575.7575757575755"/>
    <n v="0"/>
    <m/>
  </r>
  <r>
    <x v="0"/>
    <x v="27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8"/>
    <x v="32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9"/>
    <x v="3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0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3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4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5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6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7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8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9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0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1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2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3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4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5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6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7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8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9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0"/>
    <x v="3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1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2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3"/>
    <x v="3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4"/>
    <x v="3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5"/>
    <x v="3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6"/>
    <x v="3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7"/>
    <x v="3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8"/>
    <x v="33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9"/>
    <x v="34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0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3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4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5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6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7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8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9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0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1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2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3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4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5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6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7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8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19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0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1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2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3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4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5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6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7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8"/>
    <x v="34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29"/>
    <x v="35"/>
    <x v="2"/>
    <x v="1"/>
    <x v="2"/>
    <x v="0"/>
    <x v="0"/>
    <x v="0"/>
    <n v="11"/>
    <x v="0"/>
    <m/>
    <m/>
    <n v="0"/>
    <n v="0"/>
    <m/>
    <x v="14"/>
    <x v="0"/>
    <x v="1"/>
    <n v="4800"/>
    <n v="0"/>
    <m/>
  </r>
  <r>
    <x v="0"/>
    <x v="0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3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4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5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6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7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8"/>
    <x v="35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9"/>
    <x v="35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10"/>
    <x v="35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11"/>
    <x v="35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12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13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14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5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6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7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8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9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0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1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2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3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4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5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6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7"/>
    <x v="35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8"/>
    <x v="35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9"/>
    <x v="3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0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4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5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6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7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8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9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0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1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2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4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5"/>
    <x v="36"/>
    <x v="3"/>
    <x v="1"/>
    <x v="3"/>
    <x v="0"/>
    <x v="0"/>
    <x v="2"/>
    <n v="12"/>
    <x v="0"/>
    <m/>
    <m/>
    <n v="0"/>
    <n v="0"/>
    <m/>
    <x v="11"/>
    <x v="0"/>
    <x v="0"/>
    <n v="4000"/>
    <n v="0"/>
    <m/>
  </r>
  <r>
    <x v="0"/>
    <x v="16"/>
    <x v="36"/>
    <x v="3"/>
    <x v="1"/>
    <x v="3"/>
    <x v="0"/>
    <x v="0"/>
    <x v="2"/>
    <n v="12"/>
    <x v="0"/>
    <m/>
    <m/>
    <n v="0"/>
    <n v="0"/>
    <m/>
    <x v="11"/>
    <x v="0"/>
    <x v="0"/>
    <n v="4000"/>
    <n v="0"/>
    <m/>
  </r>
  <r>
    <x v="0"/>
    <x v="17"/>
    <x v="36"/>
    <x v="3"/>
    <x v="1"/>
    <x v="3"/>
    <x v="0"/>
    <x v="0"/>
    <x v="2"/>
    <n v="12"/>
    <x v="0"/>
    <m/>
    <m/>
    <n v="0"/>
    <n v="0"/>
    <m/>
    <x v="11"/>
    <x v="0"/>
    <x v="0"/>
    <n v="4000"/>
    <n v="0"/>
    <m/>
  </r>
  <r>
    <x v="0"/>
    <x v="18"/>
    <x v="36"/>
    <x v="3"/>
    <x v="1"/>
    <x v="3"/>
    <x v="0"/>
    <x v="0"/>
    <x v="2"/>
    <n v="12"/>
    <x v="0"/>
    <m/>
    <m/>
    <n v="0"/>
    <n v="0"/>
    <m/>
    <x v="11"/>
    <x v="0"/>
    <x v="0"/>
    <n v="4000"/>
    <n v="0"/>
    <m/>
  </r>
  <r>
    <x v="0"/>
    <x v="19"/>
    <x v="36"/>
    <x v="3"/>
    <x v="1"/>
    <x v="3"/>
    <x v="0"/>
    <x v="0"/>
    <x v="2"/>
    <n v="12"/>
    <x v="0"/>
    <m/>
    <m/>
    <n v="0"/>
    <n v="0"/>
    <m/>
    <x v="11"/>
    <x v="0"/>
    <x v="0"/>
    <n v="4000"/>
    <n v="0"/>
    <m/>
  </r>
  <r>
    <x v="0"/>
    <x v="20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1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2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4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5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6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7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8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9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0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4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5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6"/>
    <x v="36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7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8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9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0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1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2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4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5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6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7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8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9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0"/>
    <x v="36"/>
    <x v="3"/>
    <x v="1"/>
    <x v="3"/>
    <x v="0"/>
    <x v="0"/>
    <x v="2"/>
    <n v="13"/>
    <x v="0"/>
    <m/>
    <m/>
    <n v="0"/>
    <n v="0"/>
    <m/>
    <x v="11"/>
    <x v="0"/>
    <x v="0"/>
    <n v="4333.333333333333"/>
    <n v="0"/>
    <m/>
  </r>
  <r>
    <x v="0"/>
    <x v="21"/>
    <x v="36"/>
    <x v="3"/>
    <x v="1"/>
    <x v="3"/>
    <x v="0"/>
    <x v="0"/>
    <x v="2"/>
    <n v="13"/>
    <x v="0"/>
    <m/>
    <m/>
    <n v="0"/>
    <n v="0"/>
    <m/>
    <x v="11"/>
    <x v="0"/>
    <x v="0"/>
    <n v="4333.333333333333"/>
    <n v="0"/>
    <m/>
  </r>
  <r>
    <x v="0"/>
    <x v="22"/>
    <x v="36"/>
    <x v="3"/>
    <x v="1"/>
    <x v="3"/>
    <x v="0"/>
    <x v="0"/>
    <x v="2"/>
    <n v="13"/>
    <x v="0"/>
    <m/>
    <m/>
    <n v="0"/>
    <n v="0"/>
    <m/>
    <x v="11"/>
    <x v="0"/>
    <x v="0"/>
    <n v="4333.333333333333"/>
    <n v="0"/>
    <m/>
  </r>
  <r>
    <x v="0"/>
    <x v="23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4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5"/>
    <x v="36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6"/>
    <x v="36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27"/>
    <x v="36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28"/>
    <x v="36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29"/>
    <x v="37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0"/>
    <x v="37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3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4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5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6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7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8"/>
    <x v="37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9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0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1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2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3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4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5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6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7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8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19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0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1"/>
    <x v="37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2"/>
    <x v="37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3"/>
    <x v="37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4"/>
    <x v="37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5"/>
    <x v="37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6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7"/>
    <x v="37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8"/>
    <x v="37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9"/>
    <x v="38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0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3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4"/>
    <x v="38"/>
    <x v="6"/>
    <x v="1"/>
    <x v="6"/>
    <x v="0"/>
    <x v="7"/>
    <x v="0"/>
    <n v="11"/>
    <x v="0"/>
    <m/>
    <m/>
    <n v="0"/>
    <n v="0"/>
    <m/>
    <x v="2"/>
    <x v="0"/>
    <x v="0"/>
    <n v="6666.6666666666661"/>
    <n v="0"/>
    <m/>
  </r>
  <r>
    <x v="0"/>
    <x v="5"/>
    <x v="38"/>
    <x v="6"/>
    <x v="1"/>
    <x v="6"/>
    <x v="0"/>
    <x v="7"/>
    <x v="0"/>
    <n v="11"/>
    <x v="0"/>
    <m/>
    <m/>
    <n v="0"/>
    <n v="0"/>
    <m/>
    <x v="2"/>
    <x v="0"/>
    <x v="0"/>
    <n v="6666.6666666666661"/>
    <n v="0"/>
    <m/>
  </r>
  <r>
    <x v="0"/>
    <x v="6"/>
    <x v="38"/>
    <x v="6"/>
    <x v="1"/>
    <x v="6"/>
    <x v="0"/>
    <x v="6"/>
    <x v="0"/>
    <n v="11"/>
    <x v="0"/>
    <m/>
    <m/>
    <n v="0"/>
    <n v="0"/>
    <m/>
    <x v="2"/>
    <x v="0"/>
    <x v="0"/>
    <n v="6666.6666666666661"/>
    <n v="0"/>
    <m/>
  </r>
  <r>
    <x v="0"/>
    <x v="7"/>
    <x v="38"/>
    <x v="6"/>
    <x v="1"/>
    <x v="6"/>
    <x v="0"/>
    <x v="6"/>
    <x v="0"/>
    <n v="11"/>
    <x v="0"/>
    <m/>
    <m/>
    <n v="0"/>
    <n v="0"/>
    <m/>
    <x v="2"/>
    <x v="0"/>
    <x v="0"/>
    <n v="6666.6666666666661"/>
    <n v="0"/>
    <m/>
  </r>
  <r>
    <x v="0"/>
    <x v="8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9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0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1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2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3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4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5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6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7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9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0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1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2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3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4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5"/>
    <x v="38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6"/>
    <x v="38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27"/>
    <x v="38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28"/>
    <x v="38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29"/>
    <x v="39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0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3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4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5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6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7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8"/>
    <x v="3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9"/>
    <x v="39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0"/>
    <x v="39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1"/>
    <x v="39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2"/>
    <x v="39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3"/>
    <x v="39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4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5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6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7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8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9"/>
    <x v="39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0"/>
    <x v="39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1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2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3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4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5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6"/>
    <x v="39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7"/>
    <x v="39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8"/>
    <x v="3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9"/>
    <x v="40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0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"/>
    <x v="40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3"/>
    <x v="40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4"/>
    <x v="40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5"/>
    <x v="40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6"/>
    <x v="40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7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8"/>
    <x v="40"/>
    <x v="1"/>
    <x v="1"/>
    <x v="8"/>
    <x v="0"/>
    <x v="0"/>
    <x v="2"/>
    <n v="22"/>
    <x v="2"/>
    <m/>
    <m/>
    <n v="0"/>
    <n v="0"/>
    <m/>
    <x v="10"/>
    <x v="1"/>
    <x v="0"/>
    <n v="9666.6666666666661"/>
    <n v="3320"/>
    <m/>
  </r>
  <r>
    <x v="0"/>
    <x v="9"/>
    <x v="40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0"/>
    <x v="40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1"/>
    <x v="40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2"/>
    <x v="40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3"/>
    <x v="40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4"/>
    <x v="40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5"/>
    <x v="40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6"/>
    <x v="40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17"/>
    <x v="40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s v="54-127"/>
  </r>
  <r>
    <x v="0"/>
    <x v="18"/>
    <x v="40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19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0"/>
    <x v="40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21"/>
    <x v="40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22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3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4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5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6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7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8"/>
    <x v="40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9"/>
    <x v="41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0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3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4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5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6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7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8"/>
    <x v="41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9"/>
    <x v="41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0"/>
    <x v="41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1"/>
    <x v="41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2"/>
    <x v="41"/>
    <x v="3"/>
    <x v="1"/>
    <x v="3"/>
    <x v="0"/>
    <x v="1"/>
    <x v="0"/>
    <n v="8"/>
    <x v="0"/>
    <m/>
    <m/>
    <n v="0"/>
    <n v="0"/>
    <m/>
    <x v="11"/>
    <x v="0"/>
    <x v="0"/>
    <n v="0"/>
    <n v="0"/>
    <m/>
  </r>
  <r>
    <x v="0"/>
    <x v="13"/>
    <x v="41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4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5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6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7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8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9"/>
    <x v="41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0"/>
    <x v="41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1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2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3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4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5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6"/>
    <x v="41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7"/>
    <x v="41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8"/>
    <x v="41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9"/>
    <x v="42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0"/>
    <x v="42"/>
    <x v="1"/>
    <x v="1"/>
    <x v="9"/>
    <x v="0"/>
    <x v="0"/>
    <x v="2"/>
    <n v="11"/>
    <x v="1"/>
    <m/>
    <m/>
    <n v="0"/>
    <n v="0"/>
    <m/>
    <x v="15"/>
    <x v="2"/>
    <x v="0"/>
    <n v="5400"/>
    <n v="5000"/>
    <s v="3 точки"/>
  </r>
  <r>
    <x v="0"/>
    <x v="1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4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3"/>
    <x v="4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4"/>
    <x v="4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5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6"/>
    <x v="42"/>
    <x v="1"/>
    <x v="1"/>
    <x v="9"/>
    <x v="0"/>
    <x v="0"/>
    <x v="2"/>
    <n v="11"/>
    <x v="1"/>
    <m/>
    <m/>
    <n v="0"/>
    <n v="0"/>
    <m/>
    <x v="15"/>
    <x v="2"/>
    <x v="0"/>
    <n v="5400"/>
    <n v="5000"/>
    <s v="4 точки"/>
  </r>
  <r>
    <x v="0"/>
    <x v="7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8"/>
    <x v="4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9"/>
    <x v="4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0"/>
    <x v="4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1"/>
    <x v="4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2"/>
    <x v="42"/>
    <x v="1"/>
    <x v="1"/>
    <x v="9"/>
    <x v="0"/>
    <x v="7"/>
    <x v="0"/>
    <n v="11"/>
    <x v="0"/>
    <m/>
    <m/>
    <n v="0"/>
    <n v="0"/>
    <m/>
    <x v="15"/>
    <x v="0"/>
    <x v="0"/>
    <n v="5400"/>
    <n v="0"/>
    <m/>
  </r>
  <r>
    <x v="0"/>
    <x v="13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4"/>
    <x v="42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15"/>
    <x v="42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16"/>
    <x v="42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7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8"/>
    <x v="4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9"/>
    <x v="4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0"/>
    <x v="42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21"/>
    <x v="42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2"/>
    <x v="42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3"/>
    <x v="42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4"/>
    <x v="42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5"/>
    <x v="42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6"/>
    <x v="42"/>
    <x v="1"/>
    <x v="1"/>
    <x v="13"/>
    <x v="0"/>
    <x v="0"/>
    <x v="2"/>
    <n v="11"/>
    <x v="1"/>
    <m/>
    <m/>
    <n v="0"/>
    <n v="0"/>
    <m/>
    <x v="15"/>
    <x v="2"/>
    <x v="0"/>
    <n v="5400"/>
    <n v="5000"/>
    <m/>
  </r>
  <r>
    <x v="0"/>
    <x v="27"/>
    <x v="42"/>
    <x v="1"/>
    <x v="1"/>
    <x v="13"/>
    <x v="0"/>
    <x v="0"/>
    <x v="2"/>
    <n v="22"/>
    <x v="0"/>
    <m/>
    <m/>
    <n v="0"/>
    <n v="0"/>
    <m/>
    <x v="16"/>
    <x v="0"/>
    <x v="0"/>
    <n v="11600"/>
    <n v="0"/>
    <s v="б-т"/>
  </r>
  <r>
    <x v="0"/>
    <x v="28"/>
    <x v="42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9"/>
    <x v="43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0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5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6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4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8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9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0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1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2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3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4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5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6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7"/>
    <x v="43"/>
    <x v="1"/>
    <x v="1"/>
    <x v="11"/>
    <x v="0"/>
    <x v="6"/>
    <x v="0"/>
    <n v="11"/>
    <x v="0"/>
    <m/>
    <m/>
    <n v="0"/>
    <n v="0"/>
    <m/>
    <x v="3"/>
    <x v="0"/>
    <x v="0"/>
    <n v="5666.6666666666661"/>
    <n v="0"/>
    <m/>
  </r>
  <r>
    <x v="0"/>
    <x v="18"/>
    <x v="4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19"/>
    <x v="4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0"/>
    <x v="4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1"/>
    <x v="43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22"/>
    <x v="4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3"/>
    <x v="4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4"/>
    <x v="4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5"/>
    <x v="4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6"/>
    <x v="4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7"/>
    <x v="43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28"/>
    <x v="43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9"/>
    <x v="44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0"/>
    <x v="44"/>
    <x v="10"/>
    <x v="1"/>
    <x v="14"/>
    <x v="0"/>
    <x v="0"/>
    <x v="0"/>
    <n v="19"/>
    <x v="0"/>
    <m/>
    <m/>
    <n v="0"/>
    <n v="0"/>
    <m/>
    <x v="1"/>
    <x v="0"/>
    <x v="0"/>
    <n v="0"/>
    <n v="0"/>
    <m/>
  </r>
  <r>
    <x v="0"/>
    <x v="1"/>
    <x v="44"/>
    <x v="10"/>
    <x v="1"/>
    <x v="14"/>
    <x v="0"/>
    <x v="0"/>
    <x v="0"/>
    <n v="17"/>
    <x v="0"/>
    <m/>
    <m/>
    <n v="0"/>
    <n v="0"/>
    <m/>
    <x v="1"/>
    <x v="0"/>
    <x v="0"/>
    <n v="0"/>
    <n v="0"/>
    <m/>
  </r>
  <r>
    <x v="0"/>
    <x v="2"/>
    <x v="44"/>
    <x v="10"/>
    <x v="1"/>
    <x v="14"/>
    <x v="0"/>
    <x v="0"/>
    <x v="0"/>
    <n v="13"/>
    <x v="0"/>
    <m/>
    <m/>
    <n v="0"/>
    <n v="0"/>
    <m/>
    <x v="1"/>
    <x v="0"/>
    <x v="0"/>
    <n v="0"/>
    <n v="0"/>
    <m/>
  </r>
  <r>
    <x v="0"/>
    <x v="3"/>
    <x v="44"/>
    <x v="10"/>
    <x v="1"/>
    <x v="14"/>
    <x v="0"/>
    <x v="0"/>
    <x v="0"/>
    <n v="22"/>
    <x v="0"/>
    <m/>
    <m/>
    <n v="0"/>
    <n v="0"/>
    <m/>
    <x v="1"/>
    <x v="0"/>
    <x v="0"/>
    <n v="0"/>
    <n v="0"/>
    <m/>
  </r>
  <r>
    <x v="0"/>
    <x v="4"/>
    <x v="44"/>
    <x v="10"/>
    <x v="1"/>
    <x v="14"/>
    <x v="0"/>
    <x v="0"/>
    <x v="0"/>
    <n v="22"/>
    <x v="0"/>
    <m/>
    <m/>
    <n v="0"/>
    <n v="0"/>
    <m/>
    <x v="1"/>
    <x v="0"/>
    <x v="0"/>
    <n v="0"/>
    <n v="0"/>
    <m/>
  </r>
  <r>
    <x v="0"/>
    <x v="5"/>
    <x v="44"/>
    <x v="10"/>
    <x v="1"/>
    <x v="14"/>
    <x v="0"/>
    <x v="0"/>
    <x v="0"/>
    <n v="22"/>
    <x v="0"/>
    <m/>
    <m/>
    <n v="0"/>
    <n v="0"/>
    <m/>
    <x v="1"/>
    <x v="0"/>
    <x v="0"/>
    <n v="0"/>
    <n v="0"/>
    <m/>
  </r>
  <r>
    <x v="0"/>
    <x v="6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7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8"/>
    <x v="44"/>
    <x v="10"/>
    <x v="1"/>
    <x v="14"/>
    <x v="0"/>
    <x v="0"/>
    <x v="0"/>
    <n v="14"/>
    <x v="0"/>
    <m/>
    <m/>
    <n v="0"/>
    <n v="0"/>
    <m/>
    <x v="1"/>
    <x v="0"/>
    <x v="0"/>
    <n v="0"/>
    <n v="0"/>
    <m/>
  </r>
  <r>
    <x v="0"/>
    <x v="9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10"/>
    <x v="44"/>
    <x v="10"/>
    <x v="1"/>
    <x v="14"/>
    <x v="0"/>
    <x v="0"/>
    <x v="0"/>
    <n v="16"/>
    <x v="0"/>
    <m/>
    <m/>
    <n v="0"/>
    <n v="0"/>
    <m/>
    <x v="1"/>
    <x v="0"/>
    <x v="0"/>
    <n v="0"/>
    <n v="0"/>
    <m/>
  </r>
  <r>
    <x v="0"/>
    <x v="11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12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13"/>
    <x v="44"/>
    <x v="10"/>
    <x v="1"/>
    <x v="14"/>
    <x v="0"/>
    <x v="0"/>
    <x v="0"/>
    <n v="22"/>
    <x v="0"/>
    <m/>
    <m/>
    <n v="0"/>
    <n v="0"/>
    <m/>
    <x v="1"/>
    <x v="0"/>
    <x v="0"/>
    <n v="0"/>
    <n v="0"/>
    <m/>
  </r>
  <r>
    <x v="0"/>
    <x v="14"/>
    <x v="44"/>
    <x v="10"/>
    <x v="1"/>
    <x v="14"/>
    <x v="0"/>
    <x v="0"/>
    <x v="0"/>
    <n v="22"/>
    <x v="0"/>
    <m/>
    <m/>
    <n v="0"/>
    <n v="0"/>
    <m/>
    <x v="1"/>
    <x v="0"/>
    <x v="0"/>
    <n v="0"/>
    <n v="0"/>
    <m/>
  </r>
  <r>
    <x v="0"/>
    <x v="15"/>
    <x v="44"/>
    <x v="10"/>
    <x v="1"/>
    <x v="14"/>
    <x v="0"/>
    <x v="0"/>
    <x v="0"/>
    <n v="14"/>
    <x v="0"/>
    <m/>
    <m/>
    <n v="0"/>
    <n v="0"/>
    <m/>
    <x v="1"/>
    <x v="0"/>
    <x v="0"/>
    <n v="0"/>
    <n v="0"/>
    <m/>
  </r>
  <r>
    <x v="0"/>
    <x v="16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17"/>
    <x v="44"/>
    <x v="10"/>
    <x v="1"/>
    <x v="14"/>
    <x v="0"/>
    <x v="0"/>
    <x v="0"/>
    <n v="15"/>
    <x v="0"/>
    <m/>
    <m/>
    <n v="0"/>
    <n v="0"/>
    <m/>
    <x v="1"/>
    <x v="0"/>
    <x v="0"/>
    <n v="0"/>
    <n v="0"/>
    <m/>
  </r>
  <r>
    <x v="0"/>
    <x v="18"/>
    <x v="44"/>
    <x v="10"/>
    <x v="1"/>
    <x v="14"/>
    <x v="0"/>
    <x v="0"/>
    <x v="0"/>
    <n v="14"/>
    <x v="0"/>
    <m/>
    <m/>
    <n v="0"/>
    <n v="0"/>
    <m/>
    <x v="1"/>
    <x v="0"/>
    <x v="0"/>
    <n v="0"/>
    <n v="0"/>
    <m/>
  </r>
  <r>
    <x v="0"/>
    <x v="19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20"/>
    <x v="44"/>
    <x v="10"/>
    <x v="1"/>
    <x v="14"/>
    <x v="0"/>
    <x v="0"/>
    <x v="0"/>
    <n v="11"/>
    <x v="0"/>
    <m/>
    <m/>
    <n v="0"/>
    <n v="0"/>
    <m/>
    <x v="1"/>
    <x v="0"/>
    <x v="0"/>
    <n v="0"/>
    <n v="0"/>
    <m/>
  </r>
  <r>
    <x v="0"/>
    <x v="21"/>
    <x v="44"/>
    <x v="10"/>
    <x v="1"/>
    <x v="14"/>
    <x v="0"/>
    <x v="1"/>
    <x v="0"/>
    <n v="8"/>
    <x v="0"/>
    <m/>
    <m/>
    <n v="0"/>
    <n v="0"/>
    <m/>
    <x v="1"/>
    <x v="0"/>
    <x v="0"/>
    <n v="0"/>
    <n v="0"/>
    <m/>
  </r>
  <r>
    <x v="0"/>
    <x v="22"/>
    <x v="44"/>
    <x v="10"/>
    <x v="1"/>
    <x v="14"/>
    <x v="0"/>
    <x v="1"/>
    <x v="0"/>
    <n v="8"/>
    <x v="0"/>
    <m/>
    <m/>
    <n v="0"/>
    <n v="0"/>
    <m/>
    <x v="1"/>
    <x v="0"/>
    <x v="0"/>
    <n v="0"/>
    <n v="0"/>
    <m/>
  </r>
  <r>
    <x v="0"/>
    <x v="23"/>
    <x v="44"/>
    <x v="10"/>
    <x v="1"/>
    <x v="14"/>
    <x v="0"/>
    <x v="1"/>
    <x v="0"/>
    <n v="8"/>
    <x v="0"/>
    <m/>
    <m/>
    <n v="0"/>
    <n v="0"/>
    <m/>
    <x v="1"/>
    <x v="0"/>
    <x v="0"/>
    <n v="0"/>
    <n v="0"/>
    <m/>
  </r>
  <r>
    <x v="0"/>
    <x v="24"/>
    <x v="44"/>
    <x v="10"/>
    <x v="1"/>
    <x v="14"/>
    <x v="0"/>
    <x v="1"/>
    <x v="0"/>
    <n v="8"/>
    <x v="0"/>
    <m/>
    <m/>
    <n v="0"/>
    <n v="0"/>
    <m/>
    <x v="1"/>
    <x v="0"/>
    <x v="0"/>
    <n v="0"/>
    <n v="0"/>
    <m/>
  </r>
  <r>
    <x v="0"/>
    <x v="25"/>
    <x v="44"/>
    <x v="10"/>
    <x v="1"/>
    <x v="14"/>
    <x v="0"/>
    <x v="1"/>
    <x v="0"/>
    <n v="8"/>
    <x v="0"/>
    <m/>
    <m/>
    <n v="0"/>
    <n v="0"/>
    <m/>
    <x v="1"/>
    <x v="0"/>
    <x v="0"/>
    <n v="0"/>
    <n v="0"/>
    <m/>
  </r>
  <r>
    <x v="0"/>
    <x v="26"/>
    <x v="44"/>
    <x v="10"/>
    <x v="1"/>
    <x v="14"/>
    <x v="0"/>
    <x v="3"/>
    <x v="0"/>
    <n v="1"/>
    <x v="0"/>
    <m/>
    <m/>
    <n v="0"/>
    <n v="0"/>
    <m/>
    <x v="1"/>
    <x v="0"/>
    <x v="0"/>
    <n v="0"/>
    <n v="0"/>
    <m/>
  </r>
  <r>
    <x v="0"/>
    <x v="27"/>
    <x v="44"/>
    <x v="10"/>
    <x v="1"/>
    <x v="14"/>
    <x v="0"/>
    <x v="3"/>
    <x v="0"/>
    <n v="1"/>
    <x v="0"/>
    <m/>
    <m/>
    <n v="0"/>
    <n v="0"/>
    <m/>
    <x v="1"/>
    <x v="0"/>
    <x v="0"/>
    <n v="0"/>
    <n v="0"/>
    <m/>
  </r>
  <r>
    <x v="0"/>
    <x v="28"/>
    <x v="44"/>
    <x v="10"/>
    <x v="1"/>
    <x v="14"/>
    <x v="0"/>
    <x v="2"/>
    <x v="0"/>
    <n v="8"/>
    <x v="0"/>
    <m/>
    <m/>
    <n v="0"/>
    <n v="0"/>
    <m/>
    <x v="1"/>
    <x v="0"/>
    <x v="0"/>
    <n v="0"/>
    <n v="0"/>
    <m/>
  </r>
  <r>
    <x v="0"/>
    <x v="29"/>
    <x v="45"/>
    <x v="10"/>
    <x v="1"/>
    <x v="14"/>
    <x v="0"/>
    <x v="2"/>
    <x v="0"/>
    <n v="8"/>
    <x v="0"/>
    <m/>
    <m/>
    <n v="0"/>
    <n v="0"/>
    <m/>
    <x v="1"/>
    <x v="0"/>
    <x v="0"/>
    <n v="0"/>
    <n v="0"/>
    <m/>
  </r>
  <r>
    <x v="0"/>
    <x v="0"/>
    <x v="45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1"/>
    <x v="45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2"/>
    <x v="45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3"/>
    <x v="45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4"/>
    <x v="45"/>
    <x v="1"/>
    <x v="1"/>
    <x v="11"/>
    <x v="0"/>
    <x v="2"/>
    <x v="0"/>
    <n v="8"/>
    <x v="0"/>
    <m/>
    <m/>
    <n v="0"/>
    <n v="0"/>
    <m/>
    <x v="3"/>
    <x v="0"/>
    <x v="0"/>
    <n v="0"/>
    <n v="0"/>
    <m/>
  </r>
  <r>
    <x v="0"/>
    <x v="5"/>
    <x v="45"/>
    <x v="1"/>
    <x v="1"/>
    <x v="11"/>
    <x v="0"/>
    <x v="3"/>
    <x v="0"/>
    <n v="1"/>
    <x v="0"/>
    <m/>
    <m/>
    <n v="0"/>
    <n v="0"/>
    <m/>
    <x v="3"/>
    <x v="0"/>
    <x v="0"/>
    <n v="0"/>
    <n v="0"/>
    <m/>
  </r>
  <r>
    <x v="0"/>
    <x v="6"/>
    <x v="45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7"/>
    <x v="45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8"/>
    <x v="45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9"/>
    <x v="45"/>
    <x v="1"/>
    <x v="1"/>
    <x v="11"/>
    <x v="0"/>
    <x v="1"/>
    <x v="0"/>
    <n v="8"/>
    <x v="0"/>
    <m/>
    <m/>
    <n v="0"/>
    <n v="0"/>
    <m/>
    <x v="3"/>
    <x v="0"/>
    <x v="0"/>
    <n v="0"/>
    <n v="0"/>
    <m/>
  </r>
  <r>
    <x v="0"/>
    <x v="10"/>
    <x v="45"/>
    <x v="1"/>
    <x v="1"/>
    <x v="11"/>
    <x v="0"/>
    <x v="10"/>
    <x v="0"/>
    <n v="11"/>
    <x v="0"/>
    <m/>
    <m/>
    <n v="0"/>
    <n v="0"/>
    <m/>
    <x v="3"/>
    <x v="0"/>
    <x v="0"/>
    <n v="0"/>
    <n v="0"/>
    <m/>
  </r>
  <r>
    <x v="0"/>
    <x v="11"/>
    <x v="45"/>
    <x v="1"/>
    <x v="1"/>
    <x v="11"/>
    <x v="0"/>
    <x v="10"/>
    <x v="0"/>
    <n v="11"/>
    <x v="0"/>
    <m/>
    <m/>
    <n v="0"/>
    <n v="0"/>
    <m/>
    <x v="3"/>
    <x v="0"/>
    <x v="0"/>
    <n v="0"/>
    <n v="0"/>
    <m/>
  </r>
  <r>
    <x v="0"/>
    <x v="12"/>
    <x v="45"/>
    <x v="1"/>
    <x v="1"/>
    <x v="11"/>
    <x v="0"/>
    <x v="7"/>
    <x v="0"/>
    <n v="11"/>
    <x v="0"/>
    <m/>
    <m/>
    <n v="0"/>
    <n v="0"/>
    <m/>
    <x v="3"/>
    <x v="0"/>
    <x v="0"/>
    <n v="5666.6666666666661"/>
    <n v="0"/>
    <m/>
  </r>
  <r>
    <x v="0"/>
    <x v="13"/>
    <x v="45"/>
    <x v="1"/>
    <x v="1"/>
    <x v="11"/>
    <x v="0"/>
    <x v="10"/>
    <x v="0"/>
    <n v="11"/>
    <x v="0"/>
    <m/>
    <m/>
    <n v="0"/>
    <n v="0"/>
    <m/>
    <x v="3"/>
    <x v="0"/>
    <x v="0"/>
    <n v="0"/>
    <n v="0"/>
    <m/>
  </r>
  <r>
    <x v="0"/>
    <x v="14"/>
    <x v="45"/>
    <x v="1"/>
    <x v="1"/>
    <x v="11"/>
    <x v="0"/>
    <x v="0"/>
    <x v="0"/>
    <n v="11"/>
    <x v="0"/>
    <m/>
    <m/>
    <n v="0"/>
    <n v="0"/>
    <m/>
    <x v="3"/>
    <x v="0"/>
    <x v="0"/>
    <n v="5666.6666666666661"/>
    <n v="0"/>
    <m/>
  </r>
  <r>
    <x v="0"/>
    <x v="15"/>
    <x v="45"/>
    <x v="1"/>
    <x v="1"/>
    <x v="11"/>
    <x v="0"/>
    <x v="0"/>
    <x v="0"/>
    <n v="11"/>
    <x v="0"/>
    <m/>
    <m/>
    <n v="0"/>
    <n v="0"/>
    <m/>
    <x v="3"/>
    <x v="0"/>
    <x v="0"/>
    <n v="5666.6666666666661"/>
    <n v="0"/>
    <m/>
  </r>
  <r>
    <x v="0"/>
    <x v="16"/>
    <x v="45"/>
    <x v="1"/>
    <x v="1"/>
    <x v="11"/>
    <x v="0"/>
    <x v="0"/>
    <x v="0"/>
    <n v="11"/>
    <x v="0"/>
    <m/>
    <m/>
    <n v="0"/>
    <n v="0"/>
    <m/>
    <x v="3"/>
    <x v="0"/>
    <x v="0"/>
    <n v="5666.6666666666661"/>
    <n v="0"/>
    <m/>
  </r>
  <r>
    <x v="0"/>
    <x v="17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9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0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2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3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4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5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6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8"/>
    <x v="45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9"/>
    <x v="4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0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3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4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5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6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7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8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9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0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1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2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13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14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5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6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7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8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19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0"/>
    <x v="46"/>
    <x v="8"/>
    <x v="1"/>
    <x v="10"/>
    <x v="0"/>
    <x v="3"/>
    <x v="0"/>
    <n v="1"/>
    <x v="0"/>
    <m/>
    <m/>
    <n v="0"/>
    <n v="0"/>
    <m/>
    <x v="9"/>
    <x v="0"/>
    <x v="0"/>
    <n v="0"/>
    <n v="0"/>
    <m/>
  </r>
  <r>
    <x v="0"/>
    <x v="21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2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3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4"/>
    <x v="46"/>
    <x v="8"/>
    <x v="1"/>
    <x v="10"/>
    <x v="0"/>
    <x v="2"/>
    <x v="0"/>
    <n v="8"/>
    <x v="0"/>
    <m/>
    <m/>
    <n v="0"/>
    <n v="0"/>
    <m/>
    <x v="9"/>
    <x v="0"/>
    <x v="0"/>
    <n v="0"/>
    <n v="0"/>
    <m/>
  </r>
  <r>
    <x v="0"/>
    <x v="25"/>
    <x v="46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26"/>
    <x v="46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27"/>
    <x v="46"/>
    <x v="8"/>
    <x v="1"/>
    <x v="10"/>
    <x v="0"/>
    <x v="1"/>
    <x v="0"/>
    <n v="8"/>
    <x v="0"/>
    <m/>
    <m/>
    <n v="0"/>
    <n v="0"/>
    <m/>
    <x v="9"/>
    <x v="0"/>
    <x v="0"/>
    <n v="0"/>
    <n v="0"/>
    <m/>
  </r>
  <r>
    <x v="0"/>
    <x v="28"/>
    <x v="46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9"/>
    <x v="47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0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3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4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5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6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7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8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9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0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1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2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3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4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5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6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7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8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9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0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1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2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3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4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5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6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7"/>
    <x v="47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8"/>
    <x v="47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29"/>
    <x v="48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0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3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4"/>
    <x v="48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5"/>
    <x v="48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6"/>
    <x v="48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7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8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9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0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1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2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3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4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5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6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7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8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9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0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1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2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3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4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5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6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7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8"/>
    <x v="48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9"/>
    <x v="49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0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2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3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4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5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6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7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8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9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0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1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2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3"/>
    <x v="49"/>
    <x v="1"/>
    <x v="1"/>
    <x v="15"/>
    <x v="0"/>
    <x v="4"/>
    <x v="1"/>
    <m/>
    <x v="0"/>
    <m/>
    <m/>
    <n v="0"/>
    <n v="0"/>
    <m/>
    <x v="12"/>
    <x v="0"/>
    <x v="0"/>
    <n v="0"/>
    <n v="0"/>
    <m/>
  </r>
  <r>
    <x v="0"/>
    <x v="14"/>
    <x v="49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15"/>
    <x v="49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16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7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8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9"/>
    <x v="49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20"/>
    <x v="49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21"/>
    <x v="49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22"/>
    <x v="49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23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24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25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26"/>
    <x v="49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27"/>
    <x v="49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8"/>
    <x v="49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9"/>
    <x v="50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0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3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4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5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6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7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8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9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0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1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2"/>
    <x v="50"/>
    <x v="4"/>
    <x v="1"/>
    <x v="4"/>
    <x v="0"/>
    <x v="0"/>
    <x v="2"/>
    <n v="22"/>
    <x v="0"/>
    <n v="22"/>
    <m/>
    <n v="22"/>
    <n v="0"/>
    <m/>
    <x v="17"/>
    <x v="0"/>
    <x v="0"/>
    <n v="14666.666666666666"/>
    <n v="0"/>
    <m/>
  </r>
  <r>
    <x v="0"/>
    <x v="13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4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5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6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7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8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9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0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1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2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3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4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5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6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7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8"/>
    <x v="50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9"/>
    <x v="51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0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3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4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5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6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7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8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9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0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1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2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3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4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5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6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7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8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19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0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1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2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3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4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5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6"/>
    <x v="51"/>
    <x v="0"/>
    <x v="1"/>
    <x v="0"/>
    <x v="0"/>
    <x v="0"/>
    <x v="0"/>
    <n v="11"/>
    <x v="0"/>
    <m/>
    <m/>
    <n v="0"/>
    <n v="0"/>
    <m/>
    <x v="2"/>
    <x v="0"/>
    <x v="1"/>
    <n v="7999.9999999999991"/>
    <n v="0"/>
    <m/>
  </r>
  <r>
    <x v="0"/>
    <x v="27"/>
    <x v="51"/>
    <x v="0"/>
    <x v="1"/>
    <x v="0"/>
    <x v="0"/>
    <x v="1"/>
    <x v="0"/>
    <n v="8"/>
    <x v="0"/>
    <m/>
    <m/>
    <n v="0"/>
    <n v="0"/>
    <m/>
    <x v="2"/>
    <x v="0"/>
    <x v="0"/>
    <n v="0"/>
    <n v="0"/>
    <m/>
  </r>
  <r>
    <x v="0"/>
    <x v="28"/>
    <x v="51"/>
    <x v="0"/>
    <x v="1"/>
    <x v="0"/>
    <x v="0"/>
    <x v="1"/>
    <x v="0"/>
    <n v="8"/>
    <x v="0"/>
    <m/>
    <m/>
    <n v="0"/>
    <n v="0"/>
    <m/>
    <x v="2"/>
    <x v="0"/>
    <x v="0"/>
    <n v="0"/>
    <n v="0"/>
    <m/>
  </r>
  <r>
    <x v="0"/>
    <x v="29"/>
    <x v="52"/>
    <x v="0"/>
    <x v="1"/>
    <x v="0"/>
    <x v="0"/>
    <x v="1"/>
    <x v="0"/>
    <n v="8"/>
    <x v="0"/>
    <m/>
    <m/>
    <n v="0"/>
    <n v="0"/>
    <m/>
    <x v="2"/>
    <x v="0"/>
    <x v="0"/>
    <n v="0"/>
    <n v="0"/>
    <m/>
  </r>
  <r>
    <x v="0"/>
    <x v="0"/>
    <x v="52"/>
    <x v="4"/>
    <x v="1"/>
    <x v="4"/>
    <x v="0"/>
    <x v="0"/>
    <x v="2"/>
    <n v="22"/>
    <x v="0"/>
    <n v="22"/>
    <m/>
    <n v="22"/>
    <n v="0"/>
    <m/>
    <x v="2"/>
    <x v="0"/>
    <x v="0"/>
    <n v="13333.333333333332"/>
    <n v="0"/>
    <m/>
  </r>
  <r>
    <x v="0"/>
    <x v="1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3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4"/>
    <x v="52"/>
    <x v="4"/>
    <x v="1"/>
    <x v="4"/>
    <x v="0"/>
    <x v="5"/>
    <x v="2"/>
    <n v="11"/>
    <x v="0"/>
    <n v="11"/>
    <m/>
    <n v="11"/>
    <n v="0"/>
    <m/>
    <x v="2"/>
    <x v="0"/>
    <x v="0"/>
    <n v="6666.6666666666661"/>
    <n v="0"/>
    <m/>
  </r>
  <r>
    <x v="0"/>
    <x v="5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6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7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8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9"/>
    <x v="52"/>
    <x v="4"/>
    <x v="1"/>
    <x v="4"/>
    <x v="0"/>
    <x v="5"/>
    <x v="2"/>
    <n v="22"/>
    <x v="0"/>
    <n v="22"/>
    <m/>
    <n v="22"/>
    <n v="0"/>
    <m/>
    <x v="2"/>
    <x v="0"/>
    <x v="0"/>
    <n v="13333.333333333332"/>
    <n v="0"/>
    <m/>
  </r>
  <r>
    <x v="0"/>
    <x v="10"/>
    <x v="52"/>
    <x v="4"/>
    <x v="1"/>
    <x v="4"/>
    <x v="0"/>
    <x v="0"/>
    <x v="2"/>
    <n v="6"/>
    <x v="0"/>
    <n v="6"/>
    <m/>
    <n v="6"/>
    <n v="0"/>
    <m/>
    <x v="2"/>
    <x v="0"/>
    <x v="0"/>
    <n v="3636.363636363636"/>
    <n v="0"/>
    <m/>
  </r>
  <r>
    <x v="0"/>
    <x v="10"/>
    <x v="52"/>
    <x v="4"/>
    <x v="1"/>
    <x v="4"/>
    <x v="0"/>
    <x v="5"/>
    <x v="2"/>
    <n v="5"/>
    <x v="0"/>
    <n v="5"/>
    <m/>
    <n v="5"/>
    <n v="0"/>
    <m/>
    <x v="2"/>
    <x v="0"/>
    <x v="0"/>
    <n v="3030.30303030303"/>
    <n v="0"/>
    <m/>
  </r>
  <r>
    <x v="0"/>
    <x v="11"/>
    <x v="52"/>
    <x v="4"/>
    <x v="1"/>
    <x v="4"/>
    <x v="0"/>
    <x v="0"/>
    <x v="2"/>
    <n v="6"/>
    <x v="0"/>
    <n v="6"/>
    <m/>
    <n v="6"/>
    <n v="0"/>
    <m/>
    <x v="2"/>
    <x v="0"/>
    <x v="0"/>
    <n v="3636.363636363636"/>
    <n v="0"/>
    <m/>
  </r>
  <r>
    <x v="0"/>
    <x v="11"/>
    <x v="52"/>
    <x v="4"/>
    <x v="1"/>
    <x v="4"/>
    <x v="0"/>
    <x v="5"/>
    <x v="2"/>
    <n v="5"/>
    <x v="0"/>
    <n v="5"/>
    <m/>
    <n v="5"/>
    <n v="0"/>
    <m/>
    <x v="2"/>
    <x v="0"/>
    <x v="0"/>
    <n v="3030.30303030303"/>
    <n v="0"/>
    <m/>
  </r>
  <r>
    <x v="0"/>
    <x v="12"/>
    <x v="52"/>
    <x v="4"/>
    <x v="1"/>
    <x v="4"/>
    <x v="0"/>
    <x v="5"/>
    <x v="2"/>
    <n v="11"/>
    <x v="0"/>
    <n v="11"/>
    <m/>
    <n v="11"/>
    <n v="0"/>
    <m/>
    <x v="2"/>
    <x v="0"/>
    <x v="0"/>
    <n v="6666.6666666666661"/>
    <n v="0"/>
    <m/>
  </r>
  <r>
    <x v="0"/>
    <x v="13"/>
    <x v="52"/>
    <x v="4"/>
    <x v="1"/>
    <x v="4"/>
    <x v="0"/>
    <x v="0"/>
    <x v="2"/>
    <n v="6"/>
    <x v="0"/>
    <n v="6"/>
    <m/>
    <n v="6"/>
    <n v="0"/>
    <m/>
    <x v="2"/>
    <x v="0"/>
    <x v="0"/>
    <n v="3636.363636363636"/>
    <n v="0"/>
    <m/>
  </r>
  <r>
    <x v="0"/>
    <x v="13"/>
    <x v="52"/>
    <x v="4"/>
    <x v="1"/>
    <x v="4"/>
    <x v="0"/>
    <x v="5"/>
    <x v="2"/>
    <n v="5"/>
    <x v="0"/>
    <n v="5"/>
    <m/>
    <n v="5"/>
    <n v="0"/>
    <m/>
    <x v="2"/>
    <x v="0"/>
    <x v="0"/>
    <n v="3030.30303030303"/>
    <n v="0"/>
    <m/>
  </r>
  <r>
    <x v="0"/>
    <x v="14"/>
    <x v="52"/>
    <x v="4"/>
    <x v="1"/>
    <x v="4"/>
    <x v="0"/>
    <x v="0"/>
    <x v="2"/>
    <n v="6"/>
    <x v="0"/>
    <n v="6"/>
    <m/>
    <n v="6"/>
    <n v="0"/>
    <m/>
    <x v="2"/>
    <x v="0"/>
    <x v="0"/>
    <n v="3636.363636363636"/>
    <n v="0"/>
    <m/>
  </r>
  <r>
    <x v="0"/>
    <x v="14"/>
    <x v="52"/>
    <x v="4"/>
    <x v="1"/>
    <x v="4"/>
    <x v="0"/>
    <x v="5"/>
    <x v="2"/>
    <n v="5"/>
    <x v="0"/>
    <n v="5"/>
    <m/>
    <n v="5"/>
    <n v="0"/>
    <m/>
    <x v="2"/>
    <x v="0"/>
    <x v="0"/>
    <n v="3030.30303030303"/>
    <n v="0"/>
    <m/>
  </r>
  <r>
    <x v="0"/>
    <x v="15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6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7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52"/>
    <x v="4"/>
    <x v="1"/>
    <x v="4"/>
    <x v="0"/>
    <x v="0"/>
    <x v="2"/>
    <n v="22"/>
    <x v="0"/>
    <n v="22"/>
    <m/>
    <n v="22"/>
    <n v="0"/>
    <m/>
    <x v="2"/>
    <x v="0"/>
    <x v="0"/>
    <n v="13333.333333333332"/>
    <n v="0"/>
    <m/>
  </r>
  <r>
    <x v="0"/>
    <x v="19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0"/>
    <x v="52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1"/>
    <x v="52"/>
    <x v="4"/>
    <x v="1"/>
    <x v="4"/>
    <x v="0"/>
    <x v="1"/>
    <x v="0"/>
    <n v="8"/>
    <x v="0"/>
    <m/>
    <m/>
    <n v="0"/>
    <n v="0"/>
    <m/>
    <x v="2"/>
    <x v="0"/>
    <x v="0"/>
    <n v="0"/>
    <n v="0"/>
    <m/>
  </r>
  <r>
    <x v="0"/>
    <x v="22"/>
    <x v="52"/>
    <x v="4"/>
    <x v="1"/>
    <x v="4"/>
    <x v="0"/>
    <x v="1"/>
    <x v="0"/>
    <n v="8"/>
    <x v="0"/>
    <m/>
    <m/>
    <n v="0"/>
    <n v="0"/>
    <m/>
    <x v="2"/>
    <x v="0"/>
    <x v="0"/>
    <n v="0"/>
    <n v="0"/>
    <m/>
  </r>
  <r>
    <x v="0"/>
    <x v="23"/>
    <x v="52"/>
    <x v="4"/>
    <x v="1"/>
    <x v="4"/>
    <x v="0"/>
    <x v="1"/>
    <x v="0"/>
    <n v="8"/>
    <x v="0"/>
    <m/>
    <m/>
    <n v="0"/>
    <n v="0"/>
    <m/>
    <x v="2"/>
    <x v="0"/>
    <x v="0"/>
    <n v="0"/>
    <n v="0"/>
    <m/>
  </r>
  <r>
    <x v="0"/>
    <x v="24"/>
    <x v="52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5"/>
    <x v="52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6"/>
    <x v="52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7"/>
    <x v="52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8"/>
    <x v="52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9"/>
    <x v="53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0"/>
    <x v="53"/>
    <x v="11"/>
    <x v="1"/>
    <x v="16"/>
    <x v="0"/>
    <x v="0"/>
    <x v="2"/>
    <n v="19"/>
    <x v="0"/>
    <m/>
    <m/>
    <n v="0"/>
    <n v="0"/>
    <m/>
    <x v="1"/>
    <x v="0"/>
    <x v="0"/>
    <n v="0"/>
    <n v="0"/>
    <m/>
  </r>
  <r>
    <x v="0"/>
    <x v="1"/>
    <x v="53"/>
    <x v="11"/>
    <x v="1"/>
    <x v="16"/>
    <x v="0"/>
    <x v="0"/>
    <x v="2"/>
    <n v="17"/>
    <x v="0"/>
    <m/>
    <m/>
    <n v="0"/>
    <n v="0"/>
    <m/>
    <x v="1"/>
    <x v="0"/>
    <x v="0"/>
    <n v="0"/>
    <n v="0"/>
    <m/>
  </r>
  <r>
    <x v="0"/>
    <x v="2"/>
    <x v="53"/>
    <x v="11"/>
    <x v="1"/>
    <x v="16"/>
    <x v="0"/>
    <x v="0"/>
    <x v="2"/>
    <n v="13"/>
    <x v="0"/>
    <m/>
    <m/>
    <n v="0"/>
    <n v="0"/>
    <m/>
    <x v="1"/>
    <x v="0"/>
    <x v="0"/>
    <n v="0"/>
    <n v="0"/>
    <m/>
  </r>
  <r>
    <x v="0"/>
    <x v="3"/>
    <x v="53"/>
    <x v="11"/>
    <x v="1"/>
    <x v="16"/>
    <x v="0"/>
    <x v="0"/>
    <x v="2"/>
    <n v="22"/>
    <x v="0"/>
    <m/>
    <m/>
    <n v="0"/>
    <n v="0"/>
    <m/>
    <x v="1"/>
    <x v="0"/>
    <x v="0"/>
    <n v="0"/>
    <n v="0"/>
    <m/>
  </r>
  <r>
    <x v="0"/>
    <x v="4"/>
    <x v="53"/>
    <x v="11"/>
    <x v="1"/>
    <x v="16"/>
    <x v="0"/>
    <x v="0"/>
    <x v="2"/>
    <n v="22"/>
    <x v="0"/>
    <m/>
    <m/>
    <n v="0"/>
    <n v="0"/>
    <m/>
    <x v="1"/>
    <x v="0"/>
    <x v="0"/>
    <n v="0"/>
    <n v="0"/>
    <m/>
  </r>
  <r>
    <x v="0"/>
    <x v="5"/>
    <x v="53"/>
    <x v="11"/>
    <x v="1"/>
    <x v="16"/>
    <x v="0"/>
    <x v="0"/>
    <x v="2"/>
    <n v="22"/>
    <x v="0"/>
    <m/>
    <m/>
    <n v="0"/>
    <n v="0"/>
    <m/>
    <x v="1"/>
    <x v="0"/>
    <x v="0"/>
    <n v="0"/>
    <n v="0"/>
    <m/>
  </r>
  <r>
    <x v="0"/>
    <x v="6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7"/>
    <x v="53"/>
    <x v="11"/>
    <x v="1"/>
    <x v="16"/>
    <x v="0"/>
    <x v="0"/>
    <x v="2"/>
    <n v="15"/>
    <x v="0"/>
    <m/>
    <m/>
    <n v="0"/>
    <n v="0"/>
    <m/>
    <x v="1"/>
    <x v="0"/>
    <x v="0"/>
    <n v="0"/>
    <n v="0"/>
    <m/>
  </r>
  <r>
    <x v="0"/>
    <x v="8"/>
    <x v="53"/>
    <x v="11"/>
    <x v="1"/>
    <x v="16"/>
    <x v="0"/>
    <x v="0"/>
    <x v="2"/>
    <n v="14"/>
    <x v="0"/>
    <m/>
    <m/>
    <n v="0"/>
    <n v="0"/>
    <m/>
    <x v="1"/>
    <x v="0"/>
    <x v="0"/>
    <n v="0"/>
    <n v="0"/>
    <m/>
  </r>
  <r>
    <x v="0"/>
    <x v="9"/>
    <x v="53"/>
    <x v="11"/>
    <x v="1"/>
    <x v="16"/>
    <x v="0"/>
    <x v="0"/>
    <x v="2"/>
    <n v="13"/>
    <x v="0"/>
    <m/>
    <m/>
    <n v="0"/>
    <n v="0"/>
    <m/>
    <x v="1"/>
    <x v="0"/>
    <x v="0"/>
    <n v="0"/>
    <n v="0"/>
    <m/>
  </r>
  <r>
    <x v="0"/>
    <x v="10"/>
    <x v="53"/>
    <x v="11"/>
    <x v="1"/>
    <x v="16"/>
    <x v="0"/>
    <x v="0"/>
    <x v="2"/>
    <n v="16"/>
    <x v="0"/>
    <m/>
    <m/>
    <n v="0"/>
    <n v="0"/>
    <m/>
    <x v="1"/>
    <x v="0"/>
    <x v="0"/>
    <n v="0"/>
    <n v="0"/>
    <m/>
  </r>
  <r>
    <x v="0"/>
    <x v="11"/>
    <x v="53"/>
    <x v="11"/>
    <x v="1"/>
    <x v="16"/>
    <x v="0"/>
    <x v="0"/>
    <x v="2"/>
    <n v="13"/>
    <x v="0"/>
    <m/>
    <m/>
    <n v="0"/>
    <n v="0"/>
    <m/>
    <x v="1"/>
    <x v="0"/>
    <x v="0"/>
    <n v="0"/>
    <n v="0"/>
    <m/>
  </r>
  <r>
    <x v="0"/>
    <x v="12"/>
    <x v="53"/>
    <x v="11"/>
    <x v="1"/>
    <x v="16"/>
    <x v="0"/>
    <x v="0"/>
    <x v="2"/>
    <n v="14"/>
    <x v="0"/>
    <m/>
    <m/>
    <n v="0"/>
    <n v="0"/>
    <m/>
    <x v="1"/>
    <x v="0"/>
    <x v="0"/>
    <n v="0"/>
    <n v="0"/>
    <m/>
  </r>
  <r>
    <x v="0"/>
    <x v="13"/>
    <x v="53"/>
    <x v="11"/>
    <x v="1"/>
    <x v="16"/>
    <x v="0"/>
    <x v="0"/>
    <x v="2"/>
    <n v="22"/>
    <x v="0"/>
    <m/>
    <m/>
    <n v="0"/>
    <n v="0"/>
    <m/>
    <x v="1"/>
    <x v="0"/>
    <x v="0"/>
    <n v="0"/>
    <n v="0"/>
    <m/>
  </r>
  <r>
    <x v="0"/>
    <x v="14"/>
    <x v="53"/>
    <x v="11"/>
    <x v="1"/>
    <x v="16"/>
    <x v="0"/>
    <x v="0"/>
    <x v="2"/>
    <n v="22"/>
    <x v="0"/>
    <m/>
    <m/>
    <n v="0"/>
    <n v="0"/>
    <m/>
    <x v="1"/>
    <x v="0"/>
    <x v="0"/>
    <n v="0"/>
    <n v="0"/>
    <m/>
  </r>
  <r>
    <x v="0"/>
    <x v="15"/>
    <x v="53"/>
    <x v="11"/>
    <x v="1"/>
    <x v="16"/>
    <x v="0"/>
    <x v="0"/>
    <x v="2"/>
    <n v="14"/>
    <x v="0"/>
    <m/>
    <m/>
    <n v="0"/>
    <n v="0"/>
    <m/>
    <x v="1"/>
    <x v="0"/>
    <x v="0"/>
    <n v="0"/>
    <n v="0"/>
    <m/>
  </r>
  <r>
    <x v="0"/>
    <x v="16"/>
    <x v="53"/>
    <x v="11"/>
    <x v="1"/>
    <x v="16"/>
    <x v="0"/>
    <x v="0"/>
    <x v="2"/>
    <n v="13"/>
    <x v="0"/>
    <m/>
    <m/>
    <n v="0"/>
    <n v="0"/>
    <m/>
    <x v="1"/>
    <x v="0"/>
    <x v="0"/>
    <n v="0"/>
    <n v="0"/>
    <m/>
  </r>
  <r>
    <x v="0"/>
    <x v="17"/>
    <x v="53"/>
    <x v="11"/>
    <x v="1"/>
    <x v="16"/>
    <x v="0"/>
    <x v="0"/>
    <x v="2"/>
    <n v="15"/>
    <x v="0"/>
    <m/>
    <m/>
    <n v="0"/>
    <n v="0"/>
    <m/>
    <x v="1"/>
    <x v="0"/>
    <x v="0"/>
    <n v="0"/>
    <n v="0"/>
    <m/>
  </r>
  <r>
    <x v="0"/>
    <x v="18"/>
    <x v="53"/>
    <x v="11"/>
    <x v="1"/>
    <x v="16"/>
    <x v="0"/>
    <x v="0"/>
    <x v="2"/>
    <n v="14"/>
    <x v="0"/>
    <m/>
    <m/>
    <n v="0"/>
    <n v="0"/>
    <m/>
    <x v="1"/>
    <x v="0"/>
    <x v="0"/>
    <n v="0"/>
    <n v="0"/>
    <m/>
  </r>
  <r>
    <x v="0"/>
    <x v="19"/>
    <x v="53"/>
    <x v="11"/>
    <x v="1"/>
    <x v="16"/>
    <x v="0"/>
    <x v="0"/>
    <x v="2"/>
    <n v="15"/>
    <x v="0"/>
    <m/>
    <m/>
    <n v="0"/>
    <n v="0"/>
    <m/>
    <x v="1"/>
    <x v="0"/>
    <x v="0"/>
    <n v="0"/>
    <n v="0"/>
    <m/>
  </r>
  <r>
    <x v="0"/>
    <x v="20"/>
    <x v="53"/>
    <x v="11"/>
    <x v="1"/>
    <x v="16"/>
    <x v="0"/>
    <x v="0"/>
    <x v="2"/>
    <n v="15"/>
    <x v="0"/>
    <m/>
    <m/>
    <n v="0"/>
    <n v="0"/>
    <m/>
    <x v="1"/>
    <x v="0"/>
    <x v="0"/>
    <n v="0"/>
    <n v="0"/>
    <m/>
  </r>
  <r>
    <x v="0"/>
    <x v="21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2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3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4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5"/>
    <x v="53"/>
    <x v="11"/>
    <x v="1"/>
    <x v="16"/>
    <x v="0"/>
    <x v="0"/>
    <x v="2"/>
    <n v="19"/>
    <x v="0"/>
    <m/>
    <m/>
    <n v="0"/>
    <n v="0"/>
    <m/>
    <x v="1"/>
    <x v="0"/>
    <x v="0"/>
    <n v="0"/>
    <n v="0"/>
    <m/>
  </r>
  <r>
    <x v="0"/>
    <x v="26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7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8"/>
    <x v="53"/>
    <x v="11"/>
    <x v="1"/>
    <x v="16"/>
    <x v="0"/>
    <x v="0"/>
    <x v="2"/>
    <n v="11"/>
    <x v="0"/>
    <m/>
    <m/>
    <n v="0"/>
    <n v="0"/>
    <m/>
    <x v="1"/>
    <x v="0"/>
    <x v="0"/>
    <n v="0"/>
    <n v="0"/>
    <m/>
  </r>
  <r>
    <x v="0"/>
    <x v="29"/>
    <x v="54"/>
    <x v="11"/>
    <x v="1"/>
    <x v="16"/>
    <x v="0"/>
    <x v="0"/>
    <x v="2"/>
    <n v="16"/>
    <x v="0"/>
    <m/>
    <m/>
    <n v="0"/>
    <n v="0"/>
    <m/>
    <x v="1"/>
    <x v="0"/>
    <x v="0"/>
    <n v="0"/>
    <n v="0"/>
    <m/>
  </r>
  <r>
    <x v="0"/>
    <x v="0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3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4"/>
    <x v="54"/>
    <x v="6"/>
    <x v="1"/>
    <x v="6"/>
    <x v="0"/>
    <x v="7"/>
    <x v="2"/>
    <n v="11"/>
    <x v="0"/>
    <n v="11"/>
    <m/>
    <n v="11"/>
    <n v="0"/>
    <m/>
    <x v="2"/>
    <x v="0"/>
    <x v="0"/>
    <n v="6666.6666666666661"/>
    <n v="0"/>
    <m/>
  </r>
  <r>
    <x v="0"/>
    <x v="5"/>
    <x v="54"/>
    <x v="6"/>
    <x v="1"/>
    <x v="6"/>
    <x v="0"/>
    <x v="7"/>
    <x v="2"/>
    <n v="11"/>
    <x v="0"/>
    <n v="11"/>
    <m/>
    <n v="11"/>
    <n v="0"/>
    <m/>
    <x v="2"/>
    <x v="0"/>
    <x v="0"/>
    <n v="6666.6666666666661"/>
    <n v="0"/>
    <m/>
  </r>
  <r>
    <x v="0"/>
    <x v="6"/>
    <x v="54"/>
    <x v="6"/>
    <x v="1"/>
    <x v="6"/>
    <x v="0"/>
    <x v="7"/>
    <x v="2"/>
    <n v="11"/>
    <x v="0"/>
    <n v="11"/>
    <m/>
    <n v="11"/>
    <n v="0"/>
    <m/>
    <x v="2"/>
    <x v="0"/>
    <x v="0"/>
    <n v="6666.6666666666661"/>
    <n v="0"/>
    <m/>
  </r>
  <r>
    <x v="0"/>
    <x v="7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8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9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0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1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2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3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4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5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6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7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9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0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1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2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3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4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5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6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7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8"/>
    <x v="54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9"/>
    <x v="55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0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1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2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3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4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5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6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7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8"/>
    <x v="55"/>
    <x v="4"/>
    <x v="1"/>
    <x v="4"/>
    <x v="0"/>
    <x v="0"/>
    <x v="2"/>
    <n v="11"/>
    <x v="0"/>
    <n v="11"/>
    <m/>
    <n v="11"/>
    <n v="0"/>
    <m/>
    <x v="17"/>
    <x v="0"/>
    <x v="0"/>
    <n v="7333.333333333333"/>
    <n v="0"/>
    <m/>
  </r>
  <r>
    <x v="0"/>
    <x v="9"/>
    <x v="55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0"/>
    <x v="55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1"/>
    <x v="55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2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13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14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5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6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7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8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9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20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21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2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3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4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5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6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27"/>
    <x v="55"/>
    <x v="4"/>
    <x v="1"/>
    <x v="4"/>
    <x v="0"/>
    <x v="3"/>
    <x v="0"/>
    <n v="1"/>
    <x v="0"/>
    <m/>
    <m/>
    <n v="0"/>
    <n v="0"/>
    <m/>
    <x v="17"/>
    <x v="0"/>
    <x v="0"/>
    <n v="0"/>
    <n v="0"/>
    <m/>
  </r>
  <r>
    <x v="0"/>
    <x v="28"/>
    <x v="55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29"/>
    <x v="56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0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"/>
    <x v="56"/>
    <x v="1"/>
    <x v="1"/>
    <x v="15"/>
    <x v="0"/>
    <x v="0"/>
    <x v="2"/>
    <n v="13"/>
    <x v="0"/>
    <n v="13"/>
    <m/>
    <n v="13"/>
    <n v="0"/>
    <m/>
    <x v="12"/>
    <x v="0"/>
    <x v="0"/>
    <n v="7484.848484848485"/>
    <n v="0"/>
    <m/>
  </r>
  <r>
    <x v="0"/>
    <x v="2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3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4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5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6"/>
    <x v="56"/>
    <x v="1"/>
    <x v="1"/>
    <x v="15"/>
    <x v="0"/>
    <x v="6"/>
    <x v="0"/>
    <n v="11"/>
    <x v="0"/>
    <m/>
    <m/>
    <n v="0"/>
    <n v="0"/>
    <m/>
    <x v="12"/>
    <x v="0"/>
    <x v="0"/>
    <n v="6333.333333333333"/>
    <n v="0"/>
    <m/>
  </r>
  <r>
    <x v="0"/>
    <x v="7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8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9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0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1"/>
    <x v="56"/>
    <x v="1"/>
    <x v="1"/>
    <x v="15"/>
    <x v="0"/>
    <x v="7"/>
    <x v="2"/>
    <n v="11"/>
    <x v="0"/>
    <n v="11"/>
    <m/>
    <n v="11"/>
    <n v="0"/>
    <m/>
    <x v="12"/>
    <x v="0"/>
    <x v="0"/>
    <n v="6333.333333333333"/>
    <n v="0"/>
    <m/>
  </r>
  <r>
    <x v="0"/>
    <x v="12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3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4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5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6"/>
    <x v="5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17"/>
    <x v="5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18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9"/>
    <x v="5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20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1"/>
    <x v="56"/>
    <x v="1"/>
    <x v="1"/>
    <x v="15"/>
    <x v="0"/>
    <x v="5"/>
    <x v="2"/>
    <n v="11"/>
    <x v="0"/>
    <n v="11"/>
    <m/>
    <n v="11"/>
    <n v="0"/>
    <m/>
    <x v="12"/>
    <x v="0"/>
    <x v="0"/>
    <n v="6333.333333333333"/>
    <n v="0"/>
    <m/>
  </r>
  <r>
    <x v="0"/>
    <x v="22"/>
    <x v="56"/>
    <x v="1"/>
    <x v="1"/>
    <x v="15"/>
    <x v="0"/>
    <x v="5"/>
    <x v="2"/>
    <n v="11"/>
    <x v="0"/>
    <n v="11"/>
    <m/>
    <n v="11"/>
    <n v="0"/>
    <m/>
    <x v="12"/>
    <x v="0"/>
    <x v="0"/>
    <n v="6333.333333333333"/>
    <n v="0"/>
    <m/>
  </r>
  <r>
    <x v="0"/>
    <x v="23"/>
    <x v="5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24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5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6"/>
    <x v="5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7"/>
    <x v="56"/>
    <x v="1"/>
    <x v="1"/>
    <x v="15"/>
    <x v="0"/>
    <x v="1"/>
    <x v="2"/>
    <n v="8"/>
    <x v="0"/>
    <n v="8"/>
    <m/>
    <n v="8"/>
    <n v="0"/>
    <m/>
    <x v="12"/>
    <x v="0"/>
    <x v="0"/>
    <n v="0"/>
    <n v="0"/>
    <m/>
  </r>
  <r>
    <x v="0"/>
    <x v="28"/>
    <x v="56"/>
    <x v="1"/>
    <x v="1"/>
    <x v="15"/>
    <x v="0"/>
    <x v="1"/>
    <x v="2"/>
    <n v="8"/>
    <x v="0"/>
    <n v="8"/>
    <m/>
    <n v="8"/>
    <n v="0"/>
    <m/>
    <x v="12"/>
    <x v="0"/>
    <x v="0"/>
    <n v="0"/>
    <n v="0"/>
    <m/>
  </r>
  <r>
    <x v="0"/>
    <x v="29"/>
    <x v="57"/>
    <x v="1"/>
    <x v="1"/>
    <x v="15"/>
    <x v="0"/>
    <x v="1"/>
    <x v="2"/>
    <n v="8"/>
    <x v="0"/>
    <n v="8"/>
    <m/>
    <n v="8"/>
    <n v="0"/>
    <m/>
    <x v="12"/>
    <x v="0"/>
    <x v="0"/>
    <n v="0"/>
    <n v="0"/>
    <m/>
  </r>
  <r>
    <x v="0"/>
    <x v="0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3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4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5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6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7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8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9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0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1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2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13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14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5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6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7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8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19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20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21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2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3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4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5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6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27"/>
    <x v="57"/>
    <x v="1"/>
    <x v="1"/>
    <x v="15"/>
    <x v="0"/>
    <x v="3"/>
    <x v="0"/>
    <n v="1"/>
    <x v="0"/>
    <m/>
    <m/>
    <n v="0"/>
    <n v="0"/>
    <m/>
    <x v="12"/>
    <x v="0"/>
    <x v="0"/>
    <n v="0"/>
    <n v="0"/>
    <m/>
  </r>
  <r>
    <x v="0"/>
    <x v="28"/>
    <x v="57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29"/>
    <x v="8"/>
    <x v="1"/>
    <x v="1"/>
    <x v="15"/>
    <x v="0"/>
    <x v="2"/>
    <x v="0"/>
    <n v="8"/>
    <x v="0"/>
    <m/>
    <m/>
    <n v="0"/>
    <n v="0"/>
    <m/>
    <x v="12"/>
    <x v="0"/>
    <x v="0"/>
    <n v="0"/>
    <n v="0"/>
    <m/>
  </r>
  <r>
    <x v="0"/>
    <x v="0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3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4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5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6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7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8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9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0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1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2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13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14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5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6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7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8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19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0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1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2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3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4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5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6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7"/>
    <x v="8"/>
    <x v="4"/>
    <x v="1"/>
    <x v="4"/>
    <x v="0"/>
    <x v="3"/>
    <x v="0"/>
    <n v="1"/>
    <x v="0"/>
    <m/>
    <m/>
    <n v="0"/>
    <n v="0"/>
    <m/>
    <x v="2"/>
    <x v="0"/>
    <x v="0"/>
    <n v="0"/>
    <n v="0"/>
    <m/>
  </r>
  <r>
    <x v="0"/>
    <x v="28"/>
    <x v="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29"/>
    <x v="58"/>
    <x v="4"/>
    <x v="1"/>
    <x v="4"/>
    <x v="0"/>
    <x v="2"/>
    <x v="0"/>
    <n v="8"/>
    <x v="0"/>
    <m/>
    <m/>
    <n v="0"/>
    <n v="0"/>
    <m/>
    <x v="2"/>
    <x v="0"/>
    <x v="0"/>
    <n v="0"/>
    <n v="0"/>
    <m/>
  </r>
  <r>
    <x v="0"/>
    <x v="0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3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4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5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6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7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8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9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0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1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2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3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14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5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6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7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8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19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0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1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2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3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4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5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6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7"/>
    <x v="58"/>
    <x v="3"/>
    <x v="1"/>
    <x v="3"/>
    <x v="0"/>
    <x v="3"/>
    <x v="0"/>
    <n v="1"/>
    <x v="0"/>
    <m/>
    <m/>
    <n v="0"/>
    <n v="0"/>
    <m/>
    <x v="11"/>
    <x v="0"/>
    <x v="0"/>
    <n v="0"/>
    <n v="0"/>
    <m/>
  </r>
  <r>
    <x v="0"/>
    <x v="28"/>
    <x v="58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29"/>
    <x v="59"/>
    <x v="3"/>
    <x v="1"/>
    <x v="3"/>
    <x v="0"/>
    <x v="2"/>
    <x v="0"/>
    <n v="8"/>
    <x v="0"/>
    <m/>
    <m/>
    <n v="0"/>
    <n v="0"/>
    <m/>
    <x v="11"/>
    <x v="0"/>
    <x v="0"/>
    <n v="0"/>
    <n v="0"/>
    <m/>
  </r>
  <r>
    <x v="0"/>
    <x v="0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59"/>
    <x v="1"/>
    <x v="1"/>
    <x v="11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5"/>
    <x v="59"/>
    <x v="1"/>
    <x v="1"/>
    <x v="11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6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8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9"/>
    <x v="59"/>
    <x v="1"/>
    <x v="1"/>
    <x v="11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10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59"/>
    <x v="1"/>
    <x v="1"/>
    <x v="11"/>
    <x v="0"/>
    <x v="0"/>
    <x v="2"/>
    <n v="18"/>
    <x v="0"/>
    <n v="18"/>
    <m/>
    <n v="18"/>
    <n v="0"/>
    <m/>
    <x v="3"/>
    <x v="0"/>
    <x v="0"/>
    <n v="9272.7272727272721"/>
    <n v="0"/>
    <m/>
  </r>
  <r>
    <x v="0"/>
    <x v="12"/>
    <x v="59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13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7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59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19"/>
    <x v="59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0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2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3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4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5"/>
    <x v="59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6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59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8"/>
    <x v="59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9"/>
    <x v="37"/>
    <x v="1"/>
    <x v="1"/>
    <x v="11"/>
    <x v="0"/>
    <x v="6"/>
    <x v="0"/>
    <n v="11"/>
    <x v="0"/>
    <n v="11"/>
    <m/>
    <n v="11"/>
    <n v="0"/>
    <m/>
    <x v="3"/>
    <x v="0"/>
    <x v="0"/>
    <n v="5666.6666666666661"/>
    <n v="0"/>
    <m/>
  </r>
  <r>
    <x v="0"/>
    <x v="0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1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2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3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4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5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6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7"/>
    <x v="37"/>
    <x v="6"/>
    <x v="1"/>
    <x v="6"/>
    <x v="0"/>
    <x v="9"/>
    <x v="0"/>
    <n v="1"/>
    <x v="0"/>
    <m/>
    <m/>
    <n v="0"/>
    <n v="0"/>
    <m/>
    <x v="2"/>
    <x v="0"/>
    <x v="0"/>
    <n v="0"/>
    <n v="0"/>
    <m/>
  </r>
  <r>
    <x v="0"/>
    <x v="8"/>
    <x v="37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9"/>
    <x v="37"/>
    <x v="6"/>
    <x v="1"/>
    <x v="6"/>
    <x v="0"/>
    <x v="1"/>
    <x v="0"/>
    <n v="8"/>
    <x v="0"/>
    <m/>
    <m/>
    <n v="0"/>
    <n v="0"/>
    <m/>
    <x v="2"/>
    <x v="0"/>
    <x v="0"/>
    <n v="0"/>
    <n v="0"/>
    <m/>
  </r>
  <r>
    <x v="0"/>
    <x v="10"/>
    <x v="37"/>
    <x v="6"/>
    <x v="1"/>
    <x v="6"/>
    <x v="0"/>
    <x v="6"/>
    <x v="0"/>
    <n v="11"/>
    <x v="0"/>
    <m/>
    <m/>
    <n v="0"/>
    <n v="0"/>
    <m/>
    <x v="2"/>
    <x v="0"/>
    <x v="0"/>
    <n v="6666.6666666666661"/>
    <n v="0"/>
    <m/>
  </r>
  <r>
    <x v="0"/>
    <x v="11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2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3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4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5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6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7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9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0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1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2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3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4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5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6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7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8"/>
    <x v="37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9"/>
    <x v="60"/>
    <x v="6"/>
    <x v="1"/>
    <x v="6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0"/>
    <x v="60"/>
    <x v="11"/>
    <x v="1"/>
    <x v="16"/>
    <x v="0"/>
    <x v="0"/>
    <x v="0"/>
    <n v="19"/>
    <x v="0"/>
    <m/>
    <m/>
    <n v="0"/>
    <n v="0"/>
    <m/>
    <x v="1"/>
    <x v="0"/>
    <x v="2"/>
    <n v="0"/>
    <n v="0"/>
    <m/>
  </r>
  <r>
    <x v="0"/>
    <x v="1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3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4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5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6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7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8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9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0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1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2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3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4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5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6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7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8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19"/>
    <x v="60"/>
    <x v="11"/>
    <x v="1"/>
    <x v="16"/>
    <x v="0"/>
    <x v="0"/>
    <x v="0"/>
    <n v="16"/>
    <x v="0"/>
    <m/>
    <m/>
    <n v="0"/>
    <n v="0"/>
    <m/>
    <x v="1"/>
    <x v="0"/>
    <x v="2"/>
    <n v="0"/>
    <n v="0"/>
    <m/>
  </r>
  <r>
    <x v="0"/>
    <x v="20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1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2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3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4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5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6"/>
    <x v="60"/>
    <x v="11"/>
    <x v="1"/>
    <x v="16"/>
    <x v="0"/>
    <x v="0"/>
    <x v="0"/>
    <n v="11"/>
    <x v="0"/>
    <m/>
    <m/>
    <n v="0"/>
    <n v="0"/>
    <m/>
    <x v="1"/>
    <x v="0"/>
    <x v="2"/>
    <n v="0"/>
    <n v="0"/>
    <m/>
  </r>
  <r>
    <x v="0"/>
    <x v="27"/>
    <x v="60"/>
    <x v="11"/>
    <x v="1"/>
    <x v="16"/>
    <x v="0"/>
    <x v="1"/>
    <x v="0"/>
    <n v="8"/>
    <x v="0"/>
    <m/>
    <m/>
    <n v="0"/>
    <n v="0"/>
    <m/>
    <x v="1"/>
    <x v="0"/>
    <x v="2"/>
    <n v="0"/>
    <n v="0"/>
    <m/>
  </r>
  <r>
    <x v="0"/>
    <x v="28"/>
    <x v="60"/>
    <x v="11"/>
    <x v="1"/>
    <x v="16"/>
    <x v="0"/>
    <x v="1"/>
    <x v="0"/>
    <n v="8"/>
    <x v="0"/>
    <m/>
    <m/>
    <n v="0"/>
    <n v="0"/>
    <m/>
    <x v="1"/>
    <x v="0"/>
    <x v="2"/>
    <n v="0"/>
    <n v="0"/>
    <m/>
  </r>
  <r>
    <x v="0"/>
    <x v="29"/>
    <x v="61"/>
    <x v="11"/>
    <x v="1"/>
    <x v="16"/>
    <x v="0"/>
    <x v="1"/>
    <x v="0"/>
    <n v="8"/>
    <x v="0"/>
    <m/>
    <m/>
    <n v="0"/>
    <n v="0"/>
    <m/>
    <x v="1"/>
    <x v="0"/>
    <x v="2"/>
    <n v="0"/>
    <n v="0"/>
    <m/>
  </r>
  <r>
    <x v="0"/>
    <x v="0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"/>
    <x v="61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3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4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5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6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7"/>
    <x v="61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8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9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0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1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2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3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4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6"/>
    <x v="61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7"/>
    <x v="61"/>
    <x v="1"/>
    <x v="1"/>
    <x v="9"/>
    <x v="0"/>
    <x v="0"/>
    <x v="2"/>
    <n v="11"/>
    <x v="1"/>
    <m/>
    <m/>
    <n v="0"/>
    <n v="0"/>
    <m/>
    <x v="15"/>
    <x v="2"/>
    <x v="0"/>
    <n v="5400"/>
    <n v="5000"/>
    <s v="54-127"/>
  </r>
  <r>
    <x v="0"/>
    <x v="18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9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0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1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2"/>
    <x v="61"/>
    <x v="1"/>
    <x v="1"/>
    <x v="9"/>
    <x v="0"/>
    <x v="0"/>
    <x v="2"/>
    <n v="11"/>
    <x v="1"/>
    <m/>
    <m/>
    <n v="0"/>
    <n v="0"/>
    <m/>
    <x v="15"/>
    <x v="2"/>
    <x v="0"/>
    <n v="5400"/>
    <n v="5000"/>
    <s v="54-127"/>
  </r>
  <r>
    <x v="0"/>
    <x v="23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4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5"/>
    <x v="61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6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7"/>
    <x v="61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8"/>
    <x v="61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9"/>
    <x v="62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0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"/>
    <x v="6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3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4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5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7"/>
    <x v="6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8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9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1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2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3"/>
    <x v="6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4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6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7"/>
    <x v="62"/>
    <x v="1"/>
    <x v="1"/>
    <x v="9"/>
    <x v="0"/>
    <x v="0"/>
    <x v="2"/>
    <n v="11"/>
    <x v="1"/>
    <m/>
    <m/>
    <n v="0"/>
    <n v="0"/>
    <m/>
    <x v="15"/>
    <x v="2"/>
    <x v="0"/>
    <n v="5400"/>
    <n v="5000"/>
    <s v="54-127"/>
  </r>
  <r>
    <x v="0"/>
    <x v="18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9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0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1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2"/>
    <x v="62"/>
    <x v="1"/>
    <x v="1"/>
    <x v="9"/>
    <x v="0"/>
    <x v="0"/>
    <x v="2"/>
    <n v="11"/>
    <x v="1"/>
    <m/>
    <m/>
    <n v="0"/>
    <n v="0"/>
    <m/>
    <x v="15"/>
    <x v="2"/>
    <x v="0"/>
    <n v="5400"/>
    <n v="5000"/>
    <s v="54-127"/>
  </r>
  <r>
    <x v="0"/>
    <x v="23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4"/>
    <x v="62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5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6"/>
    <x v="62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7"/>
    <x v="62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8"/>
    <x v="62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9"/>
    <x v="19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0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"/>
    <x v="19"/>
    <x v="1"/>
    <x v="1"/>
    <x v="8"/>
    <x v="0"/>
    <x v="9"/>
    <x v="0"/>
    <n v="1"/>
    <x v="0"/>
    <m/>
    <m/>
    <n v="0"/>
    <n v="0"/>
    <m/>
    <x v="4"/>
    <x v="0"/>
    <x v="0"/>
    <n v="0"/>
    <n v="0"/>
    <s v="Р58 08.02"/>
  </r>
  <r>
    <x v="0"/>
    <x v="3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4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5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6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7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8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9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0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1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2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3"/>
    <x v="19"/>
    <x v="1"/>
    <x v="1"/>
    <x v="8"/>
    <x v="0"/>
    <x v="9"/>
    <x v="0"/>
    <n v="1"/>
    <x v="0"/>
    <m/>
    <m/>
    <n v="0"/>
    <n v="0"/>
    <m/>
    <x v="4"/>
    <x v="0"/>
    <x v="0"/>
    <n v="0"/>
    <n v="0"/>
    <s v="Р58 11.02"/>
  </r>
  <r>
    <x v="0"/>
    <x v="14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5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6"/>
    <x v="19"/>
    <x v="1"/>
    <x v="1"/>
    <x v="8"/>
    <x v="0"/>
    <x v="9"/>
    <x v="0"/>
    <n v="1"/>
    <x v="0"/>
    <m/>
    <m/>
    <n v="0"/>
    <n v="0"/>
    <m/>
    <x v="4"/>
    <x v="0"/>
    <x v="0"/>
    <n v="0"/>
    <n v="0"/>
    <s v="Перегон на Бованы"/>
  </r>
  <r>
    <x v="0"/>
    <x v="17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8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19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0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1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2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3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4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5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6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7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8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29"/>
    <x v="19"/>
    <x v="1"/>
    <x v="1"/>
    <x v="8"/>
    <x v="0"/>
    <x v="9"/>
    <x v="0"/>
    <n v="1"/>
    <x v="0"/>
    <m/>
    <m/>
    <n v="0"/>
    <n v="0"/>
    <m/>
    <x v="4"/>
    <x v="0"/>
    <x v="0"/>
    <n v="0"/>
    <n v="0"/>
    <m/>
  </r>
  <r>
    <x v="0"/>
    <x v="0"/>
    <x v="19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"/>
    <x v="19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3"/>
    <x v="19"/>
    <x v="1"/>
    <x v="1"/>
    <x v="8"/>
    <x v="0"/>
    <x v="6"/>
    <x v="0"/>
    <n v="11"/>
    <x v="0"/>
    <m/>
    <m/>
    <n v="0"/>
    <n v="0"/>
    <m/>
    <x v="10"/>
    <x v="1"/>
    <x v="0"/>
    <n v="4833.333333333333"/>
    <n v="0"/>
    <m/>
  </r>
  <r>
    <x v="0"/>
    <x v="4"/>
    <x v="19"/>
    <x v="1"/>
    <x v="1"/>
    <x v="8"/>
    <x v="0"/>
    <x v="6"/>
    <x v="0"/>
    <n v="11"/>
    <x v="0"/>
    <m/>
    <m/>
    <n v="0"/>
    <n v="0"/>
    <m/>
    <x v="10"/>
    <x v="1"/>
    <x v="0"/>
    <n v="4833.333333333333"/>
    <n v="0"/>
    <m/>
  </r>
  <r>
    <x v="0"/>
    <x v="5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6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7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8"/>
    <x v="19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9"/>
    <x v="19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10"/>
    <x v="19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1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2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13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4"/>
    <x v="19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15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6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17"/>
    <x v="19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s v="54 малы"/>
  </r>
  <r>
    <x v="0"/>
    <x v="18"/>
    <x v="19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19"/>
    <x v="19"/>
    <x v="1"/>
    <x v="1"/>
    <x v="8"/>
    <x v="0"/>
    <x v="0"/>
    <x v="2"/>
    <n v="22"/>
    <x v="0"/>
    <m/>
    <m/>
    <n v="0"/>
    <n v="0"/>
    <m/>
    <x v="10"/>
    <x v="1"/>
    <x v="0"/>
    <n v="9666.6666666666661"/>
    <n v="0"/>
    <m/>
  </r>
  <r>
    <x v="0"/>
    <x v="20"/>
    <x v="19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1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2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3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4"/>
    <x v="19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25"/>
    <x v="19"/>
    <x v="1"/>
    <x v="1"/>
    <x v="8"/>
    <x v="0"/>
    <x v="7"/>
    <x v="2"/>
    <n v="11"/>
    <x v="0"/>
    <m/>
    <m/>
    <n v="0"/>
    <n v="0"/>
    <m/>
    <x v="10"/>
    <x v="1"/>
    <x v="0"/>
    <n v="4833.333333333333"/>
    <n v="0"/>
    <m/>
  </r>
  <r>
    <x v="0"/>
    <x v="26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7"/>
    <x v="19"/>
    <x v="1"/>
    <x v="1"/>
    <x v="8"/>
    <x v="0"/>
    <x v="0"/>
    <x v="2"/>
    <n v="11"/>
    <x v="1"/>
    <m/>
    <m/>
    <n v="0"/>
    <n v="0"/>
    <m/>
    <x v="10"/>
    <x v="1"/>
    <x v="0"/>
    <n v="4833.333333333333"/>
    <n v="1660"/>
    <m/>
  </r>
  <r>
    <x v="0"/>
    <x v="28"/>
    <x v="19"/>
    <x v="1"/>
    <x v="1"/>
    <x v="8"/>
    <x v="0"/>
    <x v="0"/>
    <x v="2"/>
    <n v="11"/>
    <x v="0"/>
    <m/>
    <m/>
    <n v="0"/>
    <n v="0"/>
    <m/>
    <x v="10"/>
    <x v="1"/>
    <x v="0"/>
    <n v="4833.333333333333"/>
    <n v="0"/>
    <m/>
  </r>
  <r>
    <x v="0"/>
    <x v="29"/>
    <x v="37"/>
    <x v="1"/>
    <x v="1"/>
    <x v="8"/>
    <x v="0"/>
    <x v="0"/>
    <x v="2"/>
    <n v="22"/>
    <x v="1"/>
    <m/>
    <m/>
    <n v="0"/>
    <n v="0"/>
    <m/>
    <x v="10"/>
    <x v="1"/>
    <x v="0"/>
    <n v="9666.6666666666661"/>
    <n v="1660"/>
    <m/>
  </r>
  <r>
    <x v="0"/>
    <x v="0"/>
    <x v="37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"/>
    <x v="37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"/>
    <x v="37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3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4"/>
    <x v="37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5"/>
    <x v="37"/>
    <x v="1"/>
    <x v="1"/>
    <x v="9"/>
    <x v="0"/>
    <x v="7"/>
    <x v="2"/>
    <n v="11"/>
    <x v="0"/>
    <m/>
    <m/>
    <n v="0"/>
    <n v="0"/>
    <m/>
    <x v="15"/>
    <x v="3"/>
    <x v="0"/>
    <n v="5400"/>
    <n v="0"/>
    <m/>
  </r>
  <r>
    <x v="0"/>
    <x v="6"/>
    <x v="37"/>
    <x v="1"/>
    <x v="1"/>
    <x v="9"/>
    <x v="0"/>
    <x v="7"/>
    <x v="2"/>
    <n v="11"/>
    <x v="0"/>
    <m/>
    <m/>
    <n v="0"/>
    <n v="0"/>
    <m/>
    <x v="15"/>
    <x v="3"/>
    <x v="0"/>
    <n v="5400"/>
    <n v="0"/>
    <m/>
  </r>
  <r>
    <x v="0"/>
    <x v="7"/>
    <x v="37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8"/>
    <x v="37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9"/>
    <x v="37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0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1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2"/>
    <x v="37"/>
    <x v="1"/>
    <x v="1"/>
    <x v="9"/>
    <x v="0"/>
    <x v="0"/>
    <x v="2"/>
    <n v="22"/>
    <x v="0"/>
    <m/>
    <m/>
    <n v="0"/>
    <n v="0"/>
    <m/>
    <x v="15"/>
    <x v="3"/>
    <x v="0"/>
    <n v="10800"/>
    <n v="0"/>
    <m/>
  </r>
  <r>
    <x v="0"/>
    <x v="13"/>
    <x v="37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4"/>
    <x v="37"/>
    <x v="1"/>
    <x v="1"/>
    <x v="9"/>
    <x v="0"/>
    <x v="0"/>
    <x v="2"/>
    <n v="22"/>
    <x v="0"/>
    <m/>
    <m/>
    <n v="0"/>
    <n v="0"/>
    <m/>
    <x v="15"/>
    <x v="3"/>
    <x v="0"/>
    <n v="10800"/>
    <n v="0"/>
    <m/>
  </r>
  <r>
    <x v="0"/>
    <x v="15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6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7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8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9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0"/>
    <x v="37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1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2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3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4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5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6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7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8"/>
    <x v="37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9"/>
    <x v="53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0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5"/>
    <x v="53"/>
    <x v="1"/>
    <x v="1"/>
    <x v="11"/>
    <x v="0"/>
    <x v="0"/>
    <x v="2"/>
    <n v="14"/>
    <x v="0"/>
    <n v="14"/>
    <m/>
    <n v="14"/>
    <n v="0"/>
    <m/>
    <x v="3"/>
    <x v="0"/>
    <x v="0"/>
    <n v="7212.121212121212"/>
    <n v="0"/>
    <m/>
  </r>
  <r>
    <x v="0"/>
    <x v="6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53"/>
    <x v="1"/>
    <x v="1"/>
    <x v="11"/>
    <x v="0"/>
    <x v="0"/>
    <x v="2"/>
    <n v="20"/>
    <x v="0"/>
    <n v="20"/>
    <m/>
    <n v="20"/>
    <n v="0"/>
    <m/>
    <x v="3"/>
    <x v="0"/>
    <x v="0"/>
    <n v="10303.030303030302"/>
    <n v="0"/>
    <m/>
  </r>
  <r>
    <x v="0"/>
    <x v="8"/>
    <x v="53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9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0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2"/>
    <x v="53"/>
    <x v="1"/>
    <x v="1"/>
    <x v="11"/>
    <x v="0"/>
    <x v="0"/>
    <x v="2"/>
    <n v="19"/>
    <x v="0"/>
    <n v="19"/>
    <m/>
    <n v="19"/>
    <n v="0"/>
    <m/>
    <x v="3"/>
    <x v="0"/>
    <x v="0"/>
    <n v="9787.878787878788"/>
    <n v="0"/>
    <m/>
  </r>
  <r>
    <x v="0"/>
    <x v="13"/>
    <x v="53"/>
    <x v="1"/>
    <x v="1"/>
    <x v="11"/>
    <x v="0"/>
    <x v="0"/>
    <x v="2"/>
    <n v="14"/>
    <x v="0"/>
    <n v="14"/>
    <m/>
    <n v="14"/>
    <n v="0"/>
    <m/>
    <x v="3"/>
    <x v="0"/>
    <x v="0"/>
    <n v="7212.121212121212"/>
    <n v="0"/>
    <m/>
  </r>
  <r>
    <x v="0"/>
    <x v="14"/>
    <x v="53"/>
    <x v="1"/>
    <x v="1"/>
    <x v="11"/>
    <x v="0"/>
    <x v="0"/>
    <x v="2"/>
    <n v="15"/>
    <x v="0"/>
    <n v="15"/>
    <m/>
    <n v="15"/>
    <n v="0"/>
    <m/>
    <x v="3"/>
    <x v="0"/>
    <x v="0"/>
    <n v="7727.272727272727"/>
    <n v="0"/>
    <m/>
  </r>
  <r>
    <x v="0"/>
    <x v="15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53"/>
    <x v="1"/>
    <x v="1"/>
    <x v="11"/>
    <x v="0"/>
    <x v="0"/>
    <x v="2"/>
    <n v="13"/>
    <x v="0"/>
    <n v="13"/>
    <m/>
    <n v="13"/>
    <n v="0"/>
    <m/>
    <x v="3"/>
    <x v="0"/>
    <x v="0"/>
    <n v="6696.969696969697"/>
    <n v="0"/>
    <m/>
  </r>
  <r>
    <x v="0"/>
    <x v="17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53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19"/>
    <x v="53"/>
    <x v="1"/>
    <x v="1"/>
    <x v="11"/>
    <x v="0"/>
    <x v="0"/>
    <x v="2"/>
    <n v="16"/>
    <x v="0"/>
    <n v="16"/>
    <m/>
    <n v="16"/>
    <n v="0"/>
    <m/>
    <x v="3"/>
    <x v="0"/>
    <x v="0"/>
    <n v="8242.424242424242"/>
    <n v="0"/>
    <m/>
  </r>
  <r>
    <x v="0"/>
    <x v="20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1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53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22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3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4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5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6"/>
    <x v="53"/>
    <x v="1"/>
    <x v="1"/>
    <x v="11"/>
    <x v="0"/>
    <x v="0"/>
    <x v="2"/>
    <n v="17"/>
    <x v="0"/>
    <n v="17"/>
    <m/>
    <n v="17"/>
    <n v="0"/>
    <m/>
    <x v="3"/>
    <x v="0"/>
    <x v="0"/>
    <n v="8757.575757575758"/>
    <n v="0"/>
    <m/>
  </r>
  <r>
    <x v="0"/>
    <x v="26"/>
    <x v="53"/>
    <x v="1"/>
    <x v="1"/>
    <x v="11"/>
    <x v="0"/>
    <x v="5"/>
    <x v="2"/>
    <n v="5"/>
    <x v="0"/>
    <n v="5"/>
    <m/>
    <n v="5"/>
    <n v="0"/>
    <m/>
    <x v="3"/>
    <x v="0"/>
    <x v="0"/>
    <n v="2575.7575757575755"/>
    <n v="0"/>
    <m/>
  </r>
  <r>
    <x v="0"/>
    <x v="27"/>
    <x v="53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53"/>
    <x v="1"/>
    <x v="1"/>
    <x v="11"/>
    <x v="0"/>
    <x v="5"/>
    <x v="2"/>
    <n v="11"/>
    <x v="0"/>
    <n v="11"/>
    <m/>
    <n v="11"/>
    <n v="0"/>
    <m/>
    <x v="3"/>
    <x v="0"/>
    <x v="0"/>
    <n v="5666.6666666666661"/>
    <n v="0"/>
    <m/>
  </r>
  <r>
    <x v="0"/>
    <x v="28"/>
    <x v="5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9"/>
    <x v="63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0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3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4"/>
    <x v="63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5"/>
    <x v="63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6"/>
    <x v="63"/>
    <x v="3"/>
    <x v="1"/>
    <x v="3"/>
    <x v="0"/>
    <x v="7"/>
    <x v="2"/>
    <n v="11"/>
    <x v="0"/>
    <m/>
    <m/>
    <n v="0"/>
    <n v="0"/>
    <m/>
    <x v="11"/>
    <x v="0"/>
    <x v="0"/>
    <n v="3666.6666666666665"/>
    <n v="0"/>
    <m/>
  </r>
  <r>
    <x v="0"/>
    <x v="7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8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9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0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1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2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3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4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5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6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7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8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19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0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1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2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3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4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5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6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7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8"/>
    <x v="63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29"/>
    <x v="64"/>
    <x v="3"/>
    <x v="1"/>
    <x v="3"/>
    <x v="0"/>
    <x v="0"/>
    <x v="2"/>
    <n v="16"/>
    <x v="0"/>
    <m/>
    <m/>
    <n v="0"/>
    <n v="0"/>
    <m/>
    <x v="11"/>
    <x v="0"/>
    <x v="0"/>
    <n v="5333.333333333333"/>
    <n v="0"/>
    <m/>
  </r>
  <r>
    <x v="0"/>
    <x v="0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2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3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4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5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6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7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8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9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0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1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2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3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4"/>
    <x v="64"/>
    <x v="12"/>
    <x v="1"/>
    <x v="17"/>
    <x v="0"/>
    <x v="4"/>
    <x v="1"/>
    <m/>
    <x v="0"/>
    <m/>
    <m/>
    <n v="0"/>
    <n v="0"/>
    <m/>
    <x v="1"/>
    <x v="0"/>
    <x v="2"/>
    <n v="0"/>
    <n v="0"/>
    <m/>
  </r>
  <r>
    <x v="0"/>
    <x v="15"/>
    <x v="64"/>
    <x v="12"/>
    <x v="1"/>
    <x v="17"/>
    <x v="0"/>
    <x v="1"/>
    <x v="0"/>
    <n v="8"/>
    <x v="0"/>
    <m/>
    <m/>
    <n v="0"/>
    <n v="0"/>
    <m/>
    <x v="1"/>
    <x v="0"/>
    <x v="2"/>
    <n v="0"/>
    <n v="0"/>
    <m/>
  </r>
  <r>
    <x v="0"/>
    <x v="16"/>
    <x v="64"/>
    <x v="12"/>
    <x v="1"/>
    <x v="17"/>
    <x v="0"/>
    <x v="1"/>
    <x v="0"/>
    <n v="8"/>
    <x v="0"/>
    <m/>
    <m/>
    <n v="0"/>
    <n v="0"/>
    <m/>
    <x v="1"/>
    <x v="0"/>
    <x v="2"/>
    <n v="0"/>
    <n v="0"/>
    <m/>
  </r>
  <r>
    <x v="0"/>
    <x v="17"/>
    <x v="64"/>
    <x v="12"/>
    <x v="1"/>
    <x v="17"/>
    <x v="0"/>
    <x v="1"/>
    <x v="0"/>
    <n v="8"/>
    <x v="0"/>
    <m/>
    <m/>
    <n v="0"/>
    <n v="0"/>
    <m/>
    <x v="1"/>
    <x v="0"/>
    <x v="2"/>
    <n v="0"/>
    <n v="0"/>
    <m/>
  </r>
  <r>
    <x v="0"/>
    <x v="18"/>
    <x v="64"/>
    <x v="12"/>
    <x v="1"/>
    <x v="17"/>
    <x v="0"/>
    <x v="1"/>
    <x v="0"/>
    <n v="8"/>
    <x v="0"/>
    <m/>
    <m/>
    <n v="0"/>
    <n v="0"/>
    <m/>
    <x v="1"/>
    <x v="0"/>
    <x v="2"/>
    <n v="0"/>
    <n v="0"/>
    <m/>
  </r>
  <r>
    <x v="0"/>
    <x v="19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0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1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2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3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4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5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6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7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8"/>
    <x v="64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29"/>
    <x v="65"/>
    <x v="12"/>
    <x v="1"/>
    <x v="17"/>
    <x v="0"/>
    <x v="0"/>
    <x v="0"/>
    <n v="11"/>
    <x v="0"/>
    <m/>
    <m/>
    <n v="0"/>
    <n v="0"/>
    <m/>
    <x v="1"/>
    <x v="0"/>
    <x v="2"/>
    <n v="0"/>
    <n v="0"/>
    <m/>
  </r>
  <r>
    <x v="0"/>
    <x v="0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1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2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3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4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5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6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7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8"/>
    <x v="65"/>
    <x v="1"/>
    <x v="1"/>
    <x v="18"/>
    <x v="0"/>
    <x v="9"/>
    <x v="0"/>
    <n v="1"/>
    <x v="0"/>
    <m/>
    <m/>
    <n v="0"/>
    <n v="0"/>
    <m/>
    <x v="1"/>
    <x v="0"/>
    <x v="2"/>
    <n v="0"/>
    <n v="0"/>
    <m/>
  </r>
  <r>
    <x v="0"/>
    <x v="9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0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1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2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3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4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5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6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7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8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19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0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1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2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3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4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5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6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7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8"/>
    <x v="65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29"/>
    <x v="66"/>
    <x v="1"/>
    <x v="1"/>
    <x v="18"/>
    <x v="0"/>
    <x v="11"/>
    <x v="0"/>
    <n v="1"/>
    <x v="0"/>
    <m/>
    <m/>
    <n v="0"/>
    <n v="0"/>
    <m/>
    <x v="1"/>
    <x v="0"/>
    <x v="2"/>
    <n v="0"/>
    <n v="0"/>
    <m/>
  </r>
  <r>
    <x v="0"/>
    <x v="0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3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4"/>
    <x v="66"/>
    <x v="1"/>
    <x v="1"/>
    <x v="11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5"/>
    <x v="66"/>
    <x v="1"/>
    <x v="1"/>
    <x v="11"/>
    <x v="0"/>
    <x v="7"/>
    <x v="2"/>
    <n v="11"/>
    <x v="0"/>
    <n v="11"/>
    <m/>
    <n v="11"/>
    <n v="0"/>
    <m/>
    <x v="3"/>
    <x v="0"/>
    <x v="0"/>
    <n v="5666.6666666666661"/>
    <n v="0"/>
    <m/>
  </r>
  <r>
    <x v="0"/>
    <x v="6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7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8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9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0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1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2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3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4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5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6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7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8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19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0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1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2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3"/>
    <x v="66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4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5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6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7"/>
    <x v="66"/>
    <x v="1"/>
    <x v="1"/>
    <x v="11"/>
    <x v="0"/>
    <x v="0"/>
    <x v="2"/>
    <n v="11"/>
    <x v="0"/>
    <n v="11"/>
    <m/>
    <n v="11"/>
    <n v="0"/>
    <m/>
    <x v="3"/>
    <x v="0"/>
    <x v="0"/>
    <n v="5666.6666666666661"/>
    <n v="0"/>
    <m/>
  </r>
  <r>
    <x v="0"/>
    <x v="28"/>
    <x v="66"/>
    <x v="1"/>
    <x v="1"/>
    <x v="11"/>
    <x v="0"/>
    <x v="0"/>
    <x v="2"/>
    <n v="22"/>
    <x v="0"/>
    <n v="22"/>
    <m/>
    <n v="22"/>
    <n v="0"/>
    <m/>
    <x v="3"/>
    <x v="0"/>
    <x v="0"/>
    <n v="11333.333333333332"/>
    <n v="0"/>
    <m/>
  </r>
  <r>
    <x v="0"/>
    <x v="29"/>
    <x v="67"/>
    <x v="1"/>
    <x v="1"/>
    <x v="11"/>
    <x v="0"/>
    <x v="0"/>
    <x v="2"/>
    <n v="14"/>
    <x v="0"/>
    <n v="14"/>
    <m/>
    <n v="14"/>
    <n v="0"/>
    <m/>
    <x v="3"/>
    <x v="0"/>
    <x v="0"/>
    <n v="7212.121212121212"/>
    <n v="0"/>
    <m/>
  </r>
  <r>
    <x v="0"/>
    <x v="0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1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2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3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4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5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6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7"/>
    <x v="67"/>
    <x v="1"/>
    <x v="1"/>
    <x v="15"/>
    <x v="0"/>
    <x v="11"/>
    <x v="0"/>
    <n v="1"/>
    <x v="0"/>
    <m/>
    <m/>
    <n v="0"/>
    <n v="0"/>
    <m/>
    <x v="12"/>
    <x v="0"/>
    <x v="0"/>
    <n v="0"/>
    <n v="0"/>
    <m/>
  </r>
  <r>
    <x v="0"/>
    <x v="8"/>
    <x v="67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9"/>
    <x v="67"/>
    <x v="1"/>
    <x v="1"/>
    <x v="15"/>
    <x v="0"/>
    <x v="1"/>
    <x v="0"/>
    <n v="8"/>
    <x v="0"/>
    <m/>
    <m/>
    <n v="0"/>
    <n v="0"/>
    <m/>
    <x v="12"/>
    <x v="0"/>
    <x v="0"/>
    <n v="0"/>
    <n v="0"/>
    <m/>
  </r>
  <r>
    <x v="0"/>
    <x v="10"/>
    <x v="67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1"/>
    <x v="67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2"/>
    <x v="67"/>
    <x v="1"/>
    <x v="1"/>
    <x v="15"/>
    <x v="0"/>
    <x v="7"/>
    <x v="0"/>
    <n v="11"/>
    <x v="0"/>
    <m/>
    <m/>
    <n v="0"/>
    <n v="0"/>
    <m/>
    <x v="12"/>
    <x v="0"/>
    <x v="0"/>
    <n v="6333.333333333333"/>
    <n v="0"/>
    <m/>
  </r>
  <r>
    <x v="0"/>
    <x v="13"/>
    <x v="67"/>
    <x v="1"/>
    <x v="1"/>
    <x v="15"/>
    <x v="0"/>
    <x v="10"/>
    <x v="0"/>
    <n v="11"/>
    <x v="0"/>
    <m/>
    <m/>
    <n v="0"/>
    <n v="0"/>
    <m/>
    <x v="12"/>
    <x v="0"/>
    <x v="0"/>
    <n v="0"/>
    <n v="0"/>
    <m/>
  </r>
  <r>
    <x v="0"/>
    <x v="14"/>
    <x v="67"/>
    <x v="1"/>
    <x v="1"/>
    <x v="15"/>
    <x v="0"/>
    <x v="0"/>
    <x v="0"/>
    <n v="11"/>
    <x v="0"/>
    <m/>
    <m/>
    <n v="0"/>
    <n v="0"/>
    <m/>
    <x v="12"/>
    <x v="0"/>
    <x v="0"/>
    <n v="6333.333333333333"/>
    <n v="0"/>
    <m/>
  </r>
  <r>
    <x v="0"/>
    <x v="15"/>
    <x v="67"/>
    <x v="1"/>
    <x v="1"/>
    <x v="15"/>
    <x v="0"/>
    <x v="0"/>
    <x v="0"/>
    <n v="11"/>
    <x v="0"/>
    <m/>
    <m/>
    <n v="0"/>
    <n v="0"/>
    <m/>
    <x v="12"/>
    <x v="0"/>
    <x v="0"/>
    <n v="6333.333333333333"/>
    <n v="0"/>
    <m/>
  </r>
  <r>
    <x v="0"/>
    <x v="16"/>
    <x v="67"/>
    <x v="1"/>
    <x v="1"/>
    <x v="15"/>
    <x v="0"/>
    <x v="0"/>
    <x v="0"/>
    <n v="11"/>
    <x v="0"/>
    <m/>
    <m/>
    <n v="0"/>
    <n v="0"/>
    <m/>
    <x v="12"/>
    <x v="0"/>
    <x v="0"/>
    <n v="6333.333333333333"/>
    <n v="0"/>
    <m/>
  </r>
  <r>
    <x v="0"/>
    <x v="17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8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9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0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1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2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3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4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5"/>
    <x v="67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26"/>
    <x v="67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27"/>
    <x v="67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28"/>
    <x v="67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9"/>
    <x v="68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0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3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4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5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6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7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8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9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0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1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2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3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4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5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6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7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8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19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0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1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2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3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4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5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6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7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8"/>
    <x v="68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29"/>
    <x v="69"/>
    <x v="13"/>
    <x v="1"/>
    <x v="19"/>
    <x v="0"/>
    <x v="0"/>
    <x v="0"/>
    <n v="11"/>
    <x v="0"/>
    <m/>
    <m/>
    <n v="0"/>
    <n v="0"/>
    <m/>
    <x v="1"/>
    <x v="0"/>
    <x v="2"/>
    <n v="0"/>
    <n v="0"/>
    <m/>
  </r>
  <r>
    <x v="0"/>
    <x v="0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2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3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4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5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6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7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8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9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0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1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2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3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4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5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6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7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8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9"/>
    <x v="69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0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21"/>
    <x v="69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22"/>
    <x v="69"/>
    <x v="4"/>
    <x v="2"/>
    <x v="4"/>
    <x v="0"/>
    <x v="0"/>
    <x v="2"/>
    <n v="11"/>
    <x v="0"/>
    <n v="11"/>
    <m/>
    <n v="11"/>
    <n v="0"/>
    <m/>
    <x v="5"/>
    <x v="0"/>
    <x v="0"/>
    <n v="5333.3333333333339"/>
    <n v="0"/>
    <m/>
  </r>
  <r>
    <x v="0"/>
    <x v="23"/>
    <x v="69"/>
    <x v="4"/>
    <x v="2"/>
    <x v="4"/>
    <x v="0"/>
    <x v="0"/>
    <x v="2"/>
    <n v="11"/>
    <x v="0"/>
    <n v="11"/>
    <m/>
    <n v="11"/>
    <n v="0"/>
    <m/>
    <x v="5"/>
    <x v="0"/>
    <x v="0"/>
    <n v="5333.3333333333339"/>
    <n v="0"/>
    <m/>
  </r>
  <r>
    <x v="0"/>
    <x v="24"/>
    <x v="69"/>
    <x v="4"/>
    <x v="2"/>
    <x v="4"/>
    <x v="0"/>
    <x v="0"/>
    <x v="2"/>
    <n v="11"/>
    <x v="0"/>
    <n v="11"/>
    <m/>
    <n v="11"/>
    <n v="0"/>
    <m/>
    <x v="5"/>
    <x v="0"/>
    <x v="0"/>
    <n v="5333.3333333333339"/>
    <n v="0"/>
    <m/>
  </r>
  <r>
    <x v="0"/>
    <x v="25"/>
    <x v="69"/>
    <x v="4"/>
    <x v="2"/>
    <x v="4"/>
    <x v="0"/>
    <x v="0"/>
    <x v="2"/>
    <n v="11"/>
    <x v="0"/>
    <n v="11"/>
    <m/>
    <n v="11"/>
    <n v="0"/>
    <m/>
    <x v="5"/>
    <x v="0"/>
    <x v="0"/>
    <n v="5333.3333333333339"/>
    <n v="0"/>
    <m/>
  </r>
  <r>
    <x v="0"/>
    <x v="26"/>
    <x v="69"/>
    <x v="4"/>
    <x v="2"/>
    <x v="4"/>
    <x v="0"/>
    <x v="0"/>
    <x v="2"/>
    <n v="11"/>
    <x v="0"/>
    <n v="11"/>
    <m/>
    <n v="11"/>
    <n v="0"/>
    <m/>
    <x v="5"/>
    <x v="0"/>
    <x v="0"/>
    <n v="5333.3333333333339"/>
    <n v="0"/>
    <m/>
  </r>
  <r>
    <x v="0"/>
    <x v="27"/>
    <x v="69"/>
    <x v="4"/>
    <x v="2"/>
    <x v="4"/>
    <x v="0"/>
    <x v="7"/>
    <x v="2"/>
    <n v="11"/>
    <x v="0"/>
    <n v="11"/>
    <m/>
    <n v="11"/>
    <n v="0"/>
    <m/>
    <x v="5"/>
    <x v="0"/>
    <x v="0"/>
    <n v="5333.3333333333339"/>
    <n v="0"/>
    <m/>
  </r>
  <r>
    <x v="0"/>
    <x v="28"/>
    <x v="69"/>
    <x v="4"/>
    <x v="2"/>
    <x v="4"/>
    <x v="0"/>
    <x v="1"/>
    <x v="0"/>
    <n v="8"/>
    <x v="0"/>
    <m/>
    <m/>
    <n v="0"/>
    <n v="0"/>
    <m/>
    <x v="5"/>
    <x v="0"/>
    <x v="0"/>
    <n v="0"/>
    <n v="0"/>
    <m/>
  </r>
  <r>
    <x v="0"/>
    <x v="29"/>
    <x v="70"/>
    <x v="4"/>
    <x v="2"/>
    <x v="4"/>
    <x v="0"/>
    <x v="1"/>
    <x v="0"/>
    <n v="8"/>
    <x v="0"/>
    <m/>
    <m/>
    <n v="0"/>
    <n v="0"/>
    <m/>
    <x v="5"/>
    <x v="0"/>
    <x v="0"/>
    <n v="0"/>
    <n v="0"/>
    <m/>
  </r>
  <r>
    <x v="0"/>
    <x v="0"/>
    <x v="70"/>
    <x v="1"/>
    <x v="2"/>
    <x v="9"/>
    <x v="0"/>
    <x v="0"/>
    <x v="2"/>
    <n v="11"/>
    <x v="0"/>
    <n v="11"/>
    <m/>
    <n v="11"/>
    <n v="0"/>
    <m/>
    <x v="4"/>
    <x v="0"/>
    <x v="0"/>
    <n v="4500"/>
    <n v="0"/>
    <m/>
  </r>
  <r>
    <x v="0"/>
    <x v="1"/>
    <x v="70"/>
    <x v="1"/>
    <x v="2"/>
    <x v="9"/>
    <x v="0"/>
    <x v="0"/>
    <x v="2"/>
    <n v="11"/>
    <x v="0"/>
    <n v="11"/>
    <m/>
    <n v="11"/>
    <n v="0"/>
    <m/>
    <x v="4"/>
    <x v="0"/>
    <x v="0"/>
    <n v="4500"/>
    <n v="0"/>
    <m/>
  </r>
  <r>
    <x v="0"/>
    <x v="2"/>
    <x v="70"/>
    <x v="1"/>
    <x v="2"/>
    <x v="9"/>
    <x v="0"/>
    <x v="0"/>
    <x v="2"/>
    <n v="11"/>
    <x v="0"/>
    <n v="11"/>
    <m/>
    <n v="11"/>
    <n v="0"/>
    <m/>
    <x v="4"/>
    <x v="0"/>
    <x v="0"/>
    <n v="4500"/>
    <n v="0"/>
    <m/>
  </r>
  <r>
    <x v="0"/>
    <x v="3"/>
    <x v="70"/>
    <x v="1"/>
    <x v="2"/>
    <x v="9"/>
    <x v="0"/>
    <x v="0"/>
    <x v="2"/>
    <n v="11"/>
    <x v="0"/>
    <n v="11"/>
    <m/>
    <n v="11"/>
    <n v="0"/>
    <m/>
    <x v="4"/>
    <x v="0"/>
    <x v="0"/>
    <n v="4500"/>
    <n v="0"/>
    <m/>
  </r>
  <r>
    <x v="0"/>
    <x v="4"/>
    <x v="70"/>
    <x v="1"/>
    <x v="2"/>
    <x v="9"/>
    <x v="0"/>
    <x v="7"/>
    <x v="0"/>
    <n v="11"/>
    <x v="0"/>
    <m/>
    <m/>
    <n v="0"/>
    <n v="0"/>
    <m/>
    <x v="4"/>
    <x v="0"/>
    <x v="0"/>
    <n v="4500"/>
    <n v="0"/>
    <m/>
  </r>
  <r>
    <x v="0"/>
    <x v="5"/>
    <x v="70"/>
    <x v="1"/>
    <x v="2"/>
    <x v="9"/>
    <x v="0"/>
    <x v="7"/>
    <x v="0"/>
    <n v="11"/>
    <x v="0"/>
    <m/>
    <m/>
    <n v="0"/>
    <n v="0"/>
    <m/>
    <x v="4"/>
    <x v="0"/>
    <x v="0"/>
    <n v="4500"/>
    <n v="0"/>
    <m/>
  </r>
  <r>
    <x v="0"/>
    <x v="6"/>
    <x v="70"/>
    <x v="1"/>
    <x v="2"/>
    <x v="9"/>
    <x v="0"/>
    <x v="6"/>
    <x v="0"/>
    <n v="11"/>
    <x v="0"/>
    <m/>
    <m/>
    <n v="0"/>
    <n v="0"/>
    <m/>
    <x v="4"/>
    <x v="0"/>
    <x v="0"/>
    <n v="4500"/>
    <n v="0"/>
    <m/>
  </r>
  <r>
    <x v="0"/>
    <x v="7"/>
    <x v="70"/>
    <x v="1"/>
    <x v="2"/>
    <x v="9"/>
    <x v="0"/>
    <x v="6"/>
    <x v="0"/>
    <n v="11"/>
    <x v="0"/>
    <m/>
    <m/>
    <n v="0"/>
    <n v="0"/>
    <m/>
    <x v="4"/>
    <x v="0"/>
    <x v="0"/>
    <n v="4500"/>
    <n v="0"/>
    <m/>
  </r>
  <r>
    <x v="0"/>
    <x v="8"/>
    <x v="70"/>
    <x v="1"/>
    <x v="2"/>
    <x v="9"/>
    <x v="0"/>
    <x v="6"/>
    <x v="0"/>
    <n v="11"/>
    <x v="0"/>
    <m/>
    <m/>
    <n v="0"/>
    <n v="0"/>
    <m/>
    <x v="4"/>
    <x v="0"/>
    <x v="0"/>
    <n v="4500"/>
    <n v="0"/>
    <m/>
  </r>
  <r>
    <x v="0"/>
    <x v="9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0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1"/>
    <x v="70"/>
    <x v="1"/>
    <x v="2"/>
    <x v="9"/>
    <x v="0"/>
    <x v="7"/>
    <x v="0"/>
    <n v="11"/>
    <x v="0"/>
    <m/>
    <m/>
    <n v="0"/>
    <n v="0"/>
    <m/>
    <x v="4"/>
    <x v="0"/>
    <x v="0"/>
    <n v="4500"/>
    <n v="0"/>
    <m/>
  </r>
  <r>
    <x v="0"/>
    <x v="12"/>
    <x v="70"/>
    <x v="1"/>
    <x v="2"/>
    <x v="9"/>
    <x v="0"/>
    <x v="5"/>
    <x v="3"/>
    <n v="11"/>
    <x v="0"/>
    <n v="11"/>
    <m/>
    <n v="11"/>
    <n v="0"/>
    <m/>
    <x v="4"/>
    <x v="0"/>
    <x v="0"/>
    <n v="4500"/>
    <n v="0"/>
    <m/>
  </r>
  <r>
    <x v="0"/>
    <x v="12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3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4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4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5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6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7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8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19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0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1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2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3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4"/>
    <x v="70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5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6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7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8"/>
    <x v="70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9"/>
    <x v="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5"/>
    <x v="4"/>
    <x v="3"/>
    <x v="2"/>
    <x v="3"/>
    <x v="0"/>
    <x v="11"/>
    <x v="0"/>
    <n v="1"/>
    <x v="0"/>
    <m/>
    <m/>
    <n v="0"/>
    <n v="0"/>
    <m/>
    <x v="1"/>
    <x v="0"/>
    <x v="0"/>
    <n v="0"/>
    <n v="0"/>
    <m/>
  </r>
  <r>
    <x v="0"/>
    <x v="16"/>
    <x v="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7"/>
    <x v="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8"/>
    <x v="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9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0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1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2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3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4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5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6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7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8"/>
    <x v="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9"/>
    <x v="71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5"/>
    <x v="71"/>
    <x v="4"/>
    <x v="2"/>
    <x v="20"/>
    <x v="0"/>
    <x v="11"/>
    <x v="0"/>
    <n v="1"/>
    <x v="0"/>
    <m/>
    <m/>
    <n v="0"/>
    <n v="0"/>
    <m/>
    <x v="1"/>
    <x v="0"/>
    <x v="0"/>
    <n v="0"/>
    <n v="0"/>
    <m/>
  </r>
  <r>
    <x v="0"/>
    <x v="26"/>
    <x v="71"/>
    <x v="4"/>
    <x v="2"/>
    <x v="20"/>
    <x v="0"/>
    <x v="11"/>
    <x v="0"/>
    <n v="1"/>
    <x v="0"/>
    <m/>
    <m/>
    <n v="0"/>
    <n v="0"/>
    <m/>
    <x v="1"/>
    <x v="0"/>
    <x v="0"/>
    <n v="0"/>
    <n v="0"/>
    <m/>
  </r>
  <r>
    <x v="0"/>
    <x v="27"/>
    <x v="71"/>
    <x v="4"/>
    <x v="2"/>
    <x v="20"/>
    <x v="0"/>
    <x v="11"/>
    <x v="0"/>
    <n v="1"/>
    <x v="0"/>
    <m/>
    <m/>
    <n v="0"/>
    <n v="0"/>
    <m/>
    <x v="1"/>
    <x v="0"/>
    <x v="0"/>
    <n v="0"/>
    <n v="0"/>
    <m/>
  </r>
  <r>
    <x v="0"/>
    <x v="28"/>
    <x v="71"/>
    <x v="4"/>
    <x v="2"/>
    <x v="20"/>
    <x v="0"/>
    <x v="11"/>
    <x v="0"/>
    <n v="1"/>
    <x v="0"/>
    <m/>
    <m/>
    <n v="0"/>
    <n v="0"/>
    <m/>
    <x v="1"/>
    <x v="0"/>
    <x v="0"/>
    <n v="0"/>
    <n v="0"/>
    <m/>
  </r>
  <r>
    <x v="0"/>
    <x v="29"/>
    <x v="72"/>
    <x v="4"/>
    <x v="2"/>
    <x v="20"/>
    <x v="0"/>
    <x v="11"/>
    <x v="0"/>
    <n v="1"/>
    <x v="0"/>
    <m/>
    <m/>
    <n v="0"/>
    <n v="0"/>
    <m/>
    <x v="1"/>
    <x v="0"/>
    <x v="0"/>
    <n v="0"/>
    <n v="0"/>
    <m/>
  </r>
  <r>
    <x v="0"/>
    <x v="0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2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3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4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5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6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7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8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9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0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1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2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13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14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5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6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7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8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19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20"/>
    <x v="72"/>
    <x v="13"/>
    <x v="2"/>
    <x v="19"/>
    <x v="0"/>
    <x v="3"/>
    <x v="0"/>
    <n v="1"/>
    <x v="0"/>
    <m/>
    <m/>
    <n v="0"/>
    <n v="0"/>
    <m/>
    <x v="1"/>
    <x v="0"/>
    <x v="0"/>
    <n v="0"/>
    <n v="0"/>
    <m/>
  </r>
  <r>
    <x v="0"/>
    <x v="21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22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23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24"/>
    <x v="72"/>
    <x v="13"/>
    <x v="2"/>
    <x v="19"/>
    <x v="0"/>
    <x v="2"/>
    <x v="0"/>
    <n v="8"/>
    <x v="0"/>
    <m/>
    <m/>
    <n v="0"/>
    <n v="0"/>
    <m/>
    <x v="1"/>
    <x v="0"/>
    <x v="0"/>
    <n v="0"/>
    <n v="0"/>
    <m/>
  </r>
  <r>
    <x v="0"/>
    <x v="25"/>
    <x v="72"/>
    <x v="13"/>
    <x v="2"/>
    <x v="19"/>
    <x v="0"/>
    <x v="1"/>
    <x v="0"/>
    <n v="8"/>
    <x v="0"/>
    <m/>
    <m/>
    <n v="0"/>
    <n v="0"/>
    <m/>
    <x v="1"/>
    <x v="0"/>
    <x v="0"/>
    <n v="0"/>
    <n v="0"/>
    <m/>
  </r>
  <r>
    <x v="0"/>
    <x v="26"/>
    <x v="72"/>
    <x v="13"/>
    <x v="2"/>
    <x v="19"/>
    <x v="0"/>
    <x v="1"/>
    <x v="0"/>
    <n v="8"/>
    <x v="0"/>
    <m/>
    <m/>
    <n v="0"/>
    <n v="0"/>
    <m/>
    <x v="1"/>
    <x v="0"/>
    <x v="0"/>
    <n v="0"/>
    <n v="0"/>
    <m/>
  </r>
  <r>
    <x v="0"/>
    <x v="27"/>
    <x v="72"/>
    <x v="13"/>
    <x v="2"/>
    <x v="19"/>
    <x v="0"/>
    <x v="1"/>
    <x v="0"/>
    <n v="8"/>
    <x v="0"/>
    <m/>
    <m/>
    <n v="0"/>
    <n v="0"/>
    <m/>
    <x v="1"/>
    <x v="0"/>
    <x v="0"/>
    <n v="0"/>
    <n v="0"/>
    <m/>
  </r>
  <r>
    <x v="0"/>
    <x v="28"/>
    <x v="72"/>
    <x v="13"/>
    <x v="2"/>
    <x v="19"/>
    <x v="0"/>
    <x v="0"/>
    <x v="0"/>
    <n v="11"/>
    <x v="0"/>
    <m/>
    <m/>
    <n v="0"/>
    <n v="0"/>
    <m/>
    <x v="1"/>
    <x v="0"/>
    <x v="0"/>
    <n v="0"/>
    <n v="0"/>
    <m/>
  </r>
  <r>
    <x v="0"/>
    <x v="29"/>
    <x v="73"/>
    <x v="13"/>
    <x v="2"/>
    <x v="19"/>
    <x v="0"/>
    <x v="0"/>
    <x v="0"/>
    <n v="11"/>
    <x v="0"/>
    <m/>
    <m/>
    <n v="0"/>
    <n v="0"/>
    <m/>
    <x v="1"/>
    <x v="0"/>
    <x v="0"/>
    <n v="0"/>
    <n v="0"/>
    <m/>
  </r>
  <r>
    <x v="0"/>
    <x v="15"/>
    <x v="73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16"/>
    <x v="73"/>
    <x v="1"/>
    <x v="0"/>
    <x v="9"/>
    <x v="0"/>
    <x v="10"/>
    <x v="0"/>
    <n v="11"/>
    <x v="0"/>
    <m/>
    <m/>
    <n v="0"/>
    <n v="0"/>
    <m/>
    <x v="4"/>
    <x v="0"/>
    <x v="0"/>
    <n v="0"/>
    <n v="0"/>
    <m/>
  </r>
  <r>
    <x v="0"/>
    <x v="17"/>
    <x v="73"/>
    <x v="1"/>
    <x v="0"/>
    <x v="9"/>
    <x v="0"/>
    <x v="10"/>
    <x v="0"/>
    <n v="11"/>
    <x v="0"/>
    <m/>
    <m/>
    <n v="0"/>
    <n v="0"/>
    <m/>
    <x v="4"/>
    <x v="0"/>
    <x v="0"/>
    <n v="0"/>
    <n v="0"/>
    <m/>
  </r>
  <r>
    <x v="0"/>
    <x v="18"/>
    <x v="73"/>
    <x v="1"/>
    <x v="0"/>
    <x v="9"/>
    <x v="0"/>
    <x v="10"/>
    <x v="0"/>
    <n v="11"/>
    <x v="0"/>
    <m/>
    <m/>
    <n v="0"/>
    <n v="0"/>
    <m/>
    <x v="4"/>
    <x v="0"/>
    <x v="0"/>
    <n v="0"/>
    <n v="0"/>
    <m/>
  </r>
  <r>
    <x v="0"/>
    <x v="19"/>
    <x v="73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0"/>
    <x v="73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1"/>
    <x v="73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2"/>
    <x v="73"/>
    <x v="1"/>
    <x v="0"/>
    <x v="9"/>
    <x v="0"/>
    <x v="1"/>
    <x v="0"/>
    <n v="8"/>
    <x v="0"/>
    <m/>
    <m/>
    <n v="0"/>
    <n v="0"/>
    <m/>
    <x v="4"/>
    <x v="0"/>
    <x v="0"/>
    <n v="0"/>
    <n v="0"/>
    <m/>
  </r>
  <r>
    <x v="0"/>
    <x v="23"/>
    <x v="73"/>
    <x v="1"/>
    <x v="0"/>
    <x v="9"/>
    <x v="0"/>
    <x v="10"/>
    <x v="0"/>
    <n v="11"/>
    <x v="0"/>
    <m/>
    <m/>
    <n v="0"/>
    <n v="0"/>
    <m/>
    <x v="4"/>
    <x v="0"/>
    <x v="0"/>
    <n v="0"/>
    <n v="0"/>
    <s v="Катаем по зимнику"/>
  </r>
  <r>
    <x v="0"/>
    <x v="24"/>
    <x v="73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25"/>
    <x v="73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26"/>
    <x v="73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27"/>
    <x v="73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28"/>
    <x v="73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29"/>
    <x v="74"/>
    <x v="1"/>
    <x v="0"/>
    <x v="9"/>
    <x v="0"/>
    <x v="0"/>
    <x v="0"/>
    <n v="11"/>
    <x v="0"/>
    <m/>
    <m/>
    <n v="0"/>
    <n v="0"/>
    <m/>
    <x v="4"/>
    <x v="0"/>
    <x v="0"/>
    <n v="4500"/>
    <n v="0"/>
    <s v="Катаем по зимнику"/>
  </r>
  <r>
    <x v="0"/>
    <x v="0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3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4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5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6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7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8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9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0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1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2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3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4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5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6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7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8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9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0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1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2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3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4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5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6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7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8"/>
    <x v="74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9"/>
    <x v="75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0"/>
    <x v="75"/>
    <x v="1"/>
    <x v="1"/>
    <x v="12"/>
    <x v="0"/>
    <x v="11"/>
    <x v="0"/>
    <n v="1"/>
    <x v="0"/>
    <m/>
    <m/>
    <n v="0"/>
    <n v="0"/>
    <m/>
    <x v="12"/>
    <x v="0"/>
    <x v="0"/>
    <n v="0"/>
    <n v="0"/>
    <m/>
  </r>
  <r>
    <x v="0"/>
    <x v="1"/>
    <x v="75"/>
    <x v="1"/>
    <x v="1"/>
    <x v="12"/>
    <x v="0"/>
    <x v="11"/>
    <x v="0"/>
    <n v="1"/>
    <x v="0"/>
    <m/>
    <m/>
    <n v="0"/>
    <n v="0"/>
    <m/>
    <x v="12"/>
    <x v="0"/>
    <x v="0"/>
    <n v="0"/>
    <n v="0"/>
    <m/>
  </r>
  <r>
    <x v="0"/>
    <x v="2"/>
    <x v="75"/>
    <x v="1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3"/>
    <x v="75"/>
    <x v="1"/>
    <x v="1"/>
    <x v="12"/>
    <x v="0"/>
    <x v="10"/>
    <x v="0"/>
    <n v="11"/>
    <x v="0"/>
    <m/>
    <m/>
    <n v="0"/>
    <n v="0"/>
    <m/>
    <x v="12"/>
    <x v="0"/>
    <x v="0"/>
    <n v="0"/>
    <n v="0"/>
    <m/>
  </r>
  <r>
    <x v="0"/>
    <x v="4"/>
    <x v="75"/>
    <x v="1"/>
    <x v="1"/>
    <x v="12"/>
    <x v="0"/>
    <x v="10"/>
    <x v="0"/>
    <n v="11"/>
    <x v="0"/>
    <m/>
    <m/>
    <n v="0"/>
    <n v="0"/>
    <m/>
    <x v="12"/>
    <x v="0"/>
    <x v="0"/>
    <n v="0"/>
    <n v="0"/>
    <m/>
  </r>
  <r>
    <x v="0"/>
    <x v="5"/>
    <x v="75"/>
    <x v="1"/>
    <x v="1"/>
    <x v="12"/>
    <x v="0"/>
    <x v="10"/>
    <x v="0"/>
    <n v="11"/>
    <x v="0"/>
    <m/>
    <m/>
    <n v="0"/>
    <n v="0"/>
    <m/>
    <x v="12"/>
    <x v="0"/>
    <x v="0"/>
    <n v="0"/>
    <n v="0"/>
    <m/>
  </r>
  <r>
    <x v="0"/>
    <x v="6"/>
    <x v="75"/>
    <x v="1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7"/>
    <x v="75"/>
    <x v="1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8"/>
    <x v="75"/>
    <x v="1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9"/>
    <x v="75"/>
    <x v="1"/>
    <x v="1"/>
    <x v="12"/>
    <x v="0"/>
    <x v="1"/>
    <x v="0"/>
    <n v="8"/>
    <x v="0"/>
    <m/>
    <m/>
    <n v="0"/>
    <n v="0"/>
    <m/>
    <x v="12"/>
    <x v="0"/>
    <x v="0"/>
    <n v="0"/>
    <n v="0"/>
    <m/>
  </r>
  <r>
    <x v="0"/>
    <x v="10"/>
    <x v="75"/>
    <x v="1"/>
    <x v="1"/>
    <x v="12"/>
    <x v="0"/>
    <x v="6"/>
    <x v="0"/>
    <n v="11"/>
    <x v="0"/>
    <m/>
    <m/>
    <n v="0"/>
    <n v="0"/>
    <m/>
    <x v="12"/>
    <x v="0"/>
    <x v="0"/>
    <n v="6333.333333333333"/>
    <n v="0"/>
    <m/>
  </r>
  <r>
    <x v="0"/>
    <x v="11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2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3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4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5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6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7"/>
    <x v="75"/>
    <x v="1"/>
    <x v="1"/>
    <x v="12"/>
    <x v="0"/>
    <x v="0"/>
    <x v="2"/>
    <n v="22"/>
    <x v="0"/>
    <m/>
    <m/>
    <n v="0"/>
    <n v="0"/>
    <m/>
    <x v="12"/>
    <x v="0"/>
    <x v="0"/>
    <n v="12666.666666666666"/>
    <n v="0"/>
    <m/>
  </r>
  <r>
    <x v="0"/>
    <x v="18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19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0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1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2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3"/>
    <x v="75"/>
    <x v="1"/>
    <x v="1"/>
    <x v="12"/>
    <x v="0"/>
    <x v="0"/>
    <x v="2"/>
    <n v="22"/>
    <x v="0"/>
    <m/>
    <m/>
    <n v="0"/>
    <n v="0"/>
    <m/>
    <x v="12"/>
    <x v="0"/>
    <x v="0"/>
    <n v="12666.666666666666"/>
    <n v="0"/>
    <m/>
  </r>
  <r>
    <x v="0"/>
    <x v="24"/>
    <x v="75"/>
    <x v="1"/>
    <x v="1"/>
    <x v="12"/>
    <x v="0"/>
    <x v="0"/>
    <x v="2"/>
    <n v="22"/>
    <x v="0"/>
    <m/>
    <m/>
    <n v="0"/>
    <n v="0"/>
    <m/>
    <x v="12"/>
    <x v="0"/>
    <x v="0"/>
    <n v="12666.666666666666"/>
    <n v="0"/>
    <m/>
  </r>
  <r>
    <x v="0"/>
    <x v="25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6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7"/>
    <x v="75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28"/>
    <x v="75"/>
    <x v="1"/>
    <x v="1"/>
    <x v="12"/>
    <x v="0"/>
    <x v="0"/>
    <x v="2"/>
    <n v="22"/>
    <x v="0"/>
    <m/>
    <m/>
    <n v="0"/>
    <n v="0"/>
    <m/>
    <x v="12"/>
    <x v="0"/>
    <x v="0"/>
    <n v="12666.666666666666"/>
    <n v="0"/>
    <m/>
  </r>
  <r>
    <x v="0"/>
    <x v="29"/>
    <x v="76"/>
    <x v="1"/>
    <x v="1"/>
    <x v="12"/>
    <x v="0"/>
    <x v="0"/>
    <x v="2"/>
    <n v="11"/>
    <x v="0"/>
    <m/>
    <m/>
    <n v="0"/>
    <n v="0"/>
    <m/>
    <x v="12"/>
    <x v="0"/>
    <x v="0"/>
    <n v="6333.333333333333"/>
    <n v="0"/>
    <m/>
  </r>
  <r>
    <x v="0"/>
    <x v="0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1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2"/>
    <x v="76"/>
    <x v="1"/>
    <x v="2"/>
    <x v="15"/>
    <x v="0"/>
    <x v="0"/>
    <x v="0"/>
    <n v="22"/>
    <x v="0"/>
    <m/>
    <m/>
    <n v="0"/>
    <n v="0"/>
    <m/>
    <x v="14"/>
    <x v="0"/>
    <x v="0"/>
    <n v="8000"/>
    <n v="0"/>
    <m/>
  </r>
  <r>
    <x v="0"/>
    <x v="3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4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5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6"/>
    <x v="76"/>
    <x v="1"/>
    <x v="2"/>
    <x v="15"/>
    <x v="0"/>
    <x v="0"/>
    <x v="0"/>
    <n v="11"/>
    <x v="0"/>
    <m/>
    <m/>
    <n v="0"/>
    <n v="0"/>
    <m/>
    <x v="14"/>
    <x v="0"/>
    <x v="0"/>
    <n v="4000"/>
    <n v="0"/>
    <m/>
  </r>
  <r>
    <x v="0"/>
    <x v="7"/>
    <x v="76"/>
    <x v="1"/>
    <x v="1"/>
    <x v="21"/>
    <x v="0"/>
    <x v="0"/>
    <x v="0"/>
    <n v="11"/>
    <x v="0"/>
    <m/>
    <m/>
    <n v="0"/>
    <n v="0"/>
    <m/>
    <x v="5"/>
    <x v="0"/>
    <x v="0"/>
    <n v="5333.3333333333339"/>
    <n v="0"/>
    <m/>
  </r>
  <r>
    <x v="0"/>
    <x v="8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9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0"/>
    <x v="76"/>
    <x v="1"/>
    <x v="1"/>
    <x v="21"/>
    <x v="0"/>
    <x v="0"/>
    <x v="0"/>
    <n v="11"/>
    <x v="0"/>
    <m/>
    <m/>
    <n v="0"/>
    <n v="0"/>
    <m/>
    <x v="5"/>
    <x v="0"/>
    <x v="0"/>
    <n v="5333.3333333333339"/>
    <n v="0"/>
    <m/>
  </r>
  <r>
    <x v="0"/>
    <x v="11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2"/>
    <x v="76"/>
    <x v="1"/>
    <x v="1"/>
    <x v="21"/>
    <x v="0"/>
    <x v="0"/>
    <x v="0"/>
    <n v="11"/>
    <x v="0"/>
    <m/>
    <m/>
    <n v="0"/>
    <n v="0"/>
    <m/>
    <x v="5"/>
    <x v="0"/>
    <x v="0"/>
    <n v="5333.3333333333339"/>
    <n v="0"/>
    <m/>
  </r>
  <r>
    <x v="0"/>
    <x v="13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4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5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6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7"/>
    <x v="76"/>
    <x v="1"/>
    <x v="1"/>
    <x v="21"/>
    <x v="0"/>
    <x v="0"/>
    <x v="0"/>
    <n v="16"/>
    <x v="0"/>
    <m/>
    <m/>
    <n v="0"/>
    <n v="0"/>
    <m/>
    <x v="5"/>
    <x v="0"/>
    <x v="0"/>
    <n v="7757.575757575758"/>
    <n v="0"/>
    <m/>
  </r>
  <r>
    <x v="0"/>
    <x v="18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19"/>
    <x v="76"/>
    <x v="1"/>
    <x v="1"/>
    <x v="21"/>
    <x v="0"/>
    <x v="0"/>
    <x v="0"/>
    <n v="15"/>
    <x v="0"/>
    <m/>
    <m/>
    <n v="0"/>
    <n v="0"/>
    <m/>
    <x v="5"/>
    <x v="0"/>
    <x v="0"/>
    <n v="7272.727272727273"/>
    <n v="0"/>
    <m/>
  </r>
  <r>
    <x v="0"/>
    <x v="20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21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22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23"/>
    <x v="76"/>
    <x v="1"/>
    <x v="1"/>
    <x v="21"/>
    <x v="0"/>
    <x v="0"/>
    <x v="0"/>
    <n v="16"/>
    <x v="0"/>
    <m/>
    <m/>
    <n v="0"/>
    <n v="0"/>
    <m/>
    <x v="5"/>
    <x v="0"/>
    <x v="0"/>
    <n v="7757.575757575758"/>
    <n v="0"/>
    <m/>
  </r>
  <r>
    <x v="0"/>
    <x v="24"/>
    <x v="76"/>
    <x v="1"/>
    <x v="1"/>
    <x v="21"/>
    <x v="0"/>
    <x v="0"/>
    <x v="0"/>
    <n v="11"/>
    <x v="0"/>
    <m/>
    <m/>
    <n v="0"/>
    <n v="0"/>
    <m/>
    <x v="5"/>
    <x v="0"/>
    <x v="0"/>
    <n v="5333.3333333333339"/>
    <n v="0"/>
    <m/>
  </r>
  <r>
    <x v="0"/>
    <x v="25"/>
    <x v="76"/>
    <x v="1"/>
    <x v="1"/>
    <x v="21"/>
    <x v="0"/>
    <x v="0"/>
    <x v="0"/>
    <n v="18"/>
    <x v="0"/>
    <m/>
    <m/>
    <n v="0"/>
    <n v="0"/>
    <m/>
    <x v="5"/>
    <x v="0"/>
    <x v="0"/>
    <n v="8727.2727272727279"/>
    <n v="0"/>
    <m/>
  </r>
  <r>
    <x v="0"/>
    <x v="26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27"/>
    <x v="76"/>
    <x v="1"/>
    <x v="1"/>
    <x v="21"/>
    <x v="0"/>
    <x v="0"/>
    <x v="0"/>
    <n v="22"/>
    <x v="0"/>
    <m/>
    <m/>
    <n v="0"/>
    <n v="0"/>
    <m/>
    <x v="5"/>
    <x v="0"/>
    <x v="0"/>
    <n v="10666.666666666668"/>
    <n v="0"/>
    <m/>
  </r>
  <r>
    <x v="0"/>
    <x v="28"/>
    <x v="76"/>
    <x v="1"/>
    <x v="1"/>
    <x v="21"/>
    <x v="0"/>
    <x v="0"/>
    <x v="0"/>
    <n v="11"/>
    <x v="0"/>
    <m/>
    <m/>
    <n v="0"/>
    <n v="0"/>
    <m/>
    <x v="5"/>
    <x v="0"/>
    <x v="0"/>
    <n v="5333.3333333333339"/>
    <n v="0"/>
    <m/>
  </r>
  <r>
    <x v="0"/>
    <x v="29"/>
    <x v="77"/>
    <x v="1"/>
    <x v="1"/>
    <x v="21"/>
    <x v="0"/>
    <x v="0"/>
    <x v="0"/>
    <n v="14"/>
    <x v="0"/>
    <m/>
    <m/>
    <n v="0"/>
    <n v="0"/>
    <m/>
    <x v="5"/>
    <x v="0"/>
    <x v="0"/>
    <n v="6787.878787878788"/>
    <n v="0"/>
    <m/>
  </r>
  <r>
    <x v="0"/>
    <x v="0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3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4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5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6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7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8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9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0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1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2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3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4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5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6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7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8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19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0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1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2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3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4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5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6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7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8"/>
    <x v="77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29"/>
    <x v="78"/>
    <x v="3"/>
    <x v="2"/>
    <x v="3"/>
    <x v="0"/>
    <x v="0"/>
    <x v="2"/>
    <n v="11"/>
    <x v="0"/>
    <m/>
    <m/>
    <n v="0"/>
    <n v="0"/>
    <m/>
    <x v="8"/>
    <x v="0"/>
    <x v="0"/>
    <n v="2933.3333333333335"/>
    <n v="0"/>
    <m/>
  </r>
  <r>
    <x v="0"/>
    <x v="0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3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4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5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6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7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8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9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0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1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2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3"/>
    <x v="78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4"/>
    <x v="78"/>
    <x v="11"/>
    <x v="2"/>
    <x v="16"/>
    <x v="0"/>
    <x v="1"/>
    <x v="0"/>
    <n v="8"/>
    <x v="0"/>
    <m/>
    <m/>
    <n v="0"/>
    <n v="0"/>
    <m/>
    <x v="1"/>
    <x v="0"/>
    <x v="0"/>
    <n v="0"/>
    <n v="0"/>
    <m/>
  </r>
  <r>
    <x v="0"/>
    <x v="15"/>
    <x v="78"/>
    <x v="11"/>
    <x v="2"/>
    <x v="16"/>
    <x v="0"/>
    <x v="1"/>
    <x v="0"/>
    <n v="8"/>
    <x v="0"/>
    <m/>
    <m/>
    <n v="0"/>
    <n v="0"/>
    <m/>
    <x v="1"/>
    <x v="0"/>
    <x v="0"/>
    <n v="0"/>
    <n v="0"/>
    <m/>
  </r>
  <r>
    <x v="0"/>
    <x v="16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7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8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9"/>
    <x v="78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20"/>
    <x v="78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21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2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3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4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5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6"/>
    <x v="78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27"/>
    <x v="78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28"/>
    <x v="78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9"/>
    <x v="5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0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3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4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5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6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7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8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9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0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1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2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3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4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5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6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7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8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9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0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1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2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3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4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5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6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7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8"/>
    <x v="5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9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0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3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4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5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6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7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8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9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0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1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2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3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4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5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6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7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8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9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0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1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2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3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4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5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6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7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8"/>
    <x v="79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9"/>
    <x v="80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0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3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4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5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6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7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8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9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0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1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2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3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4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5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6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7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8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19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0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1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2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3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4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5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6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7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8"/>
    <x v="80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29"/>
    <x v="81"/>
    <x v="14"/>
    <x v="2"/>
    <x v="22"/>
    <x v="0"/>
    <x v="0"/>
    <x v="0"/>
    <n v="11"/>
    <x v="0"/>
    <m/>
    <m/>
    <n v="0"/>
    <n v="0"/>
    <m/>
    <x v="1"/>
    <x v="0"/>
    <x v="0"/>
    <n v="0"/>
    <n v="0"/>
    <m/>
  </r>
  <r>
    <x v="0"/>
    <x v="0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3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4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5"/>
    <x v="81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6"/>
    <x v="81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7"/>
    <x v="81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8"/>
    <x v="81"/>
    <x v="3"/>
    <x v="2"/>
    <x v="3"/>
    <x v="0"/>
    <x v="1"/>
    <x v="0"/>
    <n v="8"/>
    <x v="0"/>
    <m/>
    <m/>
    <n v="0"/>
    <n v="0"/>
    <m/>
    <x v="11"/>
    <x v="0"/>
    <x v="0"/>
    <n v="0"/>
    <n v="0"/>
    <m/>
  </r>
  <r>
    <x v="0"/>
    <x v="9"/>
    <x v="81"/>
    <x v="3"/>
    <x v="2"/>
    <x v="3"/>
    <x v="0"/>
    <x v="1"/>
    <x v="0"/>
    <n v="8"/>
    <x v="0"/>
    <m/>
    <m/>
    <n v="0"/>
    <n v="0"/>
    <m/>
    <x v="11"/>
    <x v="0"/>
    <x v="0"/>
    <n v="0"/>
    <n v="0"/>
    <m/>
  </r>
  <r>
    <x v="0"/>
    <x v="10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1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2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3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4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5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6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7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8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19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0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1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2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3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4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5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6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7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8"/>
    <x v="81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29"/>
    <x v="82"/>
    <x v="3"/>
    <x v="1"/>
    <x v="3"/>
    <x v="0"/>
    <x v="0"/>
    <x v="2"/>
    <n v="11"/>
    <x v="0"/>
    <m/>
    <m/>
    <n v="0"/>
    <n v="0"/>
    <m/>
    <x v="11"/>
    <x v="0"/>
    <x v="0"/>
    <n v="3666.6666666666665"/>
    <n v="0"/>
    <m/>
  </r>
  <r>
    <x v="0"/>
    <x v="0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1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2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3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4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5"/>
    <x v="82"/>
    <x v="4"/>
    <x v="1"/>
    <x v="4"/>
    <x v="0"/>
    <x v="3"/>
    <x v="0"/>
    <n v="1"/>
    <x v="0"/>
    <m/>
    <m/>
    <n v="0"/>
    <n v="0"/>
    <m/>
    <x v="1"/>
    <x v="0"/>
    <x v="2"/>
    <n v="0"/>
    <n v="0"/>
    <m/>
  </r>
  <r>
    <x v="0"/>
    <x v="6"/>
    <x v="82"/>
    <x v="4"/>
    <x v="1"/>
    <x v="4"/>
    <x v="0"/>
    <x v="3"/>
    <x v="0"/>
    <n v="1"/>
    <x v="0"/>
    <m/>
    <m/>
    <n v="0"/>
    <n v="0"/>
    <m/>
    <x v="1"/>
    <x v="0"/>
    <x v="2"/>
    <n v="0"/>
    <n v="0"/>
    <m/>
  </r>
  <r>
    <x v="0"/>
    <x v="7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8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9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10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11"/>
    <x v="82"/>
    <x v="4"/>
    <x v="1"/>
    <x v="4"/>
    <x v="0"/>
    <x v="2"/>
    <x v="0"/>
    <n v="8"/>
    <x v="0"/>
    <m/>
    <m/>
    <n v="0"/>
    <n v="0"/>
    <m/>
    <x v="1"/>
    <x v="0"/>
    <x v="2"/>
    <n v="0"/>
    <n v="0"/>
    <m/>
  </r>
  <r>
    <x v="0"/>
    <x v="12"/>
    <x v="82"/>
    <x v="4"/>
    <x v="1"/>
    <x v="4"/>
    <x v="0"/>
    <x v="3"/>
    <x v="0"/>
    <n v="1"/>
    <x v="0"/>
    <m/>
    <m/>
    <n v="0"/>
    <n v="0"/>
    <m/>
    <x v="1"/>
    <x v="0"/>
    <x v="2"/>
    <n v="0"/>
    <n v="0"/>
    <m/>
  </r>
  <r>
    <x v="0"/>
    <x v="13"/>
    <x v="82"/>
    <x v="4"/>
    <x v="1"/>
    <x v="4"/>
    <x v="0"/>
    <x v="3"/>
    <x v="0"/>
    <n v="1"/>
    <x v="0"/>
    <m/>
    <m/>
    <n v="0"/>
    <n v="0"/>
    <m/>
    <x v="1"/>
    <x v="0"/>
    <x v="2"/>
    <n v="0"/>
    <n v="0"/>
    <m/>
  </r>
  <r>
    <x v="0"/>
    <x v="14"/>
    <x v="82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5"/>
    <x v="82"/>
    <x v="4"/>
    <x v="1"/>
    <x v="4"/>
    <x v="0"/>
    <x v="2"/>
    <x v="0"/>
    <n v="8"/>
    <x v="0"/>
    <m/>
    <m/>
    <n v="0"/>
    <n v="0"/>
    <m/>
    <x v="17"/>
    <x v="0"/>
    <x v="0"/>
    <n v="0"/>
    <n v="0"/>
    <m/>
  </r>
  <r>
    <x v="0"/>
    <x v="16"/>
    <x v="82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7"/>
    <x v="82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8"/>
    <x v="82"/>
    <x v="4"/>
    <x v="1"/>
    <x v="4"/>
    <x v="0"/>
    <x v="1"/>
    <x v="0"/>
    <n v="8"/>
    <x v="0"/>
    <m/>
    <m/>
    <n v="0"/>
    <n v="0"/>
    <m/>
    <x v="17"/>
    <x v="0"/>
    <x v="0"/>
    <n v="0"/>
    <n v="0"/>
    <m/>
  </r>
  <r>
    <x v="0"/>
    <x v="19"/>
    <x v="82"/>
    <x v="4"/>
    <x v="1"/>
    <x v="4"/>
    <x v="0"/>
    <x v="0"/>
    <x v="0"/>
    <n v="11"/>
    <x v="0"/>
    <m/>
    <m/>
    <n v="0"/>
    <n v="0"/>
    <m/>
    <x v="17"/>
    <x v="0"/>
    <x v="0"/>
    <n v="7333.333333333333"/>
    <n v="0"/>
    <s v="С тралом в пути на Тамбей метель"/>
  </r>
  <r>
    <x v="0"/>
    <x v="20"/>
    <x v="82"/>
    <x v="4"/>
    <x v="1"/>
    <x v="4"/>
    <x v="0"/>
    <x v="0"/>
    <x v="0"/>
    <n v="11"/>
    <x v="0"/>
    <m/>
    <m/>
    <n v="0"/>
    <n v="0"/>
    <m/>
    <x v="17"/>
    <x v="0"/>
    <x v="0"/>
    <n v="7333.333333333333"/>
    <n v="0"/>
    <s v="С тралом в пути на Тамбей метель"/>
  </r>
  <r>
    <x v="0"/>
    <x v="21"/>
    <x v="82"/>
    <x v="4"/>
    <x v="1"/>
    <x v="4"/>
    <x v="0"/>
    <x v="0"/>
    <x v="0"/>
    <n v="11"/>
    <x v="0"/>
    <m/>
    <m/>
    <n v="0"/>
    <n v="0"/>
    <m/>
    <x v="17"/>
    <x v="0"/>
    <x v="0"/>
    <n v="7333.333333333333"/>
    <n v="0"/>
    <s v="С тралом в пути на Тамбей метель"/>
  </r>
  <r>
    <x v="0"/>
    <x v="22"/>
    <x v="82"/>
    <x v="4"/>
    <x v="1"/>
    <x v="4"/>
    <x v="0"/>
    <x v="0"/>
    <x v="0"/>
    <n v="11"/>
    <x v="0"/>
    <m/>
    <m/>
    <n v="0"/>
    <n v="0"/>
    <m/>
    <x v="17"/>
    <x v="0"/>
    <x v="0"/>
    <n v="7333.333333333333"/>
    <n v="0"/>
    <s v="С тралом в пути на Тамбей метель"/>
  </r>
  <r>
    <x v="0"/>
    <x v="23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4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5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6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7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8"/>
    <x v="82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29"/>
    <x v="83"/>
    <x v="4"/>
    <x v="1"/>
    <x v="4"/>
    <x v="0"/>
    <x v="0"/>
    <x v="2"/>
    <n v="11"/>
    <x v="0"/>
    <m/>
    <m/>
    <n v="0"/>
    <n v="0"/>
    <m/>
    <x v="17"/>
    <x v="0"/>
    <x v="0"/>
    <n v="7333.333333333333"/>
    <n v="0"/>
    <m/>
  </r>
  <r>
    <x v="0"/>
    <x v="0"/>
    <x v="83"/>
    <x v="4"/>
    <x v="2"/>
    <x v="4"/>
    <x v="0"/>
    <x v="6"/>
    <x v="0"/>
    <n v="11"/>
    <x v="0"/>
    <m/>
    <m/>
    <n v="0"/>
    <n v="0"/>
    <m/>
    <x v="5"/>
    <x v="0"/>
    <x v="0"/>
    <n v="5333.3333333333339"/>
    <n v="0"/>
    <m/>
  </r>
  <r>
    <x v="0"/>
    <x v="1"/>
    <x v="83"/>
    <x v="4"/>
    <x v="2"/>
    <x v="4"/>
    <x v="0"/>
    <x v="7"/>
    <x v="0"/>
    <n v="11"/>
    <x v="0"/>
    <m/>
    <m/>
    <n v="0"/>
    <n v="0"/>
    <m/>
    <x v="5"/>
    <x v="0"/>
    <x v="0"/>
    <n v="5333.3333333333339"/>
    <n v="0"/>
    <m/>
  </r>
  <r>
    <x v="0"/>
    <x v="2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3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4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5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6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7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8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9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0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1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2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3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4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5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6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7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8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19"/>
    <x v="83"/>
    <x v="4"/>
    <x v="2"/>
    <x v="4"/>
    <x v="0"/>
    <x v="0"/>
    <x v="2"/>
    <n v="11"/>
    <x v="0"/>
    <m/>
    <m/>
    <n v="0"/>
    <n v="0"/>
    <m/>
    <x v="5"/>
    <x v="0"/>
    <x v="0"/>
    <n v="5333.3333333333339"/>
    <n v="0"/>
    <m/>
  </r>
  <r>
    <x v="0"/>
    <x v="20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1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2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3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4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5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6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7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8"/>
    <x v="83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9"/>
    <x v="84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0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3"/>
    <x v="84"/>
    <x v="1"/>
    <x v="2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4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5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6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7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8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9"/>
    <x v="84"/>
    <x v="1"/>
    <x v="2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10"/>
    <x v="84"/>
    <x v="1"/>
    <x v="2"/>
    <x v="9"/>
    <x v="0"/>
    <x v="1"/>
    <x v="0"/>
    <n v="8"/>
    <x v="0"/>
    <m/>
    <m/>
    <n v="0"/>
    <n v="0"/>
    <m/>
    <x v="4"/>
    <x v="0"/>
    <x v="0"/>
    <n v="0"/>
    <n v="0"/>
    <m/>
  </r>
  <r>
    <x v="0"/>
    <x v="11"/>
    <x v="84"/>
    <x v="1"/>
    <x v="2"/>
    <x v="9"/>
    <x v="0"/>
    <x v="1"/>
    <x v="0"/>
    <n v="8"/>
    <x v="0"/>
    <m/>
    <m/>
    <n v="0"/>
    <n v="0"/>
    <m/>
    <x v="4"/>
    <x v="0"/>
    <x v="0"/>
    <n v="0"/>
    <n v="0"/>
    <m/>
  </r>
  <r>
    <x v="0"/>
    <x v="12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13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14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15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16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17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18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19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20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21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2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3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4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5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6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27"/>
    <x v="84"/>
    <x v="1"/>
    <x v="2"/>
    <x v="9"/>
    <x v="0"/>
    <x v="3"/>
    <x v="0"/>
    <n v="1"/>
    <x v="0"/>
    <m/>
    <m/>
    <n v="0"/>
    <n v="0"/>
    <m/>
    <x v="4"/>
    <x v="0"/>
    <x v="0"/>
    <n v="0"/>
    <n v="0"/>
    <m/>
  </r>
  <r>
    <x v="0"/>
    <x v="28"/>
    <x v="84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29"/>
    <x v="85"/>
    <x v="1"/>
    <x v="2"/>
    <x v="9"/>
    <x v="0"/>
    <x v="2"/>
    <x v="0"/>
    <n v="8"/>
    <x v="0"/>
    <m/>
    <m/>
    <n v="0"/>
    <n v="0"/>
    <m/>
    <x v="4"/>
    <x v="0"/>
    <x v="0"/>
    <n v="0"/>
    <n v="0"/>
    <m/>
  </r>
  <r>
    <x v="0"/>
    <x v="0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"/>
    <x v="8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3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4"/>
    <x v="8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5"/>
    <x v="8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6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7"/>
    <x v="85"/>
    <x v="1"/>
    <x v="1"/>
    <x v="13"/>
    <x v="0"/>
    <x v="0"/>
    <x v="2"/>
    <n v="11"/>
    <x v="1"/>
    <m/>
    <m/>
    <n v="0"/>
    <n v="0"/>
    <m/>
    <x v="16"/>
    <x v="2"/>
    <x v="0"/>
    <n v="5800"/>
    <n v="5000"/>
    <m/>
  </r>
  <r>
    <x v="0"/>
    <x v="8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9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0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1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2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3"/>
    <x v="85"/>
    <x v="1"/>
    <x v="1"/>
    <x v="13"/>
    <x v="0"/>
    <x v="0"/>
    <x v="2"/>
    <n v="11"/>
    <x v="1"/>
    <m/>
    <m/>
    <n v="0"/>
    <n v="0"/>
    <m/>
    <x v="16"/>
    <x v="2"/>
    <x v="0"/>
    <n v="5800"/>
    <n v="5000"/>
    <m/>
  </r>
  <r>
    <x v="0"/>
    <x v="14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5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6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7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8"/>
    <x v="85"/>
    <x v="1"/>
    <x v="1"/>
    <x v="13"/>
    <x v="0"/>
    <x v="0"/>
    <x v="2"/>
    <n v="11"/>
    <x v="1"/>
    <m/>
    <m/>
    <n v="0"/>
    <n v="0"/>
    <m/>
    <x v="16"/>
    <x v="2"/>
    <x v="0"/>
    <n v="5800"/>
    <n v="5000"/>
    <s v="58-107"/>
  </r>
  <r>
    <x v="0"/>
    <x v="19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20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1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2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3"/>
    <x v="8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24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5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6"/>
    <x v="85"/>
    <x v="1"/>
    <x v="1"/>
    <x v="13"/>
    <x v="0"/>
    <x v="0"/>
    <x v="2"/>
    <n v="11"/>
    <x v="0"/>
    <m/>
    <m/>
    <n v="0"/>
    <n v="0"/>
    <m/>
    <x v="16"/>
    <x v="2"/>
    <x v="0"/>
    <n v="5800"/>
    <n v="0"/>
    <m/>
  </r>
  <r>
    <x v="0"/>
    <x v="27"/>
    <x v="8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8"/>
    <x v="85"/>
    <x v="1"/>
    <x v="1"/>
    <x v="13"/>
    <x v="0"/>
    <x v="1"/>
    <x v="0"/>
    <n v="8"/>
    <x v="0"/>
    <m/>
    <m/>
    <n v="0"/>
    <n v="0"/>
    <m/>
    <x v="16"/>
    <x v="0"/>
    <x v="0"/>
    <n v="0"/>
    <n v="0"/>
    <m/>
  </r>
  <r>
    <x v="0"/>
    <x v="29"/>
    <x v="86"/>
    <x v="1"/>
    <x v="1"/>
    <x v="13"/>
    <x v="0"/>
    <x v="1"/>
    <x v="0"/>
    <n v="8"/>
    <x v="0"/>
    <m/>
    <m/>
    <n v="0"/>
    <n v="0"/>
    <m/>
    <x v="16"/>
    <x v="0"/>
    <x v="0"/>
    <n v="0"/>
    <n v="0"/>
    <m/>
  </r>
  <r>
    <x v="0"/>
    <x v="0"/>
    <x v="86"/>
    <x v="1"/>
    <x v="1"/>
    <x v="9"/>
    <x v="0"/>
    <x v="0"/>
    <x v="2"/>
    <n v="11"/>
    <x v="1"/>
    <m/>
    <m/>
    <n v="0"/>
    <n v="0"/>
    <m/>
    <x v="15"/>
    <x v="2"/>
    <x v="0"/>
    <n v="5400"/>
    <n v="5000"/>
    <s v="208-бн"/>
  </r>
  <r>
    <x v="0"/>
    <x v="1"/>
    <x v="8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8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3"/>
    <x v="8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4"/>
    <x v="8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5"/>
    <x v="86"/>
    <x v="1"/>
    <x v="1"/>
    <x v="9"/>
    <x v="0"/>
    <x v="0"/>
    <x v="2"/>
    <n v="11"/>
    <x v="1"/>
    <m/>
    <m/>
    <n v="0"/>
    <n v="0"/>
    <m/>
    <x v="15"/>
    <x v="2"/>
    <x v="0"/>
    <n v="5400"/>
    <n v="5000"/>
    <s v="бн-211"/>
  </r>
  <r>
    <x v="0"/>
    <x v="6"/>
    <x v="8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8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8"/>
    <x v="8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9"/>
    <x v="8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86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1"/>
    <x v="86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12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3"/>
    <x v="86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4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5"/>
    <x v="86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16"/>
    <x v="86"/>
    <x v="1"/>
    <x v="1"/>
    <x v="9"/>
    <x v="0"/>
    <x v="0"/>
    <x v="2"/>
    <n v="22"/>
    <x v="3"/>
    <m/>
    <m/>
    <n v="0"/>
    <n v="0"/>
    <m/>
    <x v="15"/>
    <x v="3"/>
    <x v="0"/>
    <n v="10800"/>
    <n v="6000"/>
    <m/>
  </r>
  <r>
    <x v="0"/>
    <x v="17"/>
    <x v="86"/>
    <x v="1"/>
    <x v="1"/>
    <x v="9"/>
    <x v="0"/>
    <x v="0"/>
    <x v="2"/>
    <n v="22"/>
    <x v="3"/>
    <m/>
    <m/>
    <n v="0"/>
    <n v="0"/>
    <m/>
    <x v="15"/>
    <x v="3"/>
    <x v="0"/>
    <n v="10800"/>
    <n v="6000"/>
    <m/>
  </r>
  <r>
    <x v="0"/>
    <x v="18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9"/>
    <x v="86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20"/>
    <x v="86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1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2"/>
    <x v="86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3"/>
    <x v="86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4"/>
    <x v="86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25"/>
    <x v="86"/>
    <x v="1"/>
    <x v="1"/>
    <x v="9"/>
    <x v="0"/>
    <x v="0"/>
    <x v="2"/>
    <n v="22"/>
    <x v="3"/>
    <m/>
    <m/>
    <n v="0"/>
    <n v="0"/>
    <m/>
    <x v="15"/>
    <x v="3"/>
    <x v="0"/>
    <n v="10800"/>
    <n v="6000"/>
    <m/>
  </r>
  <r>
    <x v="0"/>
    <x v="26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7"/>
    <x v="86"/>
    <x v="1"/>
    <x v="1"/>
    <x v="9"/>
    <x v="0"/>
    <x v="0"/>
    <x v="2"/>
    <n v="11"/>
    <x v="0"/>
    <m/>
    <m/>
    <n v="0"/>
    <n v="0"/>
    <m/>
    <x v="15"/>
    <x v="3"/>
    <x v="0"/>
    <n v="5400"/>
    <n v="0"/>
    <m/>
  </r>
  <r>
    <x v="0"/>
    <x v="28"/>
    <x v="86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9"/>
    <x v="87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0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2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3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4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5"/>
    <x v="87"/>
    <x v="14"/>
    <x v="2"/>
    <x v="22"/>
    <x v="0"/>
    <x v="3"/>
    <x v="0"/>
    <n v="1"/>
    <x v="0"/>
    <m/>
    <m/>
    <n v="0"/>
    <n v="0"/>
    <m/>
    <x v="0"/>
    <x v="0"/>
    <x v="0"/>
    <n v="0"/>
    <n v="0"/>
    <m/>
  </r>
  <r>
    <x v="0"/>
    <x v="6"/>
    <x v="87"/>
    <x v="14"/>
    <x v="2"/>
    <x v="22"/>
    <x v="0"/>
    <x v="3"/>
    <x v="0"/>
    <n v="1"/>
    <x v="0"/>
    <m/>
    <m/>
    <n v="0"/>
    <n v="0"/>
    <m/>
    <x v="0"/>
    <x v="0"/>
    <x v="0"/>
    <n v="0"/>
    <n v="0"/>
    <m/>
  </r>
  <r>
    <x v="0"/>
    <x v="7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8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9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0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1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2"/>
    <x v="87"/>
    <x v="14"/>
    <x v="2"/>
    <x v="22"/>
    <x v="0"/>
    <x v="3"/>
    <x v="0"/>
    <n v="1"/>
    <x v="0"/>
    <m/>
    <m/>
    <n v="0"/>
    <n v="0"/>
    <m/>
    <x v="0"/>
    <x v="0"/>
    <x v="0"/>
    <n v="0"/>
    <n v="0"/>
    <m/>
  </r>
  <r>
    <x v="0"/>
    <x v="13"/>
    <x v="87"/>
    <x v="14"/>
    <x v="2"/>
    <x v="22"/>
    <x v="0"/>
    <x v="3"/>
    <x v="0"/>
    <n v="1"/>
    <x v="0"/>
    <m/>
    <m/>
    <n v="0"/>
    <n v="0"/>
    <m/>
    <x v="0"/>
    <x v="0"/>
    <x v="0"/>
    <n v="0"/>
    <n v="0"/>
    <m/>
  </r>
  <r>
    <x v="0"/>
    <x v="14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5"/>
    <x v="87"/>
    <x v="14"/>
    <x v="2"/>
    <x v="22"/>
    <x v="0"/>
    <x v="2"/>
    <x v="0"/>
    <n v="8"/>
    <x v="0"/>
    <m/>
    <m/>
    <n v="0"/>
    <n v="0"/>
    <m/>
    <x v="0"/>
    <x v="0"/>
    <x v="0"/>
    <n v="0"/>
    <n v="0"/>
    <m/>
  </r>
  <r>
    <x v="0"/>
    <x v="16"/>
    <x v="87"/>
    <x v="14"/>
    <x v="0"/>
    <x v="0"/>
    <x v="0"/>
    <x v="1"/>
    <x v="0"/>
    <n v="8"/>
    <x v="0"/>
    <m/>
    <m/>
    <n v="0"/>
    <n v="0"/>
    <m/>
    <x v="7"/>
    <x v="0"/>
    <x v="0"/>
    <n v="0"/>
    <n v="0"/>
    <m/>
  </r>
  <r>
    <x v="0"/>
    <x v="17"/>
    <x v="87"/>
    <x v="14"/>
    <x v="0"/>
    <x v="0"/>
    <x v="0"/>
    <x v="1"/>
    <x v="0"/>
    <n v="8"/>
    <x v="0"/>
    <m/>
    <m/>
    <n v="0"/>
    <n v="0"/>
    <m/>
    <x v="7"/>
    <x v="0"/>
    <x v="0"/>
    <n v="0"/>
    <n v="0"/>
    <m/>
  </r>
  <r>
    <x v="0"/>
    <x v="18"/>
    <x v="87"/>
    <x v="14"/>
    <x v="0"/>
    <x v="0"/>
    <x v="0"/>
    <x v="1"/>
    <x v="0"/>
    <n v="8"/>
    <x v="0"/>
    <m/>
    <m/>
    <n v="0"/>
    <n v="0"/>
    <m/>
    <x v="7"/>
    <x v="0"/>
    <x v="0"/>
    <n v="0"/>
    <n v="0"/>
    <m/>
  </r>
  <r>
    <x v="0"/>
    <x v="19"/>
    <x v="87"/>
    <x v="14"/>
    <x v="0"/>
    <x v="0"/>
    <x v="0"/>
    <x v="1"/>
    <x v="0"/>
    <n v="8"/>
    <x v="0"/>
    <m/>
    <m/>
    <n v="0"/>
    <n v="0"/>
    <m/>
    <x v="7"/>
    <x v="0"/>
    <x v="0"/>
    <n v="0"/>
    <n v="0"/>
    <m/>
  </r>
  <r>
    <x v="0"/>
    <x v="20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1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2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3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4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5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6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7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8"/>
    <x v="87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29"/>
    <x v="88"/>
    <x v="14"/>
    <x v="0"/>
    <x v="0"/>
    <x v="0"/>
    <x v="0"/>
    <x v="0"/>
    <n v="11"/>
    <x v="0"/>
    <m/>
    <m/>
    <n v="0"/>
    <n v="0"/>
    <m/>
    <x v="7"/>
    <x v="0"/>
    <x v="0"/>
    <n v="5000"/>
    <n v="0"/>
    <m/>
  </r>
  <r>
    <x v="0"/>
    <x v="0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3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4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5"/>
    <x v="88"/>
    <x v="1"/>
    <x v="2"/>
    <x v="11"/>
    <x v="0"/>
    <x v="7"/>
    <x v="0"/>
    <n v="11"/>
    <x v="0"/>
    <m/>
    <m/>
    <n v="0"/>
    <n v="0"/>
    <m/>
    <x v="13"/>
    <x v="0"/>
    <x v="0"/>
    <n v="3833.3333333333335"/>
    <n v="0"/>
    <m/>
  </r>
  <r>
    <x v="0"/>
    <x v="6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7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8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9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0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1"/>
    <x v="88"/>
    <x v="1"/>
    <x v="2"/>
    <x v="11"/>
    <x v="0"/>
    <x v="7"/>
    <x v="0"/>
    <n v="11"/>
    <x v="0"/>
    <m/>
    <m/>
    <n v="0"/>
    <n v="0"/>
    <m/>
    <x v="13"/>
    <x v="0"/>
    <x v="0"/>
    <n v="3833.3333333333335"/>
    <n v="0"/>
    <m/>
  </r>
  <r>
    <x v="0"/>
    <x v="12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3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4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5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6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7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8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19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0"/>
    <x v="88"/>
    <x v="1"/>
    <x v="2"/>
    <x v="11"/>
    <x v="0"/>
    <x v="6"/>
    <x v="0"/>
    <n v="11"/>
    <x v="0"/>
    <m/>
    <m/>
    <n v="0"/>
    <n v="0"/>
    <m/>
    <x v="13"/>
    <x v="0"/>
    <x v="0"/>
    <n v="3833.3333333333335"/>
    <n v="0"/>
    <m/>
  </r>
  <r>
    <x v="0"/>
    <x v="21"/>
    <x v="88"/>
    <x v="1"/>
    <x v="2"/>
    <x v="11"/>
    <x v="0"/>
    <x v="6"/>
    <x v="0"/>
    <n v="11"/>
    <x v="0"/>
    <m/>
    <m/>
    <n v="0"/>
    <n v="0"/>
    <m/>
    <x v="13"/>
    <x v="0"/>
    <x v="0"/>
    <n v="3833.3333333333335"/>
    <n v="0"/>
    <m/>
  </r>
  <r>
    <x v="0"/>
    <x v="22"/>
    <x v="88"/>
    <x v="1"/>
    <x v="2"/>
    <x v="11"/>
    <x v="0"/>
    <x v="6"/>
    <x v="0"/>
    <n v="11"/>
    <x v="0"/>
    <m/>
    <m/>
    <n v="0"/>
    <n v="0"/>
    <m/>
    <x v="13"/>
    <x v="0"/>
    <x v="0"/>
    <n v="3833.3333333333335"/>
    <n v="0"/>
    <m/>
  </r>
  <r>
    <x v="0"/>
    <x v="23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4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5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6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7"/>
    <x v="88"/>
    <x v="1"/>
    <x v="2"/>
    <x v="11"/>
    <x v="0"/>
    <x v="0"/>
    <x v="4"/>
    <n v="11"/>
    <x v="0"/>
    <n v="11"/>
    <m/>
    <n v="11"/>
    <n v="0"/>
    <m/>
    <x v="13"/>
    <x v="0"/>
    <x v="0"/>
    <n v="3833.3333333333335"/>
    <n v="0"/>
    <m/>
  </r>
  <r>
    <x v="0"/>
    <x v="28"/>
    <x v="88"/>
    <x v="1"/>
    <x v="2"/>
    <x v="11"/>
    <x v="0"/>
    <x v="1"/>
    <x v="0"/>
    <n v="8"/>
    <x v="0"/>
    <m/>
    <m/>
    <n v="0"/>
    <n v="0"/>
    <m/>
    <x v="13"/>
    <x v="0"/>
    <x v="0"/>
    <n v="0"/>
    <n v="0"/>
    <m/>
  </r>
  <r>
    <x v="0"/>
    <x v="29"/>
    <x v="89"/>
    <x v="1"/>
    <x v="2"/>
    <x v="11"/>
    <x v="0"/>
    <x v="1"/>
    <x v="0"/>
    <n v="8"/>
    <x v="0"/>
    <m/>
    <m/>
    <n v="0"/>
    <n v="0"/>
    <m/>
    <x v="13"/>
    <x v="0"/>
    <x v="0"/>
    <n v="0"/>
    <n v="0"/>
    <m/>
  </r>
  <r>
    <x v="0"/>
    <x v="0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3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4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5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6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7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8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9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0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1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2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3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4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5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6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7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8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9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0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1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2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3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4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5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6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7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8"/>
    <x v="89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9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0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3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4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5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6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7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8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9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0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1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2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3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4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5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6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7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8"/>
    <x v="90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9"/>
    <x v="90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20"/>
    <x v="90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21"/>
    <x v="90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22"/>
    <x v="90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3"/>
    <x v="90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4"/>
    <x v="90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5"/>
    <x v="90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6"/>
    <x v="90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7"/>
    <x v="90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8"/>
    <x v="90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9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0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2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3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4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5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6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7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8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9"/>
    <x v="44"/>
    <x v="3"/>
    <x v="2"/>
    <x v="3"/>
    <x v="0"/>
    <x v="0"/>
    <x v="3"/>
    <n v="11"/>
    <x v="0"/>
    <n v="11"/>
    <m/>
    <n v="11"/>
    <n v="0"/>
    <m/>
    <x v="8"/>
    <x v="0"/>
    <x v="0"/>
    <n v="2933.3333333333335"/>
    <n v="0"/>
    <m/>
  </r>
  <r>
    <x v="0"/>
    <x v="10"/>
    <x v="44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11"/>
    <x v="44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12"/>
    <x v="44"/>
    <x v="3"/>
    <x v="2"/>
    <x v="3"/>
    <x v="0"/>
    <x v="1"/>
    <x v="0"/>
    <n v="8"/>
    <x v="0"/>
    <m/>
    <m/>
    <n v="0"/>
    <n v="0"/>
    <m/>
    <x v="8"/>
    <x v="0"/>
    <x v="0"/>
    <n v="0"/>
    <n v="0"/>
    <m/>
  </r>
  <r>
    <x v="0"/>
    <x v="13"/>
    <x v="44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14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5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6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7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8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19"/>
    <x v="44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0"/>
    <x v="44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1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2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3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4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5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6"/>
    <x v="44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7"/>
    <x v="44"/>
    <x v="3"/>
    <x v="2"/>
    <x v="3"/>
    <x v="0"/>
    <x v="3"/>
    <x v="0"/>
    <n v="1"/>
    <x v="0"/>
    <m/>
    <m/>
    <n v="0"/>
    <n v="0"/>
    <m/>
    <x v="8"/>
    <x v="0"/>
    <x v="0"/>
    <n v="0"/>
    <n v="0"/>
    <m/>
  </r>
  <r>
    <x v="0"/>
    <x v="28"/>
    <x v="4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29"/>
    <x v="34"/>
    <x v="3"/>
    <x v="2"/>
    <x v="3"/>
    <x v="0"/>
    <x v="2"/>
    <x v="0"/>
    <n v="8"/>
    <x v="0"/>
    <m/>
    <m/>
    <n v="0"/>
    <n v="0"/>
    <m/>
    <x v="8"/>
    <x v="0"/>
    <x v="0"/>
    <n v="0"/>
    <n v="0"/>
    <m/>
  </r>
  <r>
    <x v="0"/>
    <x v="0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3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4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5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6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7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8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9"/>
    <x v="3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0"/>
    <x v="3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1"/>
    <x v="3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2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13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14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5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6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7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8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9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20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21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2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3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4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5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6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27"/>
    <x v="34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28"/>
    <x v="34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9"/>
    <x v="91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0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3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4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5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6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7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8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9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0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1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2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3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4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5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6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7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8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9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0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1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2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3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4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5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6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7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8"/>
    <x v="91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9"/>
    <x v="92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0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3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4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5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6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7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8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9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0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1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2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13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14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5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6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7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8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9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0"/>
    <x v="92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1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2"/>
    <x v="92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3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4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5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6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7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8"/>
    <x v="92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29"/>
    <x v="93"/>
    <x v="1"/>
    <x v="1"/>
    <x v="9"/>
    <x v="0"/>
    <x v="9"/>
    <x v="0"/>
    <n v="1"/>
    <x v="0"/>
    <m/>
    <m/>
    <n v="0"/>
    <n v="0"/>
    <m/>
    <x v="15"/>
    <x v="0"/>
    <x v="0"/>
    <n v="0"/>
    <n v="0"/>
    <m/>
  </r>
  <r>
    <x v="0"/>
    <x v="0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3"/>
    <x v="93"/>
    <x v="1"/>
    <x v="1"/>
    <x v="9"/>
    <x v="0"/>
    <x v="0"/>
    <x v="2"/>
    <n v="11"/>
    <x v="1"/>
    <m/>
    <m/>
    <n v="0"/>
    <n v="0"/>
    <m/>
    <x v="15"/>
    <x v="2"/>
    <x v="0"/>
    <n v="5400"/>
    <n v="5000"/>
    <s v="б-т"/>
  </r>
  <r>
    <x v="0"/>
    <x v="4"/>
    <x v="93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7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8"/>
    <x v="93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9"/>
    <x v="93"/>
    <x v="1"/>
    <x v="1"/>
    <x v="9"/>
    <x v="0"/>
    <x v="0"/>
    <x v="2"/>
    <n v="11"/>
    <x v="1"/>
    <m/>
    <m/>
    <n v="0"/>
    <n v="0"/>
    <m/>
    <x v="15"/>
    <x v="2"/>
    <x v="0"/>
    <n v="5400"/>
    <n v="5000"/>
    <s v="т-б"/>
  </r>
  <r>
    <x v="0"/>
    <x v="10"/>
    <x v="93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1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2"/>
    <x v="93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13"/>
    <x v="93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4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93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6"/>
    <x v="93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7"/>
    <x v="93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8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19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0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1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2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3"/>
    <x v="93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4"/>
    <x v="93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5"/>
    <x v="93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6"/>
    <x v="93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7"/>
    <x v="93"/>
    <x v="1"/>
    <x v="1"/>
    <x v="9"/>
    <x v="0"/>
    <x v="0"/>
    <x v="0"/>
    <n v="11"/>
    <x v="0"/>
    <m/>
    <m/>
    <n v="0"/>
    <n v="0"/>
    <m/>
    <x v="15"/>
    <x v="0"/>
    <x v="0"/>
    <n v="5400"/>
    <n v="0"/>
    <m/>
  </r>
  <r>
    <x v="0"/>
    <x v="28"/>
    <x v="93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29"/>
    <x v="48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0"/>
    <x v="48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3"/>
    <x v="48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4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48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8"/>
    <x v="48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9"/>
    <x v="48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10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1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2"/>
    <x v="48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3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4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5"/>
    <x v="48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16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7"/>
    <x v="48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18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9"/>
    <x v="48"/>
    <x v="1"/>
    <x v="1"/>
    <x v="9"/>
    <x v="0"/>
    <x v="0"/>
    <x v="2"/>
    <n v="22"/>
    <x v="1"/>
    <m/>
    <m/>
    <n v="0"/>
    <n v="0"/>
    <m/>
    <x v="15"/>
    <x v="2"/>
    <x v="0"/>
    <n v="10800"/>
    <n v="5000"/>
    <s v="3 точки"/>
  </r>
  <r>
    <x v="0"/>
    <x v="20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1"/>
    <x v="48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2"/>
    <x v="48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23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4"/>
    <x v="48"/>
    <x v="1"/>
    <x v="1"/>
    <x v="9"/>
    <x v="0"/>
    <x v="0"/>
    <x v="2"/>
    <n v="22"/>
    <x v="1"/>
    <m/>
    <m/>
    <n v="0"/>
    <n v="0"/>
    <m/>
    <x v="15"/>
    <x v="2"/>
    <x v="0"/>
    <n v="10800"/>
    <n v="5000"/>
    <s v="2 точки выгрузки"/>
  </r>
  <r>
    <x v="0"/>
    <x v="25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6"/>
    <x v="48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7"/>
    <x v="48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28"/>
    <x v="48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9"/>
    <x v="94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0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3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4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8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9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0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1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2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3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4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6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7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8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9"/>
    <x v="94"/>
    <x v="1"/>
    <x v="1"/>
    <x v="9"/>
    <x v="0"/>
    <x v="0"/>
    <x v="2"/>
    <n v="22"/>
    <x v="1"/>
    <m/>
    <m/>
    <n v="0"/>
    <n v="0"/>
    <m/>
    <x v="15"/>
    <x v="2"/>
    <x v="0"/>
    <n v="10800"/>
    <n v="5000"/>
    <m/>
  </r>
  <r>
    <x v="0"/>
    <x v="20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1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2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23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4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5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6"/>
    <x v="94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27"/>
    <x v="94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8"/>
    <x v="94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9"/>
    <x v="7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0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"/>
    <x v="7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3"/>
    <x v="75"/>
    <x v="1"/>
    <x v="1"/>
    <x v="13"/>
    <x v="0"/>
    <x v="0"/>
    <x v="2"/>
    <n v="11"/>
    <x v="1"/>
    <m/>
    <m/>
    <n v="0"/>
    <n v="0"/>
    <m/>
    <x v="16"/>
    <x v="2"/>
    <x v="0"/>
    <n v="5800"/>
    <n v="5000"/>
    <m/>
  </r>
  <r>
    <x v="0"/>
    <x v="4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5"/>
    <x v="7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6"/>
    <x v="7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7"/>
    <x v="7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8"/>
    <x v="75"/>
    <x v="1"/>
    <x v="1"/>
    <x v="13"/>
    <x v="0"/>
    <x v="7"/>
    <x v="2"/>
    <n v="11"/>
    <x v="0"/>
    <m/>
    <m/>
    <n v="0"/>
    <n v="0"/>
    <m/>
    <x v="16"/>
    <x v="0"/>
    <x v="0"/>
    <n v="5800"/>
    <n v="0"/>
    <m/>
  </r>
  <r>
    <x v="0"/>
    <x v="9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0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1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2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3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4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5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6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17"/>
    <x v="75"/>
    <x v="1"/>
    <x v="1"/>
    <x v="13"/>
    <x v="0"/>
    <x v="0"/>
    <x v="2"/>
    <n v="11"/>
    <x v="1"/>
    <m/>
    <m/>
    <n v="0"/>
    <n v="0"/>
    <m/>
    <x v="16"/>
    <x v="2"/>
    <x v="0"/>
    <n v="5800"/>
    <n v="5000"/>
    <m/>
  </r>
  <r>
    <x v="0"/>
    <x v="18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19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0"/>
    <x v="75"/>
    <x v="1"/>
    <x v="1"/>
    <x v="13"/>
    <x v="0"/>
    <x v="0"/>
    <x v="2"/>
    <n v="11"/>
    <x v="1"/>
    <m/>
    <m/>
    <n v="0"/>
    <n v="0"/>
    <m/>
    <x v="16"/>
    <x v="2"/>
    <x v="0"/>
    <n v="5800"/>
    <n v="5000"/>
    <s v="2 точки выгрузки"/>
  </r>
  <r>
    <x v="0"/>
    <x v="21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22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3"/>
    <x v="75"/>
    <x v="1"/>
    <x v="1"/>
    <x v="13"/>
    <x v="0"/>
    <x v="0"/>
    <x v="2"/>
    <n v="22"/>
    <x v="0"/>
    <m/>
    <m/>
    <n v="0"/>
    <n v="0"/>
    <m/>
    <x v="16"/>
    <x v="0"/>
    <x v="0"/>
    <n v="11600"/>
    <n v="0"/>
    <m/>
  </r>
  <r>
    <x v="0"/>
    <x v="24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5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6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7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8"/>
    <x v="7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29"/>
    <x v="95"/>
    <x v="1"/>
    <x v="1"/>
    <x v="13"/>
    <x v="0"/>
    <x v="0"/>
    <x v="2"/>
    <n v="11"/>
    <x v="0"/>
    <m/>
    <m/>
    <n v="0"/>
    <n v="0"/>
    <m/>
    <x v="16"/>
    <x v="0"/>
    <x v="0"/>
    <n v="5800"/>
    <n v="0"/>
    <m/>
  </r>
  <r>
    <x v="0"/>
    <x v="0"/>
    <x v="95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3"/>
    <x v="95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4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9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9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8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9"/>
    <x v="9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95"/>
    <x v="1"/>
    <x v="1"/>
    <x v="9"/>
    <x v="0"/>
    <x v="0"/>
    <x v="2"/>
    <n v="22"/>
    <x v="1"/>
    <m/>
    <m/>
    <n v="0"/>
    <n v="0"/>
    <m/>
    <x v="15"/>
    <x v="2"/>
    <x v="0"/>
    <n v="10800"/>
    <n v="5000"/>
    <m/>
  </r>
  <r>
    <x v="0"/>
    <x v="11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2"/>
    <x v="95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3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4"/>
    <x v="9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9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6"/>
    <x v="9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7"/>
    <x v="95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18"/>
    <x v="95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19"/>
    <x v="95"/>
    <x v="1"/>
    <x v="1"/>
    <x v="9"/>
    <x v="0"/>
    <x v="7"/>
    <x v="0"/>
    <n v="11"/>
    <x v="0"/>
    <m/>
    <m/>
    <n v="0"/>
    <n v="0"/>
    <m/>
    <x v="15"/>
    <x v="0"/>
    <x v="0"/>
    <n v="5400"/>
    <n v="0"/>
    <m/>
  </r>
  <r>
    <x v="0"/>
    <x v="20"/>
    <x v="95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1"/>
    <x v="95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2"/>
    <x v="95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23"/>
    <x v="95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24"/>
    <x v="95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5"/>
    <x v="95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6"/>
    <x v="95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7"/>
    <x v="95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8"/>
    <x v="95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9"/>
    <x v="96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0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"/>
    <x v="96"/>
    <x v="1"/>
    <x v="1"/>
    <x v="9"/>
    <x v="0"/>
    <x v="7"/>
    <x v="2"/>
    <n v="11"/>
    <x v="0"/>
    <m/>
    <m/>
    <n v="0"/>
    <n v="0"/>
    <m/>
    <x v="15"/>
    <x v="0"/>
    <x v="0"/>
    <n v="5400"/>
    <n v="0"/>
    <m/>
  </r>
  <r>
    <x v="0"/>
    <x v="3"/>
    <x v="96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4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8"/>
    <x v="96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9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0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1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2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3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4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5"/>
    <x v="96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6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7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8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9"/>
    <x v="96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0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1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2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3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4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5"/>
    <x v="96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6"/>
    <x v="96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7"/>
    <x v="96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28"/>
    <x v="96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29"/>
    <x v="97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0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3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4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5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6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7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8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9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0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1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2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3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4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5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6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7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8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19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0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1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2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3"/>
    <x v="97"/>
    <x v="2"/>
    <x v="2"/>
    <x v="2"/>
    <x v="0"/>
    <x v="8"/>
    <x v="0"/>
    <n v="1"/>
    <x v="0"/>
    <m/>
    <m/>
    <n v="0"/>
    <n v="0"/>
    <m/>
    <x v="1"/>
    <x v="0"/>
    <x v="0"/>
    <n v="0"/>
    <n v="0"/>
    <m/>
  </r>
  <r>
    <x v="0"/>
    <x v="24"/>
    <x v="97"/>
    <x v="2"/>
    <x v="2"/>
    <x v="2"/>
    <x v="0"/>
    <x v="2"/>
    <x v="0"/>
    <n v="8"/>
    <x v="0"/>
    <m/>
    <m/>
    <n v="0"/>
    <n v="0"/>
    <m/>
    <x v="1"/>
    <x v="0"/>
    <x v="0"/>
    <n v="0"/>
    <n v="0"/>
    <m/>
  </r>
  <r>
    <x v="0"/>
    <x v="25"/>
    <x v="97"/>
    <x v="2"/>
    <x v="2"/>
    <x v="2"/>
    <x v="0"/>
    <x v="2"/>
    <x v="0"/>
    <n v="8"/>
    <x v="0"/>
    <m/>
    <m/>
    <n v="0"/>
    <n v="0"/>
    <m/>
    <x v="1"/>
    <x v="0"/>
    <x v="0"/>
    <n v="0"/>
    <n v="0"/>
    <m/>
  </r>
  <r>
    <x v="0"/>
    <x v="26"/>
    <x v="97"/>
    <x v="2"/>
    <x v="2"/>
    <x v="2"/>
    <x v="0"/>
    <x v="3"/>
    <x v="0"/>
    <n v="1"/>
    <x v="0"/>
    <m/>
    <m/>
    <n v="0"/>
    <n v="0"/>
    <m/>
    <x v="1"/>
    <x v="0"/>
    <x v="0"/>
    <n v="0"/>
    <n v="0"/>
    <m/>
  </r>
  <r>
    <x v="0"/>
    <x v="27"/>
    <x v="97"/>
    <x v="2"/>
    <x v="2"/>
    <x v="2"/>
    <x v="0"/>
    <x v="3"/>
    <x v="0"/>
    <n v="1"/>
    <x v="0"/>
    <m/>
    <m/>
    <n v="0"/>
    <n v="0"/>
    <m/>
    <x v="1"/>
    <x v="0"/>
    <x v="0"/>
    <n v="0"/>
    <n v="0"/>
    <m/>
  </r>
  <r>
    <x v="0"/>
    <x v="28"/>
    <x v="97"/>
    <x v="2"/>
    <x v="2"/>
    <x v="2"/>
    <x v="0"/>
    <x v="2"/>
    <x v="0"/>
    <n v="8"/>
    <x v="0"/>
    <m/>
    <m/>
    <n v="0"/>
    <n v="0"/>
    <m/>
    <x v="1"/>
    <x v="0"/>
    <x v="0"/>
    <n v="0"/>
    <n v="0"/>
    <m/>
  </r>
  <r>
    <x v="0"/>
    <x v="29"/>
    <x v="98"/>
    <x v="2"/>
    <x v="2"/>
    <x v="2"/>
    <x v="0"/>
    <x v="2"/>
    <x v="0"/>
    <n v="8"/>
    <x v="0"/>
    <m/>
    <m/>
    <n v="0"/>
    <n v="0"/>
    <m/>
    <x v="1"/>
    <x v="0"/>
    <x v="0"/>
    <n v="0"/>
    <n v="0"/>
    <m/>
  </r>
  <r>
    <x v="0"/>
    <x v="0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3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4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5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6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7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8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9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0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1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2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13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14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5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6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7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8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19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20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21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2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3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4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5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6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27"/>
    <x v="98"/>
    <x v="1"/>
    <x v="2"/>
    <x v="11"/>
    <x v="0"/>
    <x v="3"/>
    <x v="0"/>
    <n v="1"/>
    <x v="0"/>
    <m/>
    <m/>
    <n v="0"/>
    <n v="0"/>
    <m/>
    <x v="13"/>
    <x v="0"/>
    <x v="0"/>
    <n v="0"/>
    <n v="0"/>
    <m/>
  </r>
  <r>
    <x v="0"/>
    <x v="28"/>
    <x v="98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29"/>
    <x v="99"/>
    <x v="1"/>
    <x v="2"/>
    <x v="11"/>
    <x v="0"/>
    <x v="2"/>
    <x v="0"/>
    <n v="8"/>
    <x v="0"/>
    <m/>
    <m/>
    <n v="0"/>
    <n v="0"/>
    <m/>
    <x v="13"/>
    <x v="0"/>
    <x v="0"/>
    <n v="0"/>
    <n v="0"/>
    <m/>
  </r>
  <r>
    <x v="0"/>
    <x v="0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3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4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5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6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7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8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9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0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1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2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3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4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5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6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7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8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19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0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1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2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3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4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5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6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7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8"/>
    <x v="99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0"/>
    <x v="29"/>
    <x v="100"/>
    <x v="10"/>
    <x v="2"/>
    <x v="14"/>
    <x v="0"/>
    <x v="0"/>
    <x v="0"/>
    <n v="11"/>
    <x v="0"/>
    <m/>
    <m/>
    <n v="0"/>
    <n v="0"/>
    <m/>
    <x v="1"/>
    <x v="0"/>
    <x v="0"/>
    <n v="0"/>
    <n v="0"/>
    <m/>
  </r>
  <r>
    <x v="1"/>
    <x v="0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1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2"/>
    <x v="100"/>
    <x v="1"/>
    <x v="1"/>
    <x v="9"/>
    <x v="0"/>
    <x v="7"/>
    <x v="0"/>
    <n v="11"/>
    <x v="0"/>
    <m/>
    <m/>
    <n v="0"/>
    <n v="0"/>
    <m/>
    <x v="15"/>
    <x v="0"/>
    <x v="0"/>
    <n v="5400"/>
    <n v="0"/>
    <m/>
  </r>
  <r>
    <x v="1"/>
    <x v="3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4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5"/>
    <x v="100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1"/>
    <x v="6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1"/>
    <x v="7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8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1"/>
    <x v="9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1"/>
    <x v="10"/>
    <x v="100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1"/>
    <x v="11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1"/>
    <x v="12"/>
    <x v="100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1"/>
    <x v="13"/>
    <x v="100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1"/>
    <x v="14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1"/>
    <x v="15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1"/>
    <x v="16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1"/>
    <x v="17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1"/>
    <x v="18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1"/>
    <x v="19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20"/>
    <x v="100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21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2"/>
    <x v="100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23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4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5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6"/>
    <x v="100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27"/>
    <x v="10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8"/>
    <x v="100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29"/>
    <x v="10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0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1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2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3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4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5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6"/>
    <x v="100"/>
    <x v="1"/>
    <x v="1"/>
    <x v="7"/>
    <x v="0"/>
    <x v="6"/>
    <x v="0"/>
    <n v="11"/>
    <x v="0"/>
    <m/>
    <m/>
    <n v="0"/>
    <n v="0"/>
    <m/>
    <x v="3"/>
    <x v="0"/>
    <x v="0"/>
    <n v="5666.6666666666661"/>
    <n v="0"/>
    <m/>
  </r>
  <r>
    <x v="0"/>
    <x v="7"/>
    <x v="100"/>
    <x v="1"/>
    <x v="1"/>
    <x v="7"/>
    <x v="0"/>
    <x v="0"/>
    <x v="0"/>
    <n v="11"/>
    <x v="0"/>
    <m/>
    <m/>
    <n v="0"/>
    <n v="0"/>
    <m/>
    <x v="3"/>
    <x v="0"/>
    <x v="0"/>
    <n v="5666.6666666666661"/>
    <n v="0"/>
    <m/>
  </r>
  <r>
    <x v="0"/>
    <x v="8"/>
    <x v="100"/>
    <x v="1"/>
    <x v="1"/>
    <x v="7"/>
    <x v="0"/>
    <x v="0"/>
    <x v="0"/>
    <n v="11"/>
    <x v="0"/>
    <m/>
    <m/>
    <n v="0"/>
    <n v="0"/>
    <m/>
    <x v="3"/>
    <x v="0"/>
    <x v="0"/>
    <n v="5666.6666666666661"/>
    <n v="0"/>
    <m/>
  </r>
  <r>
    <x v="0"/>
    <x v="9"/>
    <x v="100"/>
    <x v="1"/>
    <x v="1"/>
    <x v="7"/>
    <x v="0"/>
    <x v="0"/>
    <x v="0"/>
    <n v="22"/>
    <x v="0"/>
    <m/>
    <m/>
    <n v="0"/>
    <n v="0"/>
    <m/>
    <x v="3"/>
    <x v="0"/>
    <x v="0"/>
    <n v="11333.333333333332"/>
    <n v="0"/>
    <s v="Бованы-Тамбей"/>
  </r>
  <r>
    <x v="0"/>
    <x v="10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1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2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3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4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5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6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7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8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19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0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1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2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3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4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5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6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7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8"/>
    <x v="100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29"/>
    <x v="101"/>
    <x v="1"/>
    <x v="1"/>
    <x v="7"/>
    <x v="0"/>
    <x v="0"/>
    <x v="5"/>
    <n v="11"/>
    <x v="0"/>
    <n v="11"/>
    <m/>
    <n v="11"/>
    <n v="0"/>
    <m/>
    <x v="3"/>
    <x v="0"/>
    <x v="0"/>
    <n v="5666.6666666666661"/>
    <n v="0"/>
    <m/>
  </r>
  <r>
    <x v="0"/>
    <x v="0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3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4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5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6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7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8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9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0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1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2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3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4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5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6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7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8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9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0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1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2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3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4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5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6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7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8"/>
    <x v="101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9"/>
    <x v="59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0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3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4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5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6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7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8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9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0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1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2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3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4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5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6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7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8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19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0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1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2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3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4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5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6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7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8"/>
    <x v="59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29"/>
    <x v="102"/>
    <x v="0"/>
    <x v="2"/>
    <x v="0"/>
    <x v="0"/>
    <x v="11"/>
    <x v="0"/>
    <n v="1"/>
    <x v="0"/>
    <m/>
    <m/>
    <n v="0"/>
    <n v="0"/>
    <m/>
    <x v="1"/>
    <x v="0"/>
    <x v="0"/>
    <n v="0"/>
    <n v="0"/>
    <m/>
  </r>
  <r>
    <x v="0"/>
    <x v="0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3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4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5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6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7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8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9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0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1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2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3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4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5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6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7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8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19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0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1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2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3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4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5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6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7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8"/>
    <x v="102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29"/>
    <x v="58"/>
    <x v="3"/>
    <x v="2"/>
    <x v="3"/>
    <x v="0"/>
    <x v="9"/>
    <x v="0"/>
    <n v="1"/>
    <x v="0"/>
    <m/>
    <m/>
    <n v="0"/>
    <n v="0"/>
    <m/>
    <x v="1"/>
    <x v="0"/>
    <x v="0"/>
    <n v="0"/>
    <n v="0"/>
    <m/>
  </r>
  <r>
    <x v="0"/>
    <x v="0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3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4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5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6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7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8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9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0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1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2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3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4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5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6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7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8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19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0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1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2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3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4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5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6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7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8"/>
    <x v="58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29"/>
    <x v="103"/>
    <x v="1"/>
    <x v="2"/>
    <x v="18"/>
    <x v="0"/>
    <x v="9"/>
    <x v="0"/>
    <n v="1"/>
    <x v="0"/>
    <m/>
    <m/>
    <n v="0"/>
    <n v="0"/>
    <m/>
    <x v="1"/>
    <x v="0"/>
    <x v="0"/>
    <n v="0"/>
    <n v="0"/>
    <m/>
  </r>
  <r>
    <x v="0"/>
    <x v="0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2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3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4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5"/>
    <x v="103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6"/>
    <x v="103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7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8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9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0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1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2"/>
    <x v="103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13"/>
    <x v="103"/>
    <x v="11"/>
    <x v="2"/>
    <x v="16"/>
    <x v="0"/>
    <x v="3"/>
    <x v="0"/>
    <n v="1"/>
    <x v="0"/>
    <m/>
    <m/>
    <n v="0"/>
    <n v="0"/>
    <m/>
    <x v="1"/>
    <x v="0"/>
    <x v="0"/>
    <n v="0"/>
    <n v="0"/>
    <m/>
  </r>
  <r>
    <x v="0"/>
    <x v="14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5"/>
    <x v="103"/>
    <x v="11"/>
    <x v="2"/>
    <x v="16"/>
    <x v="0"/>
    <x v="2"/>
    <x v="0"/>
    <n v="8"/>
    <x v="0"/>
    <m/>
    <m/>
    <n v="0"/>
    <n v="0"/>
    <m/>
    <x v="1"/>
    <x v="0"/>
    <x v="0"/>
    <n v="0"/>
    <n v="0"/>
    <m/>
  </r>
  <r>
    <x v="0"/>
    <x v="16"/>
    <x v="103"/>
    <x v="11"/>
    <x v="2"/>
    <x v="16"/>
    <x v="0"/>
    <x v="1"/>
    <x v="0"/>
    <n v="8"/>
    <x v="0"/>
    <m/>
    <m/>
    <n v="0"/>
    <n v="0"/>
    <m/>
    <x v="1"/>
    <x v="0"/>
    <x v="0"/>
    <n v="0"/>
    <n v="0"/>
    <m/>
  </r>
  <r>
    <x v="0"/>
    <x v="17"/>
    <x v="103"/>
    <x v="11"/>
    <x v="2"/>
    <x v="16"/>
    <x v="0"/>
    <x v="1"/>
    <x v="0"/>
    <n v="8"/>
    <x v="0"/>
    <m/>
    <m/>
    <n v="0"/>
    <n v="0"/>
    <m/>
    <x v="1"/>
    <x v="0"/>
    <x v="0"/>
    <n v="0"/>
    <n v="0"/>
    <m/>
  </r>
  <r>
    <x v="0"/>
    <x v="18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19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0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1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2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3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4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5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6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7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8"/>
    <x v="103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29"/>
    <x v="104"/>
    <x v="11"/>
    <x v="2"/>
    <x v="16"/>
    <x v="0"/>
    <x v="0"/>
    <x v="0"/>
    <n v="11"/>
    <x v="0"/>
    <m/>
    <m/>
    <n v="0"/>
    <n v="0"/>
    <m/>
    <x v="1"/>
    <x v="0"/>
    <x v="0"/>
    <n v="0"/>
    <n v="0"/>
    <m/>
  </r>
  <r>
    <x v="0"/>
    <x v="0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3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4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5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6"/>
    <x v="104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7"/>
    <x v="10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8"/>
    <x v="10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9"/>
    <x v="104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0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1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2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3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4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5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6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7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8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9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0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1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2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3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4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5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6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7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8"/>
    <x v="104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9"/>
    <x v="105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0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3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4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5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6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7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8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9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0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1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2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3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4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5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6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7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8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19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0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1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2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3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4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5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6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7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8"/>
    <x v="105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29"/>
    <x v="106"/>
    <x v="0"/>
    <x v="2"/>
    <x v="0"/>
    <x v="0"/>
    <x v="0"/>
    <x v="0"/>
    <n v="11"/>
    <x v="0"/>
    <m/>
    <m/>
    <n v="0"/>
    <n v="0"/>
    <m/>
    <x v="1"/>
    <x v="0"/>
    <x v="0"/>
    <n v="0"/>
    <n v="0"/>
    <m/>
  </r>
  <r>
    <x v="0"/>
    <x v="0"/>
    <x v="106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"/>
    <x v="106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"/>
    <x v="106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3"/>
    <x v="106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4"/>
    <x v="106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5"/>
    <x v="106"/>
    <x v="3"/>
    <x v="2"/>
    <x v="3"/>
    <x v="0"/>
    <x v="3"/>
    <x v="0"/>
    <n v="1"/>
    <x v="0"/>
    <m/>
    <m/>
    <n v="0"/>
    <n v="0"/>
    <m/>
    <x v="1"/>
    <x v="0"/>
    <x v="0"/>
    <n v="0"/>
    <n v="0"/>
    <m/>
  </r>
  <r>
    <x v="0"/>
    <x v="6"/>
    <x v="106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7"/>
    <x v="106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8"/>
    <x v="106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9"/>
    <x v="106"/>
    <x v="3"/>
    <x v="2"/>
    <x v="3"/>
    <x v="0"/>
    <x v="1"/>
    <x v="0"/>
    <n v="8"/>
    <x v="0"/>
    <m/>
    <m/>
    <n v="0"/>
    <n v="0"/>
    <m/>
    <x v="1"/>
    <x v="0"/>
    <x v="0"/>
    <n v="0"/>
    <n v="0"/>
    <m/>
  </r>
  <r>
    <x v="0"/>
    <x v="10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1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2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3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4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5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6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7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8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19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0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1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2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3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4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5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6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7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8"/>
    <x v="106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29"/>
    <x v="107"/>
    <x v="3"/>
    <x v="2"/>
    <x v="3"/>
    <x v="0"/>
    <x v="0"/>
    <x v="3"/>
    <n v="11"/>
    <x v="0"/>
    <n v="11"/>
    <m/>
    <n v="11"/>
    <n v="0"/>
    <m/>
    <x v="1"/>
    <x v="0"/>
    <x v="0"/>
    <n v="0"/>
    <n v="0"/>
    <m/>
  </r>
  <r>
    <x v="0"/>
    <x v="0"/>
    <x v="107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1"/>
    <x v="107"/>
    <x v="3"/>
    <x v="2"/>
    <x v="3"/>
    <x v="0"/>
    <x v="2"/>
    <x v="0"/>
    <n v="8"/>
    <x v="0"/>
    <m/>
    <m/>
    <n v="0"/>
    <n v="0"/>
    <m/>
    <x v="1"/>
    <x v="0"/>
    <x v="0"/>
    <n v="0"/>
    <n v="0"/>
    <m/>
  </r>
  <r>
    <x v="0"/>
    <x v="2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3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4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5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6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7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8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9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0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1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2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3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4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5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6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7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8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19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0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1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2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3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4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5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6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7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8"/>
    <x v="107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29"/>
    <x v="108"/>
    <x v="3"/>
    <x v="2"/>
    <x v="3"/>
    <x v="0"/>
    <x v="12"/>
    <x v="0"/>
    <n v="1"/>
    <x v="0"/>
    <m/>
    <m/>
    <n v="0"/>
    <n v="0"/>
    <m/>
    <x v="1"/>
    <x v="0"/>
    <x v="0"/>
    <n v="0"/>
    <n v="0"/>
    <m/>
  </r>
  <r>
    <x v="0"/>
    <x v="0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1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2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3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4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5"/>
    <x v="108"/>
    <x v="4"/>
    <x v="2"/>
    <x v="4"/>
    <x v="0"/>
    <x v="3"/>
    <x v="0"/>
    <n v="1"/>
    <x v="0"/>
    <m/>
    <m/>
    <n v="0"/>
    <n v="0"/>
    <m/>
    <x v="5"/>
    <x v="0"/>
    <x v="0"/>
    <n v="0"/>
    <n v="0"/>
    <m/>
  </r>
  <r>
    <x v="0"/>
    <x v="6"/>
    <x v="108"/>
    <x v="4"/>
    <x v="2"/>
    <x v="4"/>
    <x v="0"/>
    <x v="3"/>
    <x v="0"/>
    <n v="1"/>
    <x v="0"/>
    <m/>
    <m/>
    <n v="0"/>
    <n v="0"/>
    <m/>
    <x v="5"/>
    <x v="0"/>
    <x v="0"/>
    <n v="0"/>
    <n v="0"/>
    <m/>
  </r>
  <r>
    <x v="0"/>
    <x v="7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8"/>
    <x v="108"/>
    <x v="4"/>
    <x v="2"/>
    <x v="4"/>
    <x v="0"/>
    <x v="2"/>
    <x v="0"/>
    <n v="8"/>
    <x v="0"/>
    <m/>
    <m/>
    <n v="0"/>
    <n v="0"/>
    <m/>
    <x v="5"/>
    <x v="0"/>
    <x v="0"/>
    <n v="0"/>
    <n v="0"/>
    <m/>
  </r>
  <r>
    <x v="0"/>
    <x v="9"/>
    <x v="108"/>
    <x v="4"/>
    <x v="1"/>
    <x v="4"/>
    <x v="0"/>
    <x v="1"/>
    <x v="0"/>
    <n v="8"/>
    <x v="0"/>
    <m/>
    <m/>
    <n v="0"/>
    <n v="0"/>
    <m/>
    <x v="2"/>
    <x v="0"/>
    <x v="0"/>
    <n v="0"/>
    <n v="0"/>
    <m/>
  </r>
  <r>
    <x v="0"/>
    <x v="10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1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2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3"/>
    <x v="108"/>
    <x v="4"/>
    <x v="1"/>
    <x v="4"/>
    <x v="0"/>
    <x v="0"/>
    <x v="2"/>
    <n v="22"/>
    <x v="0"/>
    <n v="22"/>
    <m/>
    <n v="22"/>
    <n v="0"/>
    <m/>
    <x v="2"/>
    <x v="0"/>
    <x v="0"/>
    <n v="13333.333333333332"/>
    <n v="0"/>
    <m/>
  </r>
  <r>
    <x v="0"/>
    <x v="14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5"/>
    <x v="108"/>
    <x v="4"/>
    <x v="1"/>
    <x v="4"/>
    <x v="0"/>
    <x v="0"/>
    <x v="2"/>
    <n v="15"/>
    <x v="0"/>
    <n v="15"/>
    <m/>
    <n v="15"/>
    <n v="0"/>
    <m/>
    <x v="2"/>
    <x v="0"/>
    <x v="0"/>
    <n v="9090.9090909090901"/>
    <n v="0"/>
    <m/>
  </r>
  <r>
    <x v="0"/>
    <x v="16"/>
    <x v="108"/>
    <x v="4"/>
    <x v="1"/>
    <x v="4"/>
    <x v="0"/>
    <x v="0"/>
    <x v="2"/>
    <n v="18"/>
    <x v="0"/>
    <n v="18"/>
    <m/>
    <n v="18"/>
    <n v="0"/>
    <m/>
    <x v="2"/>
    <x v="0"/>
    <x v="0"/>
    <n v="10909.090909090908"/>
    <n v="0"/>
    <m/>
  </r>
  <r>
    <x v="0"/>
    <x v="17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18"/>
    <x v="108"/>
    <x v="4"/>
    <x v="1"/>
    <x v="4"/>
    <x v="0"/>
    <x v="0"/>
    <x v="2"/>
    <n v="16"/>
    <x v="0"/>
    <n v="16"/>
    <m/>
    <n v="16"/>
    <n v="0"/>
    <m/>
    <x v="2"/>
    <x v="0"/>
    <x v="0"/>
    <n v="9696.9696969696961"/>
    <n v="0"/>
    <m/>
  </r>
  <r>
    <x v="0"/>
    <x v="19"/>
    <x v="108"/>
    <x v="4"/>
    <x v="1"/>
    <x v="4"/>
    <x v="0"/>
    <x v="0"/>
    <x v="2"/>
    <n v="17"/>
    <x v="0"/>
    <n v="17"/>
    <m/>
    <n v="17"/>
    <n v="0"/>
    <m/>
    <x v="2"/>
    <x v="0"/>
    <x v="0"/>
    <n v="10303.030303030302"/>
    <n v="0"/>
    <m/>
  </r>
  <r>
    <x v="0"/>
    <x v="20"/>
    <x v="108"/>
    <x v="4"/>
    <x v="1"/>
    <x v="4"/>
    <x v="0"/>
    <x v="0"/>
    <x v="2"/>
    <n v="16"/>
    <x v="0"/>
    <n v="16"/>
    <m/>
    <n v="16"/>
    <n v="0"/>
    <m/>
    <x v="2"/>
    <x v="0"/>
    <x v="0"/>
    <n v="9696.9696969696961"/>
    <n v="0"/>
    <m/>
  </r>
  <r>
    <x v="0"/>
    <x v="21"/>
    <x v="108"/>
    <x v="4"/>
    <x v="1"/>
    <x v="4"/>
    <x v="0"/>
    <x v="0"/>
    <x v="2"/>
    <n v="22"/>
    <x v="0"/>
    <n v="22"/>
    <m/>
    <n v="22"/>
    <n v="0"/>
    <m/>
    <x v="2"/>
    <x v="0"/>
    <x v="0"/>
    <n v="13333.333333333332"/>
    <n v="0"/>
    <m/>
  </r>
  <r>
    <x v="0"/>
    <x v="22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3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4"/>
    <x v="108"/>
    <x v="4"/>
    <x v="1"/>
    <x v="4"/>
    <x v="0"/>
    <x v="0"/>
    <x v="2"/>
    <n v="17"/>
    <x v="0"/>
    <n v="17"/>
    <m/>
    <n v="17"/>
    <n v="0"/>
    <m/>
    <x v="2"/>
    <x v="0"/>
    <x v="0"/>
    <n v="10303.030303030302"/>
    <n v="0"/>
    <m/>
  </r>
  <r>
    <x v="0"/>
    <x v="25"/>
    <x v="108"/>
    <x v="4"/>
    <x v="1"/>
    <x v="4"/>
    <x v="0"/>
    <x v="0"/>
    <x v="2"/>
    <n v="16"/>
    <x v="0"/>
    <n v="16"/>
    <m/>
    <n v="16"/>
    <n v="0"/>
    <m/>
    <x v="2"/>
    <x v="0"/>
    <x v="0"/>
    <n v="9696.9696969696961"/>
    <n v="0"/>
    <m/>
  </r>
  <r>
    <x v="0"/>
    <x v="26"/>
    <x v="108"/>
    <x v="4"/>
    <x v="1"/>
    <x v="4"/>
    <x v="0"/>
    <x v="0"/>
    <x v="2"/>
    <n v="16"/>
    <x v="0"/>
    <n v="16"/>
    <m/>
    <n v="16"/>
    <n v="0"/>
    <m/>
    <x v="2"/>
    <x v="0"/>
    <x v="0"/>
    <n v="9696.9696969696961"/>
    <n v="0"/>
    <m/>
  </r>
  <r>
    <x v="0"/>
    <x v="27"/>
    <x v="108"/>
    <x v="4"/>
    <x v="1"/>
    <x v="4"/>
    <x v="0"/>
    <x v="0"/>
    <x v="2"/>
    <n v="16"/>
    <x v="0"/>
    <n v="16"/>
    <m/>
    <n v="16"/>
    <n v="0"/>
    <m/>
    <x v="2"/>
    <x v="0"/>
    <x v="0"/>
    <n v="9696.9696969696961"/>
    <n v="0"/>
    <m/>
  </r>
  <r>
    <x v="0"/>
    <x v="28"/>
    <x v="108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29"/>
    <x v="91"/>
    <x v="4"/>
    <x v="1"/>
    <x v="4"/>
    <x v="0"/>
    <x v="0"/>
    <x v="2"/>
    <n v="11"/>
    <x v="0"/>
    <n v="11"/>
    <m/>
    <n v="11"/>
    <n v="0"/>
    <m/>
    <x v="2"/>
    <x v="0"/>
    <x v="0"/>
    <n v="6666.6666666666661"/>
    <n v="0"/>
    <m/>
  </r>
  <r>
    <x v="0"/>
    <x v="0"/>
    <x v="91"/>
    <x v="8"/>
    <x v="1"/>
    <x v="10"/>
    <x v="0"/>
    <x v="0"/>
    <x v="0"/>
    <n v="14"/>
    <x v="0"/>
    <m/>
    <m/>
    <n v="0"/>
    <n v="0"/>
    <m/>
    <x v="9"/>
    <x v="0"/>
    <x v="0"/>
    <n v="7636.3636363636369"/>
    <n v="0"/>
    <m/>
  </r>
  <r>
    <x v="0"/>
    <x v="1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3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4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5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6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7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8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9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0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1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2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3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4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5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6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7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8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19"/>
    <x v="91"/>
    <x v="8"/>
    <x v="1"/>
    <x v="10"/>
    <x v="0"/>
    <x v="0"/>
    <x v="2"/>
    <n v="22"/>
    <x v="0"/>
    <n v="22"/>
    <m/>
    <n v="22"/>
    <n v="0"/>
    <m/>
    <x v="9"/>
    <x v="0"/>
    <x v="0"/>
    <n v="12000"/>
    <n v="0"/>
    <m/>
  </r>
  <r>
    <x v="0"/>
    <x v="20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1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2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3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4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5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6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7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8"/>
    <x v="91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29"/>
    <x v="86"/>
    <x v="8"/>
    <x v="1"/>
    <x v="10"/>
    <x v="0"/>
    <x v="0"/>
    <x v="2"/>
    <n v="11"/>
    <x v="0"/>
    <n v="11"/>
    <m/>
    <n v="11"/>
    <n v="0"/>
    <m/>
    <x v="9"/>
    <x v="0"/>
    <x v="0"/>
    <n v="6000"/>
    <n v="0"/>
    <m/>
  </r>
  <r>
    <x v="0"/>
    <x v="0"/>
    <x v="86"/>
    <x v="1"/>
    <x v="1"/>
    <x v="15"/>
    <x v="0"/>
    <x v="6"/>
    <x v="0"/>
    <n v="11"/>
    <x v="0"/>
    <m/>
    <m/>
    <n v="0"/>
    <n v="0"/>
    <m/>
    <x v="12"/>
    <x v="0"/>
    <x v="0"/>
    <n v="6333.333333333333"/>
    <n v="0"/>
    <m/>
  </r>
  <r>
    <x v="0"/>
    <x v="1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3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4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5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6"/>
    <x v="86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7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8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9"/>
    <x v="86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10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1"/>
    <x v="86"/>
    <x v="1"/>
    <x v="1"/>
    <x v="15"/>
    <x v="0"/>
    <x v="0"/>
    <x v="2"/>
    <n v="17"/>
    <x v="0"/>
    <n v="17"/>
    <m/>
    <n v="17"/>
    <n v="0"/>
    <m/>
    <x v="12"/>
    <x v="0"/>
    <x v="0"/>
    <n v="9787.878787878788"/>
    <n v="0"/>
    <m/>
  </r>
  <r>
    <x v="0"/>
    <x v="12"/>
    <x v="8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13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4"/>
    <x v="86"/>
    <x v="1"/>
    <x v="1"/>
    <x v="15"/>
    <x v="0"/>
    <x v="0"/>
    <x v="2"/>
    <n v="15"/>
    <x v="0"/>
    <n v="15"/>
    <m/>
    <n v="15"/>
    <n v="0"/>
    <m/>
    <x v="12"/>
    <x v="0"/>
    <x v="0"/>
    <n v="8636.363636363636"/>
    <n v="0"/>
    <m/>
  </r>
  <r>
    <x v="0"/>
    <x v="15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6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7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8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19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0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1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2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3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4"/>
    <x v="8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25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6"/>
    <x v="86"/>
    <x v="1"/>
    <x v="1"/>
    <x v="15"/>
    <x v="0"/>
    <x v="0"/>
    <x v="2"/>
    <n v="22"/>
    <x v="0"/>
    <n v="22"/>
    <m/>
    <n v="22"/>
    <n v="0"/>
    <m/>
    <x v="12"/>
    <x v="0"/>
    <x v="0"/>
    <n v="12666.666666666666"/>
    <n v="0"/>
    <m/>
  </r>
  <r>
    <x v="0"/>
    <x v="27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8"/>
    <x v="86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29"/>
    <x v="35"/>
    <x v="1"/>
    <x v="1"/>
    <x v="15"/>
    <x v="0"/>
    <x v="0"/>
    <x v="2"/>
    <n v="11"/>
    <x v="0"/>
    <n v="11"/>
    <m/>
    <n v="11"/>
    <n v="0"/>
    <m/>
    <x v="12"/>
    <x v="0"/>
    <x v="0"/>
    <n v="6333.333333333333"/>
    <n v="0"/>
    <m/>
  </r>
  <r>
    <x v="0"/>
    <x v="0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35"/>
    <x v="1"/>
    <x v="1"/>
    <x v="9"/>
    <x v="0"/>
    <x v="7"/>
    <x v="2"/>
    <n v="11"/>
    <x v="0"/>
    <m/>
    <m/>
    <n v="0"/>
    <n v="0"/>
    <m/>
    <x v="15"/>
    <x v="0"/>
    <x v="0"/>
    <n v="5400"/>
    <n v="0"/>
    <m/>
  </r>
  <r>
    <x v="0"/>
    <x v="3"/>
    <x v="35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4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5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6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7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8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9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35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11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2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3"/>
    <x v="35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4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5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6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7"/>
    <x v="35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8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9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0"/>
    <x v="35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21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2"/>
    <x v="35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3"/>
    <x v="35"/>
    <x v="1"/>
    <x v="1"/>
    <x v="9"/>
    <x v="0"/>
    <x v="0"/>
    <x v="4"/>
    <n v="11"/>
    <x v="0"/>
    <n v="11"/>
    <m/>
    <n v="11"/>
    <n v="0"/>
    <m/>
    <x v="15"/>
    <x v="0"/>
    <x v="0"/>
    <n v="5400"/>
    <n v="0"/>
    <m/>
  </r>
  <r>
    <x v="0"/>
    <x v="24"/>
    <x v="35"/>
    <x v="1"/>
    <x v="1"/>
    <x v="9"/>
    <x v="0"/>
    <x v="0"/>
    <x v="4"/>
    <n v="11"/>
    <x v="0"/>
    <n v="11"/>
    <m/>
    <n v="11"/>
    <n v="0"/>
    <m/>
    <x v="15"/>
    <x v="0"/>
    <x v="0"/>
    <n v="5400"/>
    <n v="0"/>
    <m/>
  </r>
  <r>
    <x v="0"/>
    <x v="25"/>
    <x v="35"/>
    <x v="1"/>
    <x v="1"/>
    <x v="9"/>
    <x v="0"/>
    <x v="6"/>
    <x v="0"/>
    <n v="11"/>
    <x v="0"/>
    <m/>
    <m/>
    <n v="0"/>
    <n v="0"/>
    <m/>
    <x v="15"/>
    <x v="0"/>
    <x v="0"/>
    <n v="5400"/>
    <n v="0"/>
    <m/>
  </r>
  <r>
    <x v="0"/>
    <x v="26"/>
    <x v="35"/>
    <x v="1"/>
    <x v="1"/>
    <x v="9"/>
    <x v="0"/>
    <x v="0"/>
    <x v="4"/>
    <n v="11"/>
    <x v="0"/>
    <n v="11"/>
    <m/>
    <n v="11"/>
    <n v="0"/>
    <m/>
    <x v="15"/>
    <x v="0"/>
    <x v="0"/>
    <n v="5400"/>
    <n v="0"/>
    <m/>
  </r>
  <r>
    <x v="0"/>
    <x v="27"/>
    <x v="35"/>
    <x v="1"/>
    <x v="1"/>
    <x v="9"/>
    <x v="0"/>
    <x v="7"/>
    <x v="0"/>
    <n v="11"/>
    <x v="0"/>
    <m/>
    <m/>
    <n v="0"/>
    <n v="0"/>
    <m/>
    <x v="15"/>
    <x v="0"/>
    <x v="0"/>
    <n v="5400"/>
    <n v="0"/>
    <m/>
  </r>
  <r>
    <x v="0"/>
    <x v="28"/>
    <x v="35"/>
    <x v="1"/>
    <x v="1"/>
    <x v="9"/>
    <x v="0"/>
    <x v="7"/>
    <x v="0"/>
    <n v="11"/>
    <x v="0"/>
    <m/>
    <m/>
    <n v="0"/>
    <n v="0"/>
    <m/>
    <x v="15"/>
    <x v="0"/>
    <x v="0"/>
    <n v="5400"/>
    <n v="0"/>
    <m/>
  </r>
  <r>
    <x v="0"/>
    <x v="29"/>
    <x v="109"/>
    <x v="1"/>
    <x v="1"/>
    <x v="9"/>
    <x v="0"/>
    <x v="0"/>
    <x v="4"/>
    <n v="11"/>
    <x v="0"/>
    <n v="11"/>
    <m/>
    <n v="11"/>
    <n v="0"/>
    <m/>
    <x v="15"/>
    <x v="0"/>
    <x v="0"/>
    <n v="5400"/>
    <n v="0"/>
    <m/>
  </r>
  <r>
    <x v="0"/>
    <x v="0"/>
    <x v="109"/>
    <x v="1"/>
    <x v="1"/>
    <x v="9"/>
    <x v="0"/>
    <x v="0"/>
    <x v="2"/>
    <n v="11"/>
    <x v="1"/>
    <m/>
    <m/>
    <n v="0"/>
    <n v="0"/>
    <m/>
    <x v="15"/>
    <x v="2"/>
    <x v="0"/>
    <n v="5400"/>
    <n v="5000"/>
    <s v="с 20.03 по 23.03 Бованы-211"/>
  </r>
  <r>
    <x v="0"/>
    <x v="1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109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3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4"/>
    <x v="109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5"/>
    <x v="109"/>
    <x v="1"/>
    <x v="1"/>
    <x v="9"/>
    <x v="0"/>
    <x v="7"/>
    <x v="2"/>
    <n v="11"/>
    <x v="0"/>
    <m/>
    <m/>
    <n v="0"/>
    <n v="0"/>
    <m/>
    <x v="15"/>
    <x v="0"/>
    <x v="0"/>
    <n v="5400"/>
    <n v="0"/>
    <m/>
  </r>
  <r>
    <x v="0"/>
    <x v="6"/>
    <x v="109"/>
    <x v="1"/>
    <x v="1"/>
    <x v="9"/>
    <x v="0"/>
    <x v="7"/>
    <x v="2"/>
    <n v="11"/>
    <x v="0"/>
    <m/>
    <m/>
    <n v="0"/>
    <n v="0"/>
    <m/>
    <x v="15"/>
    <x v="0"/>
    <x v="0"/>
    <n v="5400"/>
    <n v="0"/>
    <m/>
  </r>
  <r>
    <x v="0"/>
    <x v="7"/>
    <x v="109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8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9"/>
    <x v="109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1"/>
    <x v="109"/>
    <x v="1"/>
    <x v="1"/>
    <x v="9"/>
    <x v="0"/>
    <x v="7"/>
    <x v="2"/>
    <n v="11"/>
    <x v="0"/>
    <m/>
    <m/>
    <n v="0"/>
    <n v="0"/>
    <m/>
    <x v="15"/>
    <x v="0"/>
    <x v="0"/>
    <n v="5400"/>
    <n v="0"/>
    <m/>
  </r>
  <r>
    <x v="0"/>
    <x v="12"/>
    <x v="109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3"/>
    <x v="109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4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5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6"/>
    <x v="109"/>
    <x v="1"/>
    <x v="1"/>
    <x v="9"/>
    <x v="0"/>
    <x v="0"/>
    <x v="2"/>
    <n v="11"/>
    <x v="1"/>
    <m/>
    <m/>
    <n v="0"/>
    <n v="0"/>
    <m/>
    <x v="15"/>
    <x v="2"/>
    <x v="0"/>
    <n v="5400"/>
    <n v="5000"/>
    <m/>
  </r>
  <r>
    <x v="0"/>
    <x v="17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8"/>
    <x v="109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9"/>
    <x v="109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0"/>
    <x v="109"/>
    <x v="1"/>
    <x v="0"/>
    <x v="9"/>
    <x v="0"/>
    <x v="0"/>
    <x v="0"/>
    <n v="11"/>
    <x v="0"/>
    <m/>
    <m/>
    <n v="0"/>
    <n v="0"/>
    <m/>
    <x v="4"/>
    <x v="0"/>
    <x v="0"/>
    <n v="4500"/>
    <n v="0"/>
    <m/>
  </r>
  <r>
    <x v="0"/>
    <x v="21"/>
    <x v="109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2"/>
    <x v="109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3"/>
    <x v="109"/>
    <x v="1"/>
    <x v="0"/>
    <x v="9"/>
    <x v="0"/>
    <x v="6"/>
    <x v="0"/>
    <n v="11"/>
    <x v="0"/>
    <m/>
    <m/>
    <n v="0"/>
    <n v="0"/>
    <m/>
    <x v="4"/>
    <x v="0"/>
    <x v="0"/>
    <n v="4500"/>
    <n v="0"/>
    <m/>
  </r>
  <r>
    <x v="0"/>
    <x v="24"/>
    <x v="109"/>
    <x v="1"/>
    <x v="0"/>
    <x v="9"/>
    <x v="0"/>
    <x v="6"/>
    <x v="0"/>
    <n v="11"/>
    <x v="0"/>
    <m/>
    <m/>
    <n v="0"/>
    <n v="0"/>
    <m/>
    <x v="4"/>
    <x v="0"/>
    <x v="0"/>
    <n v="4500"/>
    <n v="0"/>
    <m/>
  </r>
  <r>
    <x v="0"/>
    <x v="25"/>
    <x v="109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6"/>
    <x v="109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7"/>
    <x v="109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28"/>
    <x v="109"/>
    <x v="1"/>
    <x v="0"/>
    <x v="9"/>
    <x v="0"/>
    <x v="0"/>
    <x v="3"/>
    <n v="22"/>
    <x v="0"/>
    <n v="22"/>
    <m/>
    <n v="22"/>
    <n v="0"/>
    <m/>
    <x v="4"/>
    <x v="0"/>
    <x v="0"/>
    <n v="9000"/>
    <n v="0"/>
    <m/>
  </r>
  <r>
    <x v="0"/>
    <x v="29"/>
    <x v="110"/>
    <x v="1"/>
    <x v="0"/>
    <x v="9"/>
    <x v="0"/>
    <x v="0"/>
    <x v="3"/>
    <n v="11"/>
    <x v="0"/>
    <n v="11"/>
    <m/>
    <n v="11"/>
    <n v="0"/>
    <m/>
    <x v="4"/>
    <x v="0"/>
    <x v="0"/>
    <n v="4500"/>
    <n v="0"/>
    <m/>
  </r>
  <r>
    <x v="0"/>
    <x v="0"/>
    <x v="110"/>
    <x v="1"/>
    <x v="1"/>
    <x v="9"/>
    <x v="0"/>
    <x v="0"/>
    <x v="2"/>
    <n v="11"/>
    <x v="1"/>
    <m/>
    <m/>
    <n v="0"/>
    <n v="0"/>
    <m/>
    <x v="15"/>
    <x v="2"/>
    <x v="0"/>
    <n v="5400"/>
    <n v="5000"/>
    <s v="2 точки выгрузки"/>
  </r>
  <r>
    <x v="0"/>
    <x v="1"/>
    <x v="11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2"/>
    <x v="110"/>
    <x v="1"/>
    <x v="1"/>
    <x v="9"/>
    <x v="0"/>
    <x v="0"/>
    <x v="2"/>
    <n v="22"/>
    <x v="1"/>
    <m/>
    <m/>
    <n v="0"/>
    <n v="0"/>
    <m/>
    <x v="15"/>
    <x v="3"/>
    <x v="0"/>
    <n v="10800"/>
    <n v="2000"/>
    <m/>
  </r>
  <r>
    <x v="0"/>
    <x v="3"/>
    <x v="110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4"/>
    <x v="110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5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6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7"/>
    <x v="110"/>
    <x v="1"/>
    <x v="1"/>
    <x v="9"/>
    <x v="0"/>
    <x v="0"/>
    <x v="2"/>
    <n v="11"/>
    <x v="1"/>
    <m/>
    <m/>
    <n v="0"/>
    <n v="0"/>
    <m/>
    <x v="15"/>
    <x v="3"/>
    <x v="0"/>
    <n v="5400"/>
    <n v="2000"/>
    <m/>
  </r>
  <r>
    <x v="0"/>
    <x v="8"/>
    <x v="110"/>
    <x v="1"/>
    <x v="1"/>
    <x v="9"/>
    <x v="0"/>
    <x v="0"/>
    <x v="2"/>
    <n v="22"/>
    <x v="2"/>
    <m/>
    <m/>
    <n v="0"/>
    <n v="0"/>
    <m/>
    <x v="15"/>
    <x v="3"/>
    <x v="0"/>
    <n v="10800"/>
    <n v="4000"/>
    <m/>
  </r>
  <r>
    <x v="0"/>
    <x v="9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0"/>
    <x v="110"/>
    <x v="1"/>
    <x v="1"/>
    <x v="9"/>
    <x v="0"/>
    <x v="0"/>
    <x v="2"/>
    <n v="22"/>
    <x v="0"/>
    <m/>
    <m/>
    <n v="0"/>
    <n v="0"/>
    <m/>
    <x v="15"/>
    <x v="0"/>
    <x v="0"/>
    <n v="10800"/>
    <n v="0"/>
    <m/>
  </r>
  <r>
    <x v="0"/>
    <x v="11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2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3"/>
    <x v="110"/>
    <x v="1"/>
    <x v="1"/>
    <x v="9"/>
    <x v="0"/>
    <x v="0"/>
    <x v="2"/>
    <n v="11"/>
    <x v="0"/>
    <m/>
    <m/>
    <n v="0"/>
    <n v="0"/>
    <m/>
    <x v="15"/>
    <x v="0"/>
    <x v="0"/>
    <n v="5400"/>
    <n v="0"/>
    <m/>
  </r>
  <r>
    <x v="0"/>
    <x v="14"/>
    <x v="110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15"/>
    <x v="110"/>
    <x v="1"/>
    <x v="1"/>
    <x v="9"/>
    <x v="0"/>
    <x v="1"/>
    <x v="0"/>
    <n v="8"/>
    <x v="0"/>
    <m/>
    <m/>
    <n v="0"/>
    <n v="0"/>
    <m/>
    <x v="15"/>
    <x v="0"/>
    <x v="0"/>
    <n v="0"/>
    <n v="0"/>
    <m/>
  </r>
  <r>
    <x v="0"/>
    <x v="16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7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8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19"/>
    <x v="110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0"/>
    <x v="110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1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2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3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4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5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6"/>
    <x v="110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7"/>
    <x v="110"/>
    <x v="1"/>
    <x v="1"/>
    <x v="9"/>
    <x v="0"/>
    <x v="3"/>
    <x v="0"/>
    <n v="1"/>
    <x v="0"/>
    <m/>
    <m/>
    <n v="0"/>
    <n v="0"/>
    <m/>
    <x v="15"/>
    <x v="0"/>
    <x v="0"/>
    <n v="0"/>
    <n v="0"/>
    <m/>
  </r>
  <r>
    <x v="0"/>
    <x v="28"/>
    <x v="110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29"/>
    <x v="111"/>
    <x v="1"/>
    <x v="1"/>
    <x v="9"/>
    <x v="0"/>
    <x v="2"/>
    <x v="0"/>
    <n v="8"/>
    <x v="0"/>
    <m/>
    <m/>
    <n v="0"/>
    <n v="0"/>
    <m/>
    <x v="15"/>
    <x v="0"/>
    <x v="0"/>
    <n v="0"/>
    <n v="0"/>
    <m/>
  </r>
  <r>
    <x v="0"/>
    <x v="0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1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2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3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4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5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6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7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8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9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10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1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12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3"/>
    <x v="111"/>
    <x v="4"/>
    <x v="2"/>
    <x v="4"/>
    <x v="0"/>
    <x v="0"/>
    <x v="4"/>
    <n v="22"/>
    <x v="0"/>
    <n v="22"/>
    <m/>
    <n v="22"/>
    <n v="0"/>
    <m/>
    <x v="5"/>
    <x v="0"/>
    <x v="0"/>
    <n v="10666.666666666668"/>
    <n v="0"/>
    <s v="2 путевка на Седлецкого"/>
  </r>
  <r>
    <x v="0"/>
    <x v="14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5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6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7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8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19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0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1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2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3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4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5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6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7"/>
    <x v="111"/>
    <x v="4"/>
    <x v="2"/>
    <x v="4"/>
    <x v="0"/>
    <x v="0"/>
    <x v="4"/>
    <n v="11"/>
    <x v="0"/>
    <n v="11"/>
    <m/>
    <n v="11"/>
    <n v="0"/>
    <m/>
    <x v="5"/>
    <x v="0"/>
    <x v="0"/>
    <n v="5333.3333333333339"/>
    <n v="0"/>
    <m/>
  </r>
  <r>
    <x v="0"/>
    <x v="28"/>
    <x v="111"/>
    <x v="4"/>
    <x v="2"/>
    <x v="4"/>
    <x v="0"/>
    <x v="1"/>
    <x v="0"/>
    <n v="8"/>
    <x v="0"/>
    <m/>
    <m/>
    <n v="0"/>
    <n v="0"/>
    <m/>
    <x v="5"/>
    <x v="0"/>
    <x v="0"/>
    <n v="0"/>
    <n v="0"/>
    <m/>
  </r>
  <r>
    <x v="0"/>
    <x v="29"/>
    <x v="111"/>
    <x v="4"/>
    <x v="2"/>
    <x v="4"/>
    <x v="0"/>
    <x v="1"/>
    <x v="0"/>
    <n v="8"/>
    <x v="0"/>
    <m/>
    <m/>
    <n v="0"/>
    <n v="0"/>
    <m/>
    <x v="5"/>
    <x v="0"/>
    <x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2FDBF-35EA-482A-B790-C7C3FCD5F48C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multipleFieldFilters="0">
  <location ref="A3:E41" firstHeaderRow="1" firstDataRow="1" firstDataCol="4"/>
  <pivotFields count="22">
    <pivotField compact="0" outline="0" showAll="0" defaultSubtotal="0"/>
    <pivotField compact="0" outline="0" showAll="0" defaultSubtotal="0"/>
    <pivotField axis="axisRow" compact="0" outline="0" subtotalTop="0" showAll="0" defaultSubtotal="0">
      <items count="112">
        <item x="5"/>
        <item x="98"/>
        <item x="26"/>
        <item x="13"/>
        <item x="27"/>
        <item x="109"/>
        <item x="11"/>
        <item x="42"/>
        <item x="3"/>
        <item x="16"/>
        <item x="69"/>
        <item x="28"/>
        <item x="73"/>
        <item x="89"/>
        <item x="90"/>
        <item x="86"/>
        <item x="94"/>
        <item x="29"/>
        <item x="77"/>
        <item x="80"/>
        <item x="81"/>
        <item x="92"/>
        <item x="110"/>
        <item x="10"/>
        <item x="99"/>
        <item x="82"/>
        <item x="30"/>
        <item x="100"/>
        <item x="1"/>
        <item x="31"/>
        <item x="32"/>
        <item x="83"/>
        <item x="96"/>
        <item x="59"/>
        <item x="97"/>
        <item x="88"/>
        <item x="101"/>
        <item x="17"/>
        <item x="33"/>
        <item x="61"/>
        <item x="8"/>
        <item x="102"/>
        <item x="62"/>
        <item x="19"/>
        <item x="34"/>
        <item x="35"/>
        <item x="12"/>
        <item x="36"/>
        <item x="37"/>
        <item x="58"/>
        <item x="18"/>
        <item x="38"/>
        <item x="60"/>
        <item x="111"/>
        <item x="85"/>
        <item x="39"/>
        <item x="40"/>
        <item x="41"/>
        <item x="95"/>
        <item x="43"/>
        <item x="44"/>
        <item x="20"/>
        <item x="103"/>
        <item x="91"/>
        <item x="45"/>
        <item x="21"/>
        <item x="0"/>
        <item x="46"/>
        <item x="4"/>
        <item x="47"/>
        <item x="14"/>
        <item x="48"/>
        <item x="50"/>
        <item x="84"/>
        <item x="49"/>
        <item x="79"/>
        <item x="104"/>
        <item x="51"/>
        <item x="52"/>
        <item x="2"/>
        <item x="6"/>
        <item x="53"/>
        <item x="63"/>
        <item x="87"/>
        <item x="7"/>
        <item x="65"/>
        <item x="105"/>
        <item x="93"/>
        <item x="106"/>
        <item x="74"/>
        <item x="107"/>
        <item x="71"/>
        <item x="72"/>
        <item x="64"/>
        <item x="66"/>
        <item x="24"/>
        <item x="23"/>
        <item x="70"/>
        <item x="108"/>
        <item x="76"/>
        <item x="75"/>
        <item x="68"/>
        <item x="15"/>
        <item x="67"/>
        <item x="25"/>
        <item x="54"/>
        <item x="55"/>
        <item x="56"/>
        <item x="78"/>
        <item x="57"/>
        <item x="9"/>
        <item x="22"/>
      </items>
    </pivotField>
    <pivotField axis="axisRow" compact="0" outline="0" multipleItemSelectionAllowed="1" showAll="0" defaultSubtotal="0">
      <items count="15">
        <item x="11"/>
        <item x="13"/>
        <item x="1"/>
        <item x="2"/>
        <item x="14"/>
        <item x="4"/>
        <item x="6"/>
        <item x="9"/>
        <item x="8"/>
        <item x="7"/>
        <item x="10"/>
        <item x="0"/>
        <item x="5"/>
        <item x="3"/>
        <item x="12"/>
      </items>
    </pivotField>
    <pivotField axis="axisRow" compact="0" outline="0" showAll="0" defaultSubtotal="0">
      <items count="3">
        <item x="0"/>
        <item h="1" x="1"/>
        <item h="1" x="2"/>
      </items>
    </pivotField>
    <pivotField axis="axisRow" compact="0" outline="0" showAll="0" defaultSubtotal="0">
      <items count="23">
        <item x="4"/>
        <item x="16"/>
        <item x="11"/>
        <item x="19"/>
        <item x="8"/>
        <item x="6"/>
        <item x="15"/>
        <item x="2"/>
        <item x="12"/>
        <item x="22"/>
        <item x="20"/>
        <item x="14"/>
        <item x="0"/>
        <item x="10"/>
        <item x="7"/>
        <item x="5"/>
        <item x="17"/>
        <item x="3"/>
        <item x="9"/>
        <item x="13"/>
        <item x="21"/>
        <item x="1"/>
        <item x="18"/>
      </items>
    </pivotField>
    <pivotField compact="0" outline="0" showAll="0" defaultSubtotal="0"/>
    <pivotField compact="0" outline="0" showAll="0" defaultSubtotal="0">
      <items count="13">
        <item x="7"/>
        <item x="1"/>
        <item x="3"/>
        <item x="5"/>
        <item x="2"/>
        <item x="0"/>
        <item x="6"/>
        <item x="4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</pivotFields>
  <rowFields count="4">
    <field x="4"/>
    <field x="5"/>
    <field x="3"/>
    <field x="2"/>
  </rowFields>
  <rowItems count="38">
    <i>
      <x/>
      <x/>
      <x v="5"/>
      <x v="3"/>
    </i>
    <i r="3">
      <x v="23"/>
    </i>
    <i r="3">
      <x v="70"/>
    </i>
    <i r="3">
      <x v="96"/>
    </i>
    <i r="3">
      <x v="102"/>
    </i>
    <i r="3">
      <x v="110"/>
    </i>
    <i r="3">
      <x v="111"/>
    </i>
    <i r="1">
      <x v="12"/>
      <x v="4"/>
      <x v="35"/>
    </i>
    <i r="3">
      <x v="83"/>
    </i>
    <i r="2">
      <x v="11"/>
      <x v="28"/>
    </i>
    <i r="3">
      <x v="37"/>
    </i>
    <i r="3">
      <x v="66"/>
    </i>
    <i r="1">
      <x v="15"/>
      <x v="12"/>
      <x v="6"/>
    </i>
    <i r="3">
      <x v="23"/>
    </i>
    <i r="3">
      <x v="95"/>
    </i>
    <i r="3">
      <x v="104"/>
    </i>
    <i r="1">
      <x v="17"/>
      <x v="13"/>
      <x/>
    </i>
    <i r="3">
      <x v="9"/>
    </i>
    <i r="3">
      <x v="40"/>
    </i>
    <i r="3">
      <x v="43"/>
    </i>
    <i r="3">
      <x v="50"/>
    </i>
    <i r="3">
      <x v="61"/>
    </i>
    <i r="3">
      <x v="80"/>
    </i>
    <i r="3">
      <x v="84"/>
    </i>
    <i r="3">
      <x v="95"/>
    </i>
    <i r="3">
      <x v="96"/>
    </i>
    <i r="3">
      <x v="102"/>
    </i>
    <i r="3">
      <x v="110"/>
    </i>
    <i r="1">
      <x v="18"/>
      <x v="2"/>
      <x v="5"/>
    </i>
    <i r="3">
      <x v="9"/>
    </i>
    <i r="3">
      <x v="12"/>
    </i>
    <i r="3">
      <x v="22"/>
    </i>
    <i r="3">
      <x v="37"/>
    </i>
    <i r="3">
      <x v="89"/>
    </i>
    <i r="1">
      <x v="21"/>
      <x v="2"/>
      <x v="8"/>
    </i>
    <i r="3">
      <x v="68"/>
    </i>
    <i r="3">
      <x v="79"/>
    </i>
    <i t="grand">
      <x/>
    </i>
  </rowItems>
  <colItems count="1">
    <i/>
  </colItems>
  <dataFields count="1">
    <dataField name="Сумма по полю Часов в табеле" fld="9" baseField="0" baseItem="0"/>
  </dataFields>
  <formats count="11">
    <format dxfId="0">
      <pivotArea field="4" type="button" dataOnly="0" labelOnly="1" outline="0" axis="axisRow" fieldPosition="0"/>
    </format>
    <format dxfId="1">
      <pivotArea field="7" type="button" dataOnly="0" labelOnly="1" outline="0"/>
    </format>
    <format dxfId="2">
      <pivotArea dataOnly="0" labelOnly="1" outline="0" axis="axisValues" fieldPosition="0"/>
    </format>
    <format dxfId="3">
      <pivotArea field="4" type="button" dataOnly="0" labelOnly="1" outline="0" axis="axisRow" fieldPosition="0"/>
    </format>
    <format dxfId="4">
      <pivotArea field="7" type="button" dataOnly="0" labelOnly="1" outline="0"/>
    </format>
    <format dxfId="5">
      <pivotArea dataOnly="0" labelOnly="1" outline="0" axis="axisValues" fieldPosition="0"/>
    </format>
    <format dxfId="6">
      <pivotArea field="4" type="button" dataOnly="0" labelOnly="1" outline="0" axis="axisRow" fieldPosition="0"/>
    </format>
    <format dxfId="7">
      <pivotArea field="7" type="button" dataOnly="0" labelOnly="1" outline="0"/>
    </format>
    <format dxfId="8">
      <pivotArea dataOnly="0" labelOnly="1" outline="0" axis="axisValues" fieldPosition="0"/>
    </format>
    <format dxfId="9">
      <pivotArea dataOnly="0" labelOnly="1" grandCol="1" outline="0" fieldPosition="0"/>
    </format>
    <format dxfId="10">
      <pivotArea dataOnly="0" labelOnly="1" grandCol="1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6DFFC-3E0A-47E6-9D01-EDE9B94F42EF}" name="Сводная таблица2" cacheId="6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1:E67" firstHeaderRow="0" firstDataRow="1" firstDataCol="1"/>
  <pivotFields count="22">
    <pivotField showAll="0"/>
    <pivotField showAll="0"/>
    <pivotField showAll="0">
      <items count="113">
        <item x="5"/>
        <item x="98"/>
        <item x="26"/>
        <item x="13"/>
        <item x="27"/>
        <item x="109"/>
        <item x="11"/>
        <item x="42"/>
        <item x="3"/>
        <item x="16"/>
        <item x="69"/>
        <item x="28"/>
        <item x="73"/>
        <item x="89"/>
        <item x="90"/>
        <item x="86"/>
        <item x="94"/>
        <item x="29"/>
        <item x="77"/>
        <item x="80"/>
        <item x="81"/>
        <item x="92"/>
        <item x="110"/>
        <item x="10"/>
        <item x="99"/>
        <item x="82"/>
        <item x="30"/>
        <item x="100"/>
        <item x="1"/>
        <item x="31"/>
        <item x="32"/>
        <item x="83"/>
        <item x="96"/>
        <item x="59"/>
        <item x="97"/>
        <item x="88"/>
        <item x="101"/>
        <item x="17"/>
        <item x="33"/>
        <item x="61"/>
        <item x="8"/>
        <item x="102"/>
        <item x="62"/>
        <item x="19"/>
        <item x="34"/>
        <item x="35"/>
        <item x="12"/>
        <item x="36"/>
        <item x="37"/>
        <item x="58"/>
        <item x="18"/>
        <item x="38"/>
        <item x="60"/>
        <item x="111"/>
        <item x="85"/>
        <item x="39"/>
        <item x="40"/>
        <item x="41"/>
        <item x="95"/>
        <item x="43"/>
        <item x="44"/>
        <item x="20"/>
        <item x="103"/>
        <item x="91"/>
        <item x="45"/>
        <item x="21"/>
        <item x="0"/>
        <item x="46"/>
        <item x="4"/>
        <item x="47"/>
        <item x="14"/>
        <item x="48"/>
        <item x="50"/>
        <item x="84"/>
        <item x="49"/>
        <item x="79"/>
        <item x="104"/>
        <item x="51"/>
        <item x="52"/>
        <item x="2"/>
        <item x="6"/>
        <item x="53"/>
        <item x="63"/>
        <item x="87"/>
        <item x="7"/>
        <item x="65"/>
        <item x="105"/>
        <item x="93"/>
        <item x="106"/>
        <item x="74"/>
        <item x="107"/>
        <item x="71"/>
        <item x="72"/>
        <item x="64"/>
        <item x="66"/>
        <item x="24"/>
        <item x="23"/>
        <item x="70"/>
        <item x="108"/>
        <item x="76"/>
        <item x="75"/>
        <item x="68"/>
        <item x="15"/>
        <item x="67"/>
        <item x="25"/>
        <item x="54"/>
        <item x="55"/>
        <item x="56"/>
        <item x="78"/>
        <item x="57"/>
        <item x="9"/>
        <item x="2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14">
        <item x="7"/>
        <item x="8"/>
        <item x="1"/>
        <item x="3"/>
        <item x="5"/>
        <item x="2"/>
        <item x="9"/>
        <item x="10"/>
        <item x="12"/>
        <item x="11"/>
        <item x="0"/>
        <item x="6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showAll="0"/>
    <pivotField showAll="0"/>
  </pivotFields>
  <rowFields count="2">
    <field x="4"/>
    <field x="7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Часов в табеле" fld="9" baseField="0" baseItem="0"/>
    <dataField name="Сумма по полю ТТН" fld="10" baseField="0" baseItem="0"/>
    <dataField name="Сумма по полю ЗП за часы" fld="19" baseField="0" baseItem="0" numFmtId="3"/>
    <dataField name="Сумма по полю Сумма за ТТН" fld="20" baseField="0" baseItem="0"/>
  </dataFields>
  <formats count="7">
    <format dxfId="213">
      <pivotArea field="4" type="button" dataOnly="0" labelOnly="1" outline="0" axis="axisRow" fieldPosition="0"/>
    </format>
    <format dxfId="2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1">
      <pivotArea field="4" type="button" dataOnly="0" labelOnly="1" outline="0" axis="axisRow" fieldPosition="0"/>
    </format>
    <format dxfId="2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9">
      <pivotArea field="4" type="button" dataOnly="0" labelOnly="1" outline="0" axis="axisRow" fieldPosition="0"/>
    </format>
    <format dxfId="2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7">
      <pivotArea dataOnly="0" outline="0" fieldPosition="0">
        <references count="1">
          <reference field="4294967294" count="2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FA3D2-DD79-4554-B164-92C4A939E28B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3:AI26" firstHeaderRow="1" firstDataRow="2" firstDataCol="4"/>
  <pivotFields count="22">
    <pivotField compact="0" outline="0" showAll="0" defaultSubtotal="0">
      <items count="2">
        <item x="0"/>
        <item x="1"/>
      </items>
    </pivotField>
    <pivotField axis="axisCol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defaultSubtotal="0">
      <items count="112">
        <item x="5"/>
        <item x="98"/>
        <item x="26"/>
        <item x="13"/>
        <item x="27"/>
        <item x="109"/>
        <item x="11"/>
        <item x="42"/>
        <item x="3"/>
        <item x="16"/>
        <item x="69"/>
        <item x="28"/>
        <item x="73"/>
        <item x="89"/>
        <item x="90"/>
        <item x="86"/>
        <item x="94"/>
        <item x="29"/>
        <item x="77"/>
        <item x="80"/>
        <item x="81"/>
        <item x="92"/>
        <item x="110"/>
        <item x="10"/>
        <item x="99"/>
        <item x="82"/>
        <item x="30"/>
        <item x="100"/>
        <item x="1"/>
        <item x="31"/>
        <item x="32"/>
        <item x="83"/>
        <item x="96"/>
        <item x="59"/>
        <item x="97"/>
        <item x="88"/>
        <item x="101"/>
        <item x="17"/>
        <item x="33"/>
        <item x="61"/>
        <item x="8"/>
        <item x="102"/>
        <item x="62"/>
        <item x="19"/>
        <item x="34"/>
        <item x="35"/>
        <item x="12"/>
        <item x="36"/>
        <item x="37"/>
        <item x="58"/>
        <item x="18"/>
        <item x="38"/>
        <item x="60"/>
        <item x="111"/>
        <item x="85"/>
        <item x="39"/>
        <item x="40"/>
        <item x="41"/>
        <item x="95"/>
        <item x="43"/>
        <item x="44"/>
        <item x="20"/>
        <item x="103"/>
        <item x="91"/>
        <item x="45"/>
        <item x="21"/>
        <item x="0"/>
        <item x="46"/>
        <item x="4"/>
        <item x="47"/>
        <item x="14"/>
        <item x="48"/>
        <item x="50"/>
        <item x="84"/>
        <item x="49"/>
        <item x="79"/>
        <item x="104"/>
        <item x="51"/>
        <item x="52"/>
        <item x="2"/>
        <item x="6"/>
        <item x="53"/>
        <item x="63"/>
        <item x="87"/>
        <item x="7"/>
        <item x="65"/>
        <item x="105"/>
        <item x="93"/>
        <item x="106"/>
        <item x="74"/>
        <item x="107"/>
        <item x="71"/>
        <item x="72"/>
        <item x="64"/>
        <item x="66"/>
        <item x="24"/>
        <item x="23"/>
        <item x="70"/>
        <item x="108"/>
        <item x="76"/>
        <item x="75"/>
        <item x="68"/>
        <item x="15"/>
        <item x="67"/>
        <item x="25"/>
        <item x="54"/>
        <item x="55"/>
        <item x="56"/>
        <item x="78"/>
        <item x="57"/>
        <item x="9"/>
        <item x="22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23">
        <item h="1" x="4"/>
        <item h="1" x="16"/>
        <item h="1" x="11"/>
        <item h="1" x="19"/>
        <item h="1" x="8"/>
        <item h="1" x="6"/>
        <item h="1" x="15"/>
        <item h="1" x="2"/>
        <item h="1" x="12"/>
        <item h="1" x="22"/>
        <item h="1" x="14"/>
        <item h="1" x="0"/>
        <item h="1" x="10"/>
        <item h="1" x="7"/>
        <item h="1" x="5"/>
        <item h="1" x="3"/>
        <item x="9"/>
        <item h="1" x="13"/>
        <item h="1" x="1"/>
        <item h="1" x="18"/>
        <item h="1" x="21"/>
        <item h="1" x="20"/>
        <item h="1" x="17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3">
        <item x="7"/>
        <item x="1"/>
        <item x="3"/>
        <item x="2"/>
        <item x="0"/>
        <item x="6"/>
        <item x="4"/>
        <item x="5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4"/>
    <field x="7"/>
    <field x="5"/>
    <field x="6"/>
  </rowFields>
  <rowItems count="22">
    <i>
      <x/>
      <x/>
      <x v="16"/>
      <x/>
    </i>
    <i r="1">
      <x v="1"/>
      <x v="16"/>
      <x/>
    </i>
    <i r="1">
      <x v="2"/>
      <x v="16"/>
      <x/>
    </i>
    <i r="1">
      <x v="3"/>
      <x v="16"/>
      <x/>
    </i>
    <i r="1">
      <x v="4"/>
      <x v="16"/>
      <x/>
    </i>
    <i r="1">
      <x v="5"/>
      <x v="16"/>
      <x/>
    </i>
    <i r="1">
      <x v="12"/>
      <x v="16"/>
      <x/>
    </i>
    <i>
      <x v="1"/>
      <x/>
      <x v="16"/>
      <x/>
    </i>
    <i r="1">
      <x v="1"/>
      <x v="16"/>
      <x/>
    </i>
    <i r="1">
      <x v="2"/>
      <x v="16"/>
      <x/>
    </i>
    <i r="1">
      <x v="3"/>
      <x v="16"/>
      <x/>
    </i>
    <i r="1">
      <x v="4"/>
      <x v="16"/>
      <x/>
    </i>
    <i r="1">
      <x v="5"/>
      <x v="16"/>
      <x/>
    </i>
    <i r="1">
      <x v="9"/>
      <x v="16"/>
      <x/>
    </i>
    <i>
      <x v="2"/>
      <x/>
      <x v="16"/>
      <x/>
    </i>
    <i r="1">
      <x v="1"/>
      <x v="16"/>
      <x/>
    </i>
    <i r="1">
      <x v="2"/>
      <x v="16"/>
      <x/>
    </i>
    <i r="1">
      <x v="3"/>
      <x v="16"/>
      <x/>
    </i>
    <i r="1">
      <x v="4"/>
      <x v="16"/>
      <x/>
    </i>
    <i r="1">
      <x v="5"/>
      <x v="16"/>
      <x/>
    </i>
    <i r="1">
      <x v="7"/>
      <x v="16"/>
      <x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Сумма по полю Часов в табеле" fld="9" baseField="0" baseItem="0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D4D5A-91B7-48D2-948A-43AC6C4E8748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3:AJ137" firstHeaderRow="1" firstDataRow="2" firstDataCol="5" rowPageCount="1" colPageCount="1"/>
  <pivotFields count="22">
    <pivotField compact="0" outline="0" showAll="0" defaultSubtotal="0"/>
    <pivotField axis="axisCol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defaultSubtotal="0"/>
    <pivotField axis="axisRow" compact="0" outline="0" showAll="0" defaultSubtotal="0">
      <items count="1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2"/>
      </items>
    </pivotField>
    <pivotField axis="axisPage" compact="0" outline="0" subtotalTop="0" showAll="0" defaultSubtotal="0">
      <items count="3">
        <item x="0"/>
        <item x="1"/>
        <item x="2"/>
      </items>
    </pivotField>
    <pivotField axis="axisRow" compact="0" outline="0" showAll="0" defaultSubtotal="0">
      <items count="23">
        <item x="1"/>
        <item x="18"/>
        <item x="4"/>
        <item x="6"/>
        <item x="7"/>
        <item x="8"/>
        <item x="10"/>
        <item x="12"/>
        <item x="0"/>
        <item x="2"/>
        <item x="3"/>
        <item x="5"/>
        <item x="9"/>
        <item x="11"/>
        <item x="14"/>
        <item x="16"/>
        <item x="15"/>
        <item x="13"/>
        <item x="19"/>
        <item x="22"/>
        <item x="21"/>
        <item x="20"/>
        <item x="17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3">
        <item x="0"/>
        <item x="4"/>
        <item x="1"/>
        <item x="6"/>
        <item x="2"/>
        <item x="3"/>
        <item x="7"/>
        <item x="5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</pivotFields>
  <rowFields count="5">
    <field x="18"/>
    <field x="3"/>
    <field x="5"/>
    <field x="6"/>
    <field x="7"/>
  </rowFields>
  <rowItems count="133">
    <i>
      <x/>
      <x/>
      <x/>
      <x/>
      <x/>
    </i>
    <i r="4">
      <x v="1"/>
    </i>
    <i r="4">
      <x v="2"/>
    </i>
    <i r="4">
      <x v="3"/>
    </i>
    <i r="4">
      <x v="4"/>
    </i>
    <i r="4">
      <x v="5"/>
    </i>
    <i r="4">
      <x v="7"/>
    </i>
    <i r="2">
      <x v="1"/>
      <x/>
      <x v="9"/>
    </i>
    <i r="2">
      <x v="4"/>
      <x/>
      <x/>
    </i>
    <i r="4">
      <x v="3"/>
    </i>
    <i r="2">
      <x v="5"/>
      <x/>
      <x/>
    </i>
    <i r="4">
      <x v="3"/>
    </i>
    <i r="4">
      <x v="6"/>
    </i>
    <i r="4">
      <x v="9"/>
    </i>
    <i r="2">
      <x v="7"/>
      <x/>
      <x/>
    </i>
    <i r="4">
      <x v="2"/>
    </i>
    <i r="4">
      <x v="3"/>
    </i>
    <i r="4">
      <x v="10"/>
    </i>
    <i r="4">
      <x v="12"/>
    </i>
    <i r="2">
      <x v="12"/>
      <x/>
      <x/>
    </i>
    <i r="4">
      <x v="2"/>
    </i>
    <i r="4">
      <x v="3"/>
    </i>
    <i r="4">
      <x v="4"/>
    </i>
    <i r="4">
      <x v="5"/>
    </i>
    <i r="4">
      <x v="6"/>
    </i>
    <i r="4">
      <x v="7"/>
    </i>
    <i r="4">
      <x v="9"/>
    </i>
    <i r="4">
      <x v="12"/>
    </i>
    <i r="2">
      <x v="13"/>
      <x/>
      <x/>
    </i>
    <i r="4">
      <x v="2"/>
    </i>
    <i r="4">
      <x v="3"/>
    </i>
    <i r="4">
      <x v="4"/>
    </i>
    <i r="4">
      <x v="5"/>
    </i>
    <i r="4">
      <x v="6"/>
    </i>
    <i r="4">
      <x v="7"/>
    </i>
    <i r="4">
      <x v="12"/>
    </i>
    <i r="2">
      <x v="16"/>
      <x/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10"/>
    </i>
    <i r="4">
      <x v="12"/>
    </i>
    <i r="2">
      <x v="17"/>
      <x/>
      <x/>
    </i>
    <i r="4">
      <x v="2"/>
    </i>
    <i r="4">
      <x v="6"/>
    </i>
    <i r="2">
      <x v="20"/>
      <x/>
      <x/>
    </i>
    <i r="1">
      <x v="1"/>
      <x v="8"/>
      <x/>
      <x/>
    </i>
    <i r="4">
      <x v="2"/>
    </i>
    <i r="4">
      <x v="4"/>
    </i>
    <i r="4">
      <x v="5"/>
    </i>
    <i r="4">
      <x v="10"/>
    </i>
    <i r="1">
      <x v="2"/>
      <x v="9"/>
      <x/>
      <x/>
    </i>
    <i r="4">
      <x v="2"/>
    </i>
    <i r="4">
      <x v="4"/>
    </i>
    <i r="4">
      <x v="5"/>
    </i>
    <i r="4">
      <x v="8"/>
    </i>
    <i r="1">
      <x v="3"/>
      <x v="10"/>
      <x/>
      <x/>
    </i>
    <i r="4">
      <x v="2"/>
    </i>
    <i r="4">
      <x v="4"/>
    </i>
    <i r="4">
      <x v="5"/>
    </i>
    <i r="4">
      <x v="6"/>
    </i>
    <i r="4">
      <x v="9"/>
    </i>
    <i r="4">
      <x v="10"/>
    </i>
    <i r="4">
      <x v="11"/>
    </i>
    <i r="1">
      <x v="4"/>
      <x v="2"/>
      <x/>
      <x/>
    </i>
    <i r="4">
      <x v="2"/>
    </i>
    <i r="4">
      <x v="3"/>
    </i>
    <i r="4">
      <x v="4"/>
    </i>
    <i r="4">
      <x v="5"/>
    </i>
    <i r="4">
      <x v="6"/>
    </i>
    <i r="4">
      <x v="7"/>
    </i>
    <i r="4">
      <x v="12"/>
    </i>
    <i r="2">
      <x v="21"/>
      <x/>
      <x v="10"/>
    </i>
    <i r="1">
      <x v="5"/>
      <x v="11"/>
      <x/>
      <x/>
    </i>
    <i r="4">
      <x v="4"/>
    </i>
    <i r="4">
      <x v="5"/>
    </i>
    <i r="4">
      <x v="8"/>
    </i>
    <i r="1">
      <x v="6"/>
      <x v="3"/>
      <x/>
      <x/>
    </i>
    <i r="4">
      <x v="2"/>
    </i>
    <i r="4">
      <x v="3"/>
    </i>
    <i r="4">
      <x v="6"/>
    </i>
    <i r="4">
      <x v="7"/>
    </i>
    <i r="4">
      <x v="9"/>
    </i>
    <i r="1">
      <x v="7"/>
      <x v="4"/>
      <x/>
      <x/>
    </i>
    <i r="4">
      <x v="6"/>
    </i>
    <i r="1">
      <x v="8"/>
      <x v="6"/>
      <x/>
      <x/>
    </i>
    <i r="4">
      <x v="2"/>
    </i>
    <i r="4">
      <x v="3"/>
    </i>
    <i r="4">
      <x v="4"/>
    </i>
    <i r="4">
      <x v="5"/>
    </i>
    <i r="1">
      <x v="9"/>
      <x v="7"/>
      <x/>
      <x/>
    </i>
    <i r="4">
      <x v="2"/>
    </i>
    <i r="4">
      <x v="4"/>
    </i>
    <i r="4">
      <x v="5"/>
    </i>
    <i r="4">
      <x v="6"/>
    </i>
    <i r="1">
      <x v="10"/>
      <x v="14"/>
      <x/>
      <x/>
    </i>
    <i r="4">
      <x v="2"/>
    </i>
    <i r="4">
      <x v="4"/>
    </i>
    <i r="4">
      <x v="5"/>
    </i>
    <i r="1">
      <x v="11"/>
      <x v="15"/>
      <x/>
      <x/>
    </i>
    <i r="4">
      <x v="2"/>
    </i>
    <i r="4">
      <x v="4"/>
    </i>
    <i r="4">
      <x v="5"/>
    </i>
    <i r="1">
      <x v="12"/>
      <x v="18"/>
      <x/>
      <x/>
    </i>
    <i r="4">
      <x v="2"/>
    </i>
    <i r="4">
      <x v="4"/>
    </i>
    <i r="4">
      <x v="5"/>
    </i>
    <i r="1">
      <x v="13"/>
      <x v="8"/>
      <x/>
      <x/>
    </i>
    <i r="4">
      <x v="2"/>
    </i>
    <i r="2">
      <x v="19"/>
      <x/>
      <x/>
    </i>
    <i r="4">
      <x v="4"/>
    </i>
    <i r="4">
      <x v="5"/>
    </i>
    <i>
      <x v="1"/>
      <x v="1"/>
      <x v="8"/>
      <x/>
      <x/>
    </i>
    <i r="1">
      <x v="2"/>
      <x v="9"/>
      <x/>
      <x/>
    </i>
    <i r="1">
      <x v="6"/>
      <x v="3"/>
      <x/>
      <x/>
    </i>
    <i r="1">
      <x v="8"/>
      <x v="6"/>
      <x/>
      <x/>
    </i>
    <i r="4">
      <x v="3"/>
    </i>
    <i r="4">
      <x v="6"/>
    </i>
    <i>
      <x v="2"/>
      <x/>
      <x v="1"/>
      <x/>
      <x v="9"/>
    </i>
    <i r="4">
      <x v="10"/>
    </i>
    <i r="1">
      <x v="4"/>
      <x v="2"/>
      <x/>
      <x v="4"/>
    </i>
    <i r="4">
      <x v="5"/>
    </i>
    <i r="1">
      <x v="11"/>
      <x v="15"/>
      <x/>
      <x/>
    </i>
    <i r="4">
      <x v="2"/>
    </i>
    <i r="1">
      <x v="12"/>
      <x v="18"/>
      <x/>
      <x/>
    </i>
    <i r="1">
      <x v="14"/>
      <x v="22"/>
      <x/>
      <x/>
    </i>
    <i r="4">
      <x v="1"/>
    </i>
    <i r="4">
      <x v="2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pageFields count="1">
    <pageField fld="4" hier="-1"/>
  </pageFields>
  <dataFields count="1">
    <dataField name="Сумма по полю Часов в табеле" fld="9" baseField="0" baseItem="0"/>
  </dataFields>
  <formats count="1">
    <format dxfId="273">
      <pivotArea dataOnly="0" labelOnly="1" grandCol="1" outline="0" fieldPosition="0"/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39AED-8B62-4D75-A2B0-A8DBB8D3C409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3:AI126" firstHeaderRow="1" firstDataRow="2" firstDataCol="4" rowPageCount="1" colPageCount="1"/>
  <pivotFields count="22">
    <pivotField compact="0" outline="0" showAll="0" defaultSubtotal="0"/>
    <pivotField axis="axisCol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defaultSubtotal="0"/>
    <pivotField axis="axisRow" compact="0" outline="0" showAll="0" defaultSubtotal="0">
      <items count="15">
        <item x="1"/>
        <item x="2"/>
        <item x="4"/>
        <item x="6"/>
        <item x="8"/>
        <item x="7"/>
        <item x="0"/>
        <item x="5"/>
        <item x="3"/>
        <item x="9"/>
        <item x="10"/>
        <item x="11"/>
        <item x="13"/>
        <item x="14"/>
        <item x="12"/>
      </items>
    </pivotField>
    <pivotField axis="axisPage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23">
        <item x="4"/>
        <item x="8"/>
        <item x="6"/>
        <item x="10"/>
        <item x="7"/>
        <item x="1"/>
        <item x="18"/>
        <item x="12"/>
        <item x="0"/>
        <item x="2"/>
        <item x="3"/>
        <item x="5"/>
        <item x="9"/>
        <item x="11"/>
        <item x="14"/>
        <item x="16"/>
        <item x="15"/>
        <item x="13"/>
        <item x="19"/>
        <item x="22"/>
        <item x="21"/>
        <item x="20"/>
        <item x="17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3">
        <item x="7"/>
        <item x="1"/>
        <item x="3"/>
        <item x="2"/>
        <item x="0"/>
        <item x="6"/>
        <item x="4"/>
        <item x="5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4">
    <field x="3"/>
    <field x="5"/>
    <field x="6"/>
    <field x="7"/>
  </rowFields>
  <rowItems count="122">
    <i>
      <x/>
      <x v="1"/>
      <x/>
      <x/>
    </i>
    <i r="3">
      <x v="4"/>
    </i>
    <i r="3">
      <x v="5"/>
    </i>
    <i r="3">
      <x v="9"/>
    </i>
    <i r="1">
      <x v="4"/>
      <x/>
      <x v="4"/>
    </i>
    <i r="3">
      <x v="5"/>
    </i>
    <i r="1">
      <x v="5"/>
      <x/>
      <x v="1"/>
    </i>
    <i r="3">
      <x v="2"/>
    </i>
    <i r="3">
      <x v="3"/>
    </i>
    <i r="3">
      <x v="4"/>
    </i>
    <i r="3">
      <x v="5"/>
    </i>
    <i r="3">
      <x v="6"/>
    </i>
    <i r="3">
      <x v="7"/>
    </i>
    <i r="1">
      <x v="6"/>
      <x/>
      <x v="9"/>
    </i>
    <i r="3">
      <x v="10"/>
    </i>
    <i r="1">
      <x v="7"/>
      <x/>
      <x v="1"/>
    </i>
    <i r="3">
      <x v="4"/>
    </i>
    <i r="3">
      <x v="5"/>
    </i>
    <i r="3">
      <x v="10"/>
    </i>
    <i r="3">
      <x v="12"/>
    </i>
    <i r="1">
      <x v="12"/>
      <x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9"/>
    </i>
    <i r="3">
      <x v="12"/>
    </i>
    <i r="1">
      <x v="13"/>
      <x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12"/>
    </i>
    <i r="1">
      <x v="16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10"/>
    </i>
    <i r="3">
      <x v="12"/>
    </i>
    <i r="1">
      <x v="17"/>
      <x/>
      <x/>
    </i>
    <i r="3">
      <x v="1"/>
    </i>
    <i r="3">
      <x v="4"/>
    </i>
    <i r="1">
      <x v="20"/>
      <x/>
      <x v="4"/>
    </i>
    <i>
      <x v="1"/>
      <x v="9"/>
      <x/>
      <x v="1"/>
    </i>
    <i r="3">
      <x v="2"/>
    </i>
    <i r="3">
      <x v="3"/>
    </i>
    <i r="3">
      <x v="4"/>
    </i>
    <i r="3">
      <x v="8"/>
    </i>
    <i>
      <x v="2"/>
      <x/>
      <x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12"/>
    </i>
    <i r="1">
      <x v="21"/>
      <x/>
      <x v="10"/>
    </i>
    <i>
      <x v="3"/>
      <x v="2"/>
      <x/>
      <x/>
    </i>
    <i r="3">
      <x v="1"/>
    </i>
    <i r="3">
      <x v="4"/>
    </i>
    <i r="3">
      <x v="5"/>
    </i>
    <i r="3">
      <x v="7"/>
    </i>
    <i r="3">
      <x v="9"/>
    </i>
    <i>
      <x v="4"/>
      <x v="3"/>
      <x/>
      <x/>
    </i>
    <i r="3">
      <x v="1"/>
    </i>
    <i r="3">
      <x v="2"/>
    </i>
    <i r="3">
      <x v="3"/>
    </i>
    <i r="3">
      <x v="4"/>
    </i>
    <i r="3">
      <x v="5"/>
    </i>
    <i>
      <x v="5"/>
      <x v="4"/>
      <x/>
      <x/>
    </i>
    <i r="3">
      <x v="4"/>
    </i>
    <i>
      <x v="6"/>
      <x v="8"/>
      <x/>
      <x v="1"/>
    </i>
    <i r="3">
      <x v="2"/>
    </i>
    <i r="3">
      <x v="3"/>
    </i>
    <i r="3">
      <x v="4"/>
    </i>
    <i r="3">
      <x v="10"/>
    </i>
    <i>
      <x v="7"/>
      <x v="11"/>
      <x/>
      <x v="2"/>
    </i>
    <i r="3">
      <x v="3"/>
    </i>
    <i r="3">
      <x v="4"/>
    </i>
    <i r="3">
      <x v="8"/>
    </i>
    <i>
      <x v="8"/>
      <x v="10"/>
      <x/>
      <x/>
    </i>
    <i r="3">
      <x v="1"/>
    </i>
    <i r="3">
      <x v="2"/>
    </i>
    <i r="3">
      <x v="3"/>
    </i>
    <i r="3">
      <x v="4"/>
    </i>
    <i r="3">
      <x v="9"/>
    </i>
    <i r="3">
      <x v="10"/>
    </i>
    <i r="3">
      <x v="11"/>
    </i>
    <i>
      <x v="9"/>
      <x v="7"/>
      <x/>
      <x/>
    </i>
    <i r="3">
      <x v="1"/>
    </i>
    <i r="3">
      <x v="2"/>
    </i>
    <i r="3">
      <x v="3"/>
    </i>
    <i r="3">
      <x v="4"/>
    </i>
    <i>
      <x v="10"/>
      <x v="14"/>
      <x/>
      <x v="1"/>
    </i>
    <i r="3">
      <x v="2"/>
    </i>
    <i r="3">
      <x v="3"/>
    </i>
    <i r="3">
      <x v="4"/>
    </i>
    <i>
      <x v="11"/>
      <x v="15"/>
      <x/>
      <x v="1"/>
    </i>
    <i r="3">
      <x v="2"/>
    </i>
    <i r="3">
      <x v="3"/>
    </i>
    <i r="3">
      <x v="4"/>
    </i>
    <i>
      <x v="12"/>
      <x v="18"/>
      <x/>
      <x v="1"/>
    </i>
    <i r="3">
      <x v="2"/>
    </i>
    <i r="3">
      <x v="3"/>
    </i>
    <i r="3">
      <x v="4"/>
    </i>
    <i>
      <x v="13"/>
      <x v="8"/>
      <x/>
      <x v="1"/>
    </i>
    <i r="3">
      <x v="4"/>
    </i>
    <i r="1">
      <x v="19"/>
      <x/>
      <x v="2"/>
    </i>
    <i r="3">
      <x v="3"/>
    </i>
    <i r="3">
      <x v="4"/>
    </i>
    <i>
      <x v="14"/>
      <x v="22"/>
      <x/>
      <x v="1"/>
    </i>
    <i r="3">
      <x v="4"/>
    </i>
    <i r="3">
      <x v="6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pageFields count="1">
    <pageField fld="4" hier="-1"/>
  </pageFields>
  <dataFields count="1">
    <dataField name="Сумма по полю Часов в табеле" fld="9" baseField="0" baseItem="0"/>
  </dataFields>
  <formats count="9">
    <format dxfId="272">
      <pivotArea dataOnly="0" labelOnly="1" grandCol="1" outline="0" fieldPosition="0"/>
    </format>
    <format dxfId="271">
      <pivotArea dataOnly="0" labelOnly="1" grandCol="1" outline="0" fieldPosition="0"/>
    </format>
    <format dxfId="270">
      <pivotArea field="18" type="button" dataOnly="0" labelOnly="1" outline="0"/>
    </format>
    <format dxfId="269">
      <pivotArea field="3" type="button" dataOnly="0" labelOnly="1" outline="0" axis="axisRow" fieldPosition="0"/>
    </format>
    <format dxfId="268">
      <pivotArea field="5" type="button" dataOnly="0" labelOnly="1" outline="0" axis="axisRow" fieldPosition="1"/>
    </format>
    <format dxfId="267">
      <pivotArea field="6" type="button" dataOnly="0" labelOnly="1" outline="0" axis="axisRow" fieldPosition="2"/>
    </format>
    <format dxfId="266">
      <pivotArea field="7" type="button" dataOnly="0" labelOnly="1" outline="0" axis="axisRow" fieldPosition="3"/>
    </format>
    <format dxfId="265">
      <pivotArea dataOnly="0" labelOnly="1" outline="0" fieldPosition="0">
        <references count="1">
          <reference field="1" count="0"/>
        </references>
      </pivotArea>
    </format>
    <format dxfId="264">
      <pivotArea dataOnly="0" labelOnly="1" grandCol="1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98E88-C2BF-4ACC-8379-5449F56D4504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3:AJ137" firstHeaderRow="1" firstDataRow="2" firstDataCol="5" rowPageCount="1" colPageCount="1"/>
  <pivotFields count="22">
    <pivotField compact="0" outline="0" showAll="0" defaultSubtotal="0"/>
    <pivotField axis="axisCol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defaultSubtotal="0"/>
    <pivotField axis="axisRow" compact="0" outline="0" showAll="0" defaultSubtotal="0">
      <items count="15">
        <item x="1"/>
        <item x="2"/>
        <item x="4"/>
        <item x="6"/>
        <item x="8"/>
        <item x="7"/>
        <item x="0"/>
        <item x="5"/>
        <item x="3"/>
        <item x="9"/>
        <item x="10"/>
        <item x="11"/>
        <item x="13"/>
        <item x="14"/>
        <item x="12"/>
      </items>
    </pivotField>
    <pivotField axis="axisPage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23">
        <item x="4"/>
        <item x="8"/>
        <item x="6"/>
        <item x="10"/>
        <item x="7"/>
        <item x="1"/>
        <item x="18"/>
        <item x="12"/>
        <item x="0"/>
        <item x="2"/>
        <item x="3"/>
        <item x="5"/>
        <item x="9"/>
        <item x="11"/>
        <item x="14"/>
        <item x="16"/>
        <item x="15"/>
        <item x="13"/>
        <item x="19"/>
        <item x="22"/>
        <item x="21"/>
        <item x="20"/>
        <item x="17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3">
        <item x="7"/>
        <item x="1"/>
        <item x="3"/>
        <item x="2"/>
        <item x="0"/>
        <item x="6"/>
        <item x="4"/>
        <item x="5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5">
    <field x="18"/>
    <field x="3"/>
    <field x="5"/>
    <field x="6"/>
    <field x="7"/>
  </rowFields>
  <rowItems count="133">
    <i>
      <x/>
      <x/>
      <x v="1"/>
      <x/>
      <x/>
    </i>
    <i r="4">
      <x v="4"/>
    </i>
    <i r="4">
      <x v="5"/>
    </i>
    <i r="4">
      <x v="9"/>
    </i>
    <i r="2">
      <x v="4"/>
      <x/>
      <x v="4"/>
    </i>
    <i r="4">
      <x v="5"/>
    </i>
    <i r="2">
      <x v="5"/>
      <x/>
      <x v="1"/>
    </i>
    <i r="4">
      <x v="2"/>
    </i>
    <i r="4">
      <x v="3"/>
    </i>
    <i r="4">
      <x v="4"/>
    </i>
    <i r="4">
      <x v="5"/>
    </i>
    <i r="4">
      <x v="6"/>
    </i>
    <i r="4">
      <x v="7"/>
    </i>
    <i r="2">
      <x v="6"/>
      <x/>
      <x v="9"/>
    </i>
    <i r="2">
      <x v="7"/>
      <x/>
      <x v="1"/>
    </i>
    <i r="4">
      <x v="4"/>
    </i>
    <i r="4">
      <x v="5"/>
    </i>
    <i r="4">
      <x v="10"/>
    </i>
    <i r="4">
      <x v="12"/>
    </i>
    <i r="2">
      <x v="12"/>
      <x/>
      <x/>
    </i>
    <i r="4">
      <x v="1"/>
    </i>
    <i r="4">
      <x v="2"/>
    </i>
    <i r="4">
      <x v="3"/>
    </i>
    <i r="4">
      <x v="4"/>
    </i>
    <i r="4">
      <x v="5"/>
    </i>
    <i r="4">
      <x v="7"/>
    </i>
    <i r="4">
      <x v="9"/>
    </i>
    <i r="4">
      <x v="12"/>
    </i>
    <i r="2">
      <x v="13"/>
      <x/>
      <x/>
    </i>
    <i r="4">
      <x v="1"/>
    </i>
    <i r="4">
      <x v="2"/>
    </i>
    <i r="4">
      <x v="3"/>
    </i>
    <i r="4">
      <x v="4"/>
    </i>
    <i r="4">
      <x v="5"/>
    </i>
    <i r="4">
      <x v="7"/>
    </i>
    <i r="4">
      <x v="12"/>
    </i>
    <i r="2">
      <x v="16"/>
      <x/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10"/>
    </i>
    <i r="4">
      <x v="12"/>
    </i>
    <i r="2">
      <x v="17"/>
      <x/>
      <x/>
    </i>
    <i r="4">
      <x v="1"/>
    </i>
    <i r="4">
      <x v="4"/>
    </i>
    <i r="2">
      <x v="20"/>
      <x/>
      <x v="4"/>
    </i>
    <i r="1">
      <x v="1"/>
      <x v="9"/>
      <x/>
      <x v="1"/>
    </i>
    <i r="4">
      <x v="2"/>
    </i>
    <i r="4">
      <x v="3"/>
    </i>
    <i r="4">
      <x v="4"/>
    </i>
    <i r="4">
      <x v="8"/>
    </i>
    <i r="1">
      <x v="2"/>
      <x/>
      <x/>
      <x/>
    </i>
    <i r="4">
      <x v="1"/>
    </i>
    <i r="4">
      <x v="2"/>
    </i>
    <i r="4">
      <x v="3"/>
    </i>
    <i r="4">
      <x v="4"/>
    </i>
    <i r="4">
      <x v="5"/>
    </i>
    <i r="4">
      <x v="7"/>
    </i>
    <i r="4">
      <x v="12"/>
    </i>
    <i r="2">
      <x v="21"/>
      <x/>
      <x v="10"/>
    </i>
    <i r="1">
      <x v="3"/>
      <x v="2"/>
      <x/>
      <x/>
    </i>
    <i r="4">
      <x v="1"/>
    </i>
    <i r="4">
      <x v="4"/>
    </i>
    <i r="4">
      <x v="5"/>
    </i>
    <i r="4">
      <x v="7"/>
    </i>
    <i r="4">
      <x v="9"/>
    </i>
    <i r="1">
      <x v="4"/>
      <x v="3"/>
      <x/>
      <x v="1"/>
    </i>
    <i r="4">
      <x v="2"/>
    </i>
    <i r="4">
      <x v="3"/>
    </i>
    <i r="4">
      <x v="4"/>
    </i>
    <i r="4">
      <x v="5"/>
    </i>
    <i r="1">
      <x v="5"/>
      <x v="4"/>
      <x/>
      <x/>
    </i>
    <i r="4">
      <x v="4"/>
    </i>
    <i r="1">
      <x v="6"/>
      <x v="8"/>
      <x/>
      <x v="1"/>
    </i>
    <i r="4">
      <x v="2"/>
    </i>
    <i r="4">
      <x v="3"/>
    </i>
    <i r="4">
      <x v="4"/>
    </i>
    <i r="4">
      <x v="10"/>
    </i>
    <i r="1">
      <x v="7"/>
      <x v="11"/>
      <x/>
      <x v="2"/>
    </i>
    <i r="4">
      <x v="3"/>
    </i>
    <i r="4">
      <x v="4"/>
    </i>
    <i r="4">
      <x v="8"/>
    </i>
    <i r="1">
      <x v="8"/>
      <x v="10"/>
      <x/>
      <x/>
    </i>
    <i r="4">
      <x v="1"/>
    </i>
    <i r="4">
      <x v="2"/>
    </i>
    <i r="4">
      <x v="3"/>
    </i>
    <i r="4">
      <x v="4"/>
    </i>
    <i r="4">
      <x v="9"/>
    </i>
    <i r="4">
      <x v="10"/>
    </i>
    <i r="4">
      <x v="11"/>
    </i>
    <i r="1">
      <x v="9"/>
      <x v="7"/>
      <x/>
      <x/>
    </i>
    <i r="4">
      <x v="1"/>
    </i>
    <i r="4">
      <x v="2"/>
    </i>
    <i r="4">
      <x v="3"/>
    </i>
    <i r="4">
      <x v="4"/>
    </i>
    <i r="1">
      <x v="10"/>
      <x v="14"/>
      <x/>
      <x v="1"/>
    </i>
    <i r="4">
      <x v="2"/>
    </i>
    <i r="4">
      <x v="3"/>
    </i>
    <i r="4">
      <x v="4"/>
    </i>
    <i r="1">
      <x v="11"/>
      <x v="15"/>
      <x/>
      <x v="1"/>
    </i>
    <i r="4">
      <x v="2"/>
    </i>
    <i r="4">
      <x v="3"/>
    </i>
    <i r="4">
      <x v="4"/>
    </i>
    <i r="1">
      <x v="12"/>
      <x v="18"/>
      <x/>
      <x v="1"/>
    </i>
    <i r="4">
      <x v="2"/>
    </i>
    <i r="4">
      <x v="3"/>
    </i>
    <i r="4">
      <x v="4"/>
    </i>
    <i r="1">
      <x v="13"/>
      <x v="8"/>
      <x/>
      <x v="1"/>
    </i>
    <i r="4">
      <x v="4"/>
    </i>
    <i r="2">
      <x v="19"/>
      <x/>
      <x v="2"/>
    </i>
    <i r="4">
      <x v="3"/>
    </i>
    <i r="4">
      <x v="4"/>
    </i>
    <i>
      <x v="1"/>
      <x v="1"/>
      <x v="9"/>
      <x/>
      <x v="4"/>
    </i>
    <i r="1">
      <x v="3"/>
      <x v="2"/>
      <x/>
      <x v="4"/>
    </i>
    <i r="1">
      <x v="4"/>
      <x v="3"/>
      <x/>
      <x/>
    </i>
    <i r="4">
      <x v="4"/>
    </i>
    <i r="4">
      <x v="5"/>
    </i>
    <i r="1">
      <x v="6"/>
      <x v="8"/>
      <x/>
      <x v="4"/>
    </i>
    <i>
      <x v="2"/>
      <x/>
      <x v="6"/>
      <x/>
      <x v="9"/>
    </i>
    <i r="4">
      <x v="10"/>
    </i>
    <i r="1">
      <x v="2"/>
      <x/>
      <x/>
      <x v="2"/>
    </i>
    <i r="4">
      <x v="3"/>
    </i>
    <i r="1">
      <x v="11"/>
      <x v="15"/>
      <x/>
      <x v="1"/>
    </i>
    <i r="4">
      <x v="4"/>
    </i>
    <i r="1">
      <x v="12"/>
      <x v="18"/>
      <x/>
      <x v="4"/>
    </i>
    <i r="1">
      <x v="14"/>
      <x v="22"/>
      <x/>
      <x v="1"/>
    </i>
    <i r="4">
      <x v="4"/>
    </i>
    <i r="4">
      <x v="6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pageFields count="1">
    <pageField fld="4" hier="-1"/>
  </pageFields>
  <dataFields count="1">
    <dataField name="Сумма по полю Часов в табеле" fld="9" baseField="0" baseItem="0"/>
  </dataFields>
  <formats count="9">
    <format dxfId="263">
      <pivotArea dataOnly="0" labelOnly="1" grandCol="1" outline="0" fieldPosition="0"/>
    </format>
    <format dxfId="262">
      <pivotArea dataOnly="0" labelOnly="1" grandCol="1" outline="0" fieldPosition="0"/>
    </format>
    <format dxfId="261">
      <pivotArea field="18" type="button" dataOnly="0" labelOnly="1" outline="0" axis="axisRow" fieldPosition="0"/>
    </format>
    <format dxfId="260">
      <pivotArea field="3" type="button" dataOnly="0" labelOnly="1" outline="0" axis="axisRow" fieldPosition="1"/>
    </format>
    <format dxfId="259">
      <pivotArea field="5" type="button" dataOnly="0" labelOnly="1" outline="0" axis="axisRow" fieldPosition="2"/>
    </format>
    <format dxfId="258">
      <pivotArea field="6" type="button" dataOnly="0" labelOnly="1" outline="0" axis="axisRow" fieldPosition="3"/>
    </format>
    <format dxfId="257">
      <pivotArea field="7" type="button" dataOnly="0" labelOnly="1" outline="0" axis="axisRow" fieldPosition="4"/>
    </format>
    <format dxfId="256">
      <pivotArea dataOnly="0" labelOnly="1" outline="0" fieldPosition="0">
        <references count="1">
          <reference field="1" count="0"/>
        </references>
      </pivotArea>
    </format>
    <format dxfId="255">
      <pivotArea dataOnly="0" labelOnly="1" grandCol="1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5EB5B-C6A0-4D93-94CA-9DFA97A81590}" name="Сводная таблица6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115:D131" firstHeaderRow="0" firstDataRow="1" firstDataCol="1" rowPageCount="3" colPageCount="1"/>
  <pivotFields count="22"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15">
        <item x="1"/>
        <item x="2"/>
        <item x="4"/>
        <item x="6"/>
        <item x="8"/>
        <item x="7"/>
        <item x="0"/>
        <item x="5"/>
        <item x="3"/>
        <item x="9"/>
        <item x="10"/>
        <item x="11"/>
        <item x="13"/>
        <item x="14"/>
        <item x="12"/>
      </items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3">
        <item h="1" x="7"/>
        <item h="1" x="1"/>
        <item h="1" x="3"/>
        <item h="1" x="2"/>
        <item x="0"/>
        <item h="1" x="6"/>
        <item x="4"/>
        <item x="5"/>
        <item h="1" x="8"/>
        <item h="1" x="9"/>
        <item h="1" x="11"/>
        <item h="1" x="12"/>
        <item h="1" x="10"/>
      </items>
    </pivotField>
    <pivotField axis="axisPage" compact="0" outline="0" multipleItemSelectionAllowed="1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7" hier="-1"/>
    <pageField fld="8" hier="-1"/>
  </pageFields>
  <dataFields count="3">
    <dataField name=" Часов в табеле" fld="9" baseField="0" baseItem="0"/>
    <dataField name=" часов на заказчика" fld="13" baseField="0" baseItem="0"/>
    <dataField name=" Разница часов" fld="14" baseField="0" baseItem="0"/>
  </dataFields>
  <formats count="7">
    <format dxfId="230">
      <pivotArea field="3" type="button" dataOnly="0" labelOnly="1" outline="0" axis="axisRow" fieldPosition="0"/>
    </format>
    <format dxfId="2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8">
      <pivotArea field="3" type="button" dataOnly="0" labelOnly="1" outline="0" axis="axisRow" fieldPosition="0"/>
    </format>
    <format dxfId="2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B6EF-1C6F-48F2-9D5B-295E8E2B67A3}" name="Сводная таблица1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G115:J134" firstHeaderRow="0" firstDataRow="1" firstDataCol="2" rowPageCount="3" colPageCount="1"/>
  <pivotFields count="22"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15">
        <item x="1"/>
        <item x="2"/>
        <item x="4"/>
        <item x="6"/>
        <item x="8"/>
        <item x="7"/>
        <item x="0"/>
        <item x="5"/>
        <item x="3"/>
        <item x="9"/>
        <item x="10"/>
        <item x="11"/>
        <item x="13"/>
        <item x="14"/>
        <item x="12"/>
      </items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3">
        <item h="1" x="7"/>
        <item h="1" x="1"/>
        <item h="1" x="3"/>
        <item h="1" x="2"/>
        <item x="0"/>
        <item h="1" x="6"/>
        <item x="4"/>
        <item x="5"/>
        <item h="1" x="8"/>
        <item h="1" x="9"/>
        <item h="1" x="11"/>
        <item h="1" x="12"/>
        <item h="1" x="10"/>
      </items>
    </pivotField>
    <pivotField compact="0" outline="0" multipleItemSelectionAllowed="1" showAll="0" defaultSubtotal="0"/>
    <pivotField compact="0" outline="0" showAll="0" defaultSubtotal="0"/>
    <pivotField axis="axisPage" dataField="1" compact="0" outline="0" multipleItemSelectionAllowed="1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4">
        <item x="0"/>
        <item x="2"/>
        <item x="3"/>
        <item x="1"/>
      </items>
    </pivotField>
    <pivotField compact="0" outline="0" showAll="0" defaultSubtotal="0"/>
    <pivotField compact="0" outline="0" showAll="0" defaultSubtotal="0"/>
    <pivotField dataField="1" compact="0" outline="0" subtotalTop="0" showAll="0" defaultSubtotal="0"/>
    <pivotField compact="0" outline="0" showAll="0" defaultSubtotal="0"/>
  </pivotFields>
  <rowFields count="2">
    <field x="3"/>
    <field x="17"/>
  </rowFields>
  <rowItems count="19">
    <i>
      <x/>
      <x/>
    </i>
    <i r="1">
      <x v="1"/>
    </i>
    <i r="1">
      <x v="2"/>
    </i>
    <i r="1">
      <x v="3"/>
    </i>
    <i>
      <x v="1"/>
      <x/>
    </i>
    <i>
      <x v="2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  <i>
      <x v="9"/>
      <x/>
    </i>
    <i>
      <x v="10"/>
      <x/>
    </i>
    <i>
      <x v="11"/>
      <x/>
    </i>
    <i>
      <x v="12"/>
      <x/>
    </i>
    <i>
      <x v="13"/>
      <x/>
    </i>
    <i>
      <x v="14"/>
      <x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7" hier="-1"/>
    <pageField fld="10" hier="-1"/>
  </pageFields>
  <dataFields count="2">
    <dataField name="Кол-во ТТН" fld="10" baseField="0" baseItem="0"/>
    <dataField name=" Сумма за ТТН" fld="20" baseField="0" baseItem="0"/>
  </dataFields>
  <formats count="10">
    <format dxfId="240">
      <pivotArea field="3" type="button" dataOnly="0" labelOnly="1" outline="0" axis="axisRow" fieldPosition="0"/>
    </format>
    <format dxfId="239">
      <pivotArea field="3" type="button" dataOnly="0" labelOnly="1" outline="0" axis="axisRow" fieldPosition="0"/>
    </format>
    <format dxfId="238">
      <pivotArea field="17" type="button" dataOnly="0" labelOnly="1" outline="0" axis="axisRow" fieldPosition="1"/>
    </format>
    <format dxfId="237">
      <pivotArea dataOnly="0" labelOnly="1" outline="0" axis="axisValues" fieldPosition="0"/>
    </format>
    <format dxfId="236">
      <pivotArea field="17" type="button" dataOnly="0" labelOnly="1" outline="0" axis="axisRow" fieldPosition="1"/>
    </format>
    <format dxfId="235">
      <pivotArea dataOnly="0" labelOnly="1" outline="0" axis="axisValues" fieldPosition="0"/>
    </format>
    <format dxfId="234">
      <pivotArea field="17" type="button" dataOnly="0" labelOnly="1" outline="0" axis="axisRow" fieldPosition="1"/>
    </format>
    <format dxfId="233">
      <pivotArea dataOnly="0" labelOnly="1" outline="0" axis="axisValues" fieldPosition="0"/>
    </format>
    <format dxfId="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F1379-817F-456E-A665-B526E4C910AE}" name="Сводная таблица5" cacheId="61" applyNumberFormats="0" applyBorderFormats="0" applyFontFormats="0" applyPatternFormats="0" applyAlignmentFormats="0" applyWidthHeightFormats="1" dataCaption="Значения" updatedVersion="8" minRefreshableVersion="3" itemPrintTitles="1" createdVersion="7" indent="0" compact="0" compactData="0" multipleFieldFilters="0">
  <location ref="A3:O33" firstHeaderRow="1" firstDataRow="2" firstDataCol="3" rowPageCount="1" colPageCount="1"/>
  <pivotFields count="22"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15">
        <item x="1"/>
        <item x="2"/>
        <item x="4"/>
        <item x="6"/>
        <item x="9"/>
        <item x="8"/>
        <item x="7"/>
        <item x="10"/>
        <item x="0"/>
        <item x="5"/>
        <item x="3"/>
        <item x="11"/>
        <item x="13"/>
        <item x="14"/>
        <item x="12"/>
      </items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13">
        <item x="7"/>
        <item x="1"/>
        <item x="3"/>
        <item x="2"/>
        <item x="0"/>
        <item x="6"/>
        <item x="4"/>
        <item x="5"/>
        <item x="8"/>
        <item x="9"/>
        <item x="11"/>
        <item x="12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8"/>
        <item x="11"/>
        <item x="14"/>
        <item x="4"/>
        <item x="10"/>
        <item x="7"/>
        <item x="5"/>
        <item x="15"/>
        <item x="3"/>
        <item x="16"/>
        <item x="9"/>
        <item x="12"/>
        <item x="2"/>
        <item x="17"/>
        <item x="1"/>
        <item x="0"/>
        <item x="13"/>
        <item x="6"/>
      </items>
    </pivotField>
    <pivotField compact="0" outline="0" subtotalTop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ubtotalTop="0" showAll="0" defaultSubtotal="0"/>
    <pivotField compact="0" outline="0" showAll="0" defaultSubtotal="0"/>
  </pivotFields>
  <rowFields count="3">
    <field x="3"/>
    <field x="18"/>
    <field x="16"/>
  </rowFields>
  <rowItems count="29">
    <i>
      <x/>
      <x/>
      <x v="3"/>
    </i>
    <i r="2">
      <x v="4"/>
    </i>
    <i r="2">
      <x v="6"/>
    </i>
    <i r="2">
      <x v="7"/>
    </i>
    <i r="2">
      <x v="8"/>
    </i>
    <i r="2">
      <x v="9"/>
    </i>
    <i r="2">
      <x v="11"/>
    </i>
    <i r="2">
      <x v="15"/>
    </i>
    <i r="1">
      <x v="2"/>
      <x v="14"/>
    </i>
    <i>
      <x v="1"/>
      <x v="1"/>
      <x v="2"/>
    </i>
    <i>
      <x v="2"/>
      <x/>
      <x v="12"/>
    </i>
    <i r="2">
      <x v="13"/>
    </i>
    <i r="1">
      <x v="2"/>
      <x v="14"/>
    </i>
    <i>
      <x v="3"/>
      <x/>
      <x v="12"/>
    </i>
    <i r="1">
      <x v="1"/>
      <x v="12"/>
    </i>
    <i>
      <x v="4"/>
      <x/>
      <x v="11"/>
    </i>
    <i>
      <x v="5"/>
      <x/>
      <x v="10"/>
    </i>
    <i r="1">
      <x v="1"/>
      <x v="10"/>
    </i>
    <i>
      <x v="6"/>
      <x/>
      <x v="8"/>
    </i>
    <i>
      <x v="7"/>
      <x/>
      <x v="14"/>
    </i>
    <i>
      <x v="8"/>
      <x/>
      <x v="12"/>
    </i>
    <i r="1">
      <x v="1"/>
      <x v="12"/>
    </i>
    <i>
      <x v="10"/>
      <x/>
      <x v="1"/>
    </i>
    <i r="2">
      <x v="15"/>
    </i>
    <i>
      <x v="11"/>
      <x/>
      <x v="14"/>
    </i>
    <i r="1">
      <x v="2"/>
      <x v="14"/>
    </i>
    <i>
      <x v="12"/>
      <x v="2"/>
      <x v="14"/>
    </i>
    <i>
      <x v="14"/>
      <x v="2"/>
      <x v="14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 t="grand">
      <x/>
    </i>
  </colItems>
  <pageFields count="1">
    <pageField fld="4" item="1" hier="-1"/>
  </pageFields>
  <dataFields count="1">
    <dataField name="Сумма по полю Часов в табеле" fld="9" baseField="0" baseItem="0"/>
  </dataFields>
  <formats count="14">
    <format dxfId="254">
      <pivotArea type="all" dataOnly="0" outline="0" fieldPosition="0"/>
    </format>
    <format dxfId="253">
      <pivotArea type="all" dataOnly="0" outline="0" fieldPosition="0"/>
    </format>
    <format dxfId="252">
      <pivotArea field="7" type="button" dataOnly="0" labelOnly="1" outline="0" axis="axisCol" fieldPosition="0"/>
    </format>
    <format dxfId="251">
      <pivotArea type="topRight" dataOnly="0" labelOnly="1" outline="0" fieldPosition="0"/>
    </format>
    <format dxfId="250">
      <pivotArea dataOnly="0" labelOnly="1" outline="0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  <format dxfId="249">
      <pivotArea dataOnly="0" labelOnly="1" grandCol="1" outline="0" fieldPosition="0"/>
    </format>
    <format dxfId="248">
      <pivotArea field="7" type="button" dataOnly="0" labelOnly="1" outline="0" axis="axisCol" fieldPosition="0"/>
    </format>
    <format dxfId="247">
      <pivotArea type="topRight" dataOnly="0" labelOnly="1" outline="0" fieldPosition="0"/>
    </format>
    <format dxfId="246">
      <pivotArea dataOnly="0" labelOnly="1" outline="0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  <format dxfId="245">
      <pivotArea dataOnly="0" labelOnly="1" grandCol="1" outline="0" fieldPosition="0"/>
    </format>
    <format dxfId="244">
      <pivotArea field="7" type="button" dataOnly="0" labelOnly="1" outline="0" axis="axisCol" fieldPosition="0"/>
    </format>
    <format dxfId="243">
      <pivotArea type="topRight" dataOnly="0" labelOnly="1" outline="0" fieldPosition="0"/>
    </format>
    <format dxfId="242">
      <pivotArea dataOnly="0" labelOnly="1" outline="0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  <format dxfId="241">
      <pivotArea dataOnly="0" labelOnly="1" grandCol="1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Участок1" xr10:uid="{DEFBEDC9-DA49-4DDA-A98B-E807605AF708}" sourceName="Участок">
  <pivotTables>
    <pivotTable tabId="11" name="Сводная таблица1"/>
  </pivotTables>
  <data>
    <tabular pivotCacheId="1411127605">
      <items count="3">
        <i x="2"/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олжность" xr10:uid="{06017AC3-C897-4F9B-8EA9-92ED418512B6}" sourceName="Должность">
  <pivotTables>
    <pivotTable tabId="11" name="Сводная таблица1"/>
  </pivotTables>
  <data>
    <tabular pivotCacheId="1411127605">
      <items count="15">
        <i x="1" s="1"/>
        <i x="14" s="1"/>
        <i x="4" s="1"/>
        <i x="0" s="1"/>
        <i x="5" s="1"/>
        <i x="3" s="1"/>
        <i x="11" s="1" nd="1"/>
        <i x="13" s="1" nd="1"/>
        <i x="2" s="1" nd="1"/>
        <i x="6" s="1" nd="1"/>
        <i x="9" s="1" nd="1"/>
        <i x="8" s="1" nd="1"/>
        <i x="7" s="1" nd="1"/>
        <i x="10" s="1" nd="1"/>
        <i x="1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отрудник" xr10:uid="{731D0863-2ADE-4BFF-8CEE-B7AE79E1A7D3}" sourceName="Сотрудник">
  <pivotTables>
    <pivotTable tabId="6" name="Сводная таблица1"/>
    <pivotTable tabId="6" name="Сводная таблица2"/>
  </pivotTables>
  <data>
    <tabular pivotCacheId="1411127605">
      <items count="112">
        <i x="5" s="1"/>
        <i x="98" s="1"/>
        <i x="26" s="1"/>
        <i x="13" s="1"/>
        <i x="27" s="1"/>
        <i x="109" s="1"/>
        <i x="11" s="1"/>
        <i x="42" s="1"/>
        <i x="3" s="1"/>
        <i x="16" s="1"/>
        <i x="69" s="1"/>
        <i x="28" s="1"/>
        <i x="73" s="1"/>
        <i x="89" s="1"/>
        <i x="90" s="1"/>
        <i x="86" s="1"/>
        <i x="94" s="1"/>
        <i x="29" s="1"/>
        <i x="77" s="1"/>
        <i x="80" s="1"/>
        <i x="81" s="1"/>
        <i x="92" s="1"/>
        <i x="110" s="1"/>
        <i x="10" s="1"/>
        <i x="99" s="1"/>
        <i x="82" s="1"/>
        <i x="30" s="1"/>
        <i x="100" s="1"/>
        <i x="1" s="1"/>
        <i x="31" s="1"/>
        <i x="32" s="1"/>
        <i x="83" s="1"/>
        <i x="96" s="1"/>
        <i x="59" s="1"/>
        <i x="97" s="1"/>
        <i x="88" s="1"/>
        <i x="101" s="1"/>
        <i x="17" s="1"/>
        <i x="33" s="1"/>
        <i x="61" s="1"/>
        <i x="8" s="1"/>
        <i x="102" s="1"/>
        <i x="62" s="1"/>
        <i x="19" s="1"/>
        <i x="34" s="1"/>
        <i x="35" s="1"/>
        <i x="12" s="1"/>
        <i x="36" s="1"/>
        <i x="37" s="1"/>
        <i x="58" s="1"/>
        <i x="18" s="1"/>
        <i x="38" s="1"/>
        <i x="60" s="1"/>
        <i x="111" s="1"/>
        <i x="85" s="1"/>
        <i x="39" s="1"/>
        <i x="40" s="1"/>
        <i x="41" s="1"/>
        <i x="95" s="1"/>
        <i x="43" s="1"/>
        <i x="44" s="1"/>
        <i x="20" s="1"/>
        <i x="103" s="1"/>
        <i x="91" s="1"/>
        <i x="45" s="1"/>
        <i x="21" s="1"/>
        <i x="0" s="1"/>
        <i x="46" s="1"/>
        <i x="4" s="1"/>
        <i x="47" s="1"/>
        <i x="14" s="1"/>
        <i x="48" s="1"/>
        <i x="50" s="1"/>
        <i x="84" s="1"/>
        <i x="49" s="1"/>
        <i x="79" s="1"/>
        <i x="104" s="1"/>
        <i x="51" s="1"/>
        <i x="52" s="1"/>
        <i x="2" s="1"/>
        <i x="6" s="1"/>
        <i x="53" s="1"/>
        <i x="63" s="1"/>
        <i x="87" s="1"/>
        <i x="7" s="1"/>
        <i x="65" s="1"/>
        <i x="105" s="1"/>
        <i x="93" s="1"/>
        <i x="106" s="1"/>
        <i x="74" s="1"/>
        <i x="107" s="1"/>
        <i x="71" s="1"/>
        <i x="72" s="1"/>
        <i x="64" s="1"/>
        <i x="66" s="1"/>
        <i x="24" s="1"/>
        <i x="23" s="1"/>
        <i x="70" s="1"/>
        <i x="108" s="1"/>
        <i x="76" s="1"/>
        <i x="75" s="1"/>
        <i x="68" s="1"/>
        <i x="15" s="1"/>
        <i x="67" s="1"/>
        <i x="25" s="1"/>
        <i x="54" s="1"/>
        <i x="55" s="1"/>
        <i x="56" s="1"/>
        <i x="78" s="1"/>
        <i x="57" s="1"/>
        <i x="9" s="1"/>
        <i x="2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Участок" xr10:uid="{D90D8A6F-0639-4F22-9DE5-D657E12CA634}" sourceName="Участок">
  <pivotTables>
    <pivotTable tabId="6" name="Сводная таблица1"/>
    <pivotTable tabId="6" name="Сводная таблица2"/>
  </pivotTables>
  <data>
    <tabular pivotCacheId="1411127605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Участок 1" xr10:uid="{B61FF747-16CC-423B-8A87-4984F4496F26}" cache="Срез_Участок1" caption="Участок" rowHeight="241300"/>
  <slicer name="Должность" xr10:uid="{A22E66D2-44FD-4564-B7F0-6B82EF1B33DE}" cache="Срез_Должность" caption="Должность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отрудник" xr10:uid="{2B4544FB-2086-4789-A90A-87359552C8CC}" cache="Срез_Сотрудник" caption="Сотрудник" columnCount="3" rowHeight="241300"/>
  <slicer name="Участок" xr10:uid="{65ECAE8B-1691-4E34-98BC-72F0755E26A7}" cache="Срез_Участок" caption="Участок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A0215-3458-4C3D-B13E-050C7175F691}" name="Таблица1" displayName="Таблица1" ref="A16:V4035" totalsRowCount="1" headerRowDxfId="282">
  <autoFilter ref="A16:V4034" xr:uid="{A6AA0215-3458-4C3D-B13E-050C7175F691}"/>
  <tableColumns count="22">
    <tableColumn id="16" xr3:uid="{6FF588DC-28E6-4C0E-A2AC-1577C724582A}" name="Месяц" totalsRowLabel="Итог" dataDxfId="223"/>
    <tableColumn id="1" xr3:uid="{AAAE3417-0944-4A1C-8424-092393542689}" name="Число месяца" totalsRowFunction="count" dataDxfId="222"/>
    <tableColumn id="2" xr3:uid="{D5E6EC92-0C9F-48F9-B363-2E0DC9F85172}" name="Сотрудник">
      <calculatedColumnFormula>LEFT(Таблица1[[#This Row],[Сотрудник]],3)</calculatedColumnFormula>
    </tableColumn>
    <tableColumn id="3" xr3:uid="{E7B0F68E-6538-45E7-A425-32DF7F15D856}" name="Должность"/>
    <tableColumn id="19" xr3:uid="{BC6D4EE0-A741-4852-89A0-38E4AFA7AF75}" name="Участок"/>
    <tableColumn id="4" xr3:uid="{43E8FCA1-A0E4-47CD-9351-2B0F8A1B4D29}" name="ТИП ТС"/>
    <tableColumn id="5" xr3:uid="{FE1227AB-B768-495F-A957-8D02BE146180}" name="Гос.№ ТС"/>
    <tableColumn id="6" xr3:uid="{1977982F-92B4-4B62-A6D0-BD78F2582E8F}" name="Статус"/>
    <tableColumn id="7" xr3:uid="{6B3E044F-8E1B-43FE-94ED-EB6A652987A4}" name="Заказчик"/>
    <tableColumn id="8" xr3:uid="{0F61A242-93D4-4429-8B8F-610C7ECBCBFD}" name="Часов в табеле" totalsRowFunction="sum" totalsRowDxfId="281"/>
    <tableColumn id="20" xr3:uid="{43ED391C-556B-4B67-BBAE-8A5F0079CFAF}" name="ТТН" totalsRowFunction="sum"/>
    <tableColumn id="9" xr3:uid="{AAAB02D7-BFFB-42B5-BDC8-77B7BE7795E5}" name="Часов на заказчика  в работе" totalsRowFunction="sum" totalsRowDxfId="280"/>
    <tableColumn id="14" xr3:uid="{5B8E28A5-F3D6-4C8B-832D-8B23E1997360}" name="Часов на заказчика  дежурство"/>
    <tableColumn id="17" xr3:uid="{B3D7C55D-980E-46B6-94DE-F648AB210CFB}" name="Итого часов на заказчика" dataDxfId="279">
      <calculatedColumnFormula>Таблица1[[#This Row],[Часов на заказчика  в работе]]+Таблица1[[#This Row],[Часов на заказчика  дежурство]]</calculatedColumnFormula>
    </tableColumn>
    <tableColumn id="18" xr3:uid="{52D31114-1D1E-471B-907C-0197C90FDB0F}" name="Разница часов" dataDxfId="216">
      <calculatedColumnFormula>IF(OR(Таблица1[[#This Row],[Заказчик]]="Ун",Таблица1[[#This Row],[Заказчик]]="КР"),0,Таблица1[[#This Row],[Итого часов на заказчика]]-Таблица1[[#This Row],[Часов в табеле]])</calculatedColumnFormula>
    </tableColumn>
    <tableColumn id="11" xr3:uid="{26DD7A72-31FE-45EB-8D37-58401E6AD539}" name="Подверждающий документ"/>
    <tableColumn id="12" xr3:uid="{8772FB66-B7D9-42DD-B506-791A9DFEBBBF}" name="Ставка руб." dataDxfId="278" totalsRowDxfId="221"/>
    <tableColumn id="15" xr3:uid="{82E2920D-44C9-462E-AAB7-992C7BC4E42D}" name="Ставка за ТТН" dataDxfId="277" totalsRowDxfId="220"/>
    <tableColumn id="13" xr3:uid="{A6D53BC1-D284-4013-957F-E01FB3BAA45F}" name="КТУ" dataDxfId="276" totalsRowDxfId="219"/>
    <tableColumn id="21" xr3:uid="{9FEDE989-0044-40D6-B4E4-953A42E10059}" name="ЗП за часы" totalsRowFunction="sum" dataDxfId="275" totalsRowDxfId="218">
      <calculatedColumnFormula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табеле]])*S17,0)</calculatedColumnFormula>
    </tableColumn>
    <tableColumn id="22" xr3:uid="{A24B8527-25A1-4955-889F-89DA625F6C63}" name="Сумма за ТТН" totalsRowFunction="sum" dataDxfId="274" totalsRowDxfId="217">
      <calculatedColumnFormula>IF(Таблица1[[#This Row],[ТТН]]&gt;0,Таблица1[[#This Row],[Ставка за ТТН]]*Таблица1[[#This Row],[ТТН]],0)</calculatedColumnFormula>
    </tableColumn>
    <tableColumn id="10" xr3:uid="{F86D8D2B-CAD9-49E7-BD34-3E20988A077B}" name="Комментарий" totalsRowFunction="count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8CF0-8581-44B3-AFD6-7F93CC6F59CD}">
  <dimension ref="A2:V4035"/>
  <sheetViews>
    <sheetView zoomScale="80" zoomScaleNormal="80" workbookViewId="0">
      <pane ySplit="16" topLeftCell="A17" activePane="bottomLeft" state="frozen"/>
      <selection pane="bottomLeft" activeCell="W34" sqref="W34"/>
    </sheetView>
  </sheetViews>
  <sheetFormatPr defaultRowHeight="15" x14ac:dyDescent="0.25"/>
  <cols>
    <col min="1" max="1" width="7.28515625" customWidth="1"/>
    <col min="2" max="2" width="6.7109375" customWidth="1"/>
    <col min="3" max="4" width="25.85546875" customWidth="1"/>
    <col min="5" max="5" width="15.5703125" customWidth="1"/>
    <col min="6" max="6" width="12" customWidth="1"/>
    <col min="7" max="7" width="10.85546875" customWidth="1"/>
    <col min="8" max="8" width="12.7109375" customWidth="1"/>
    <col min="9" max="9" width="10.5703125" customWidth="1"/>
    <col min="10" max="10" width="14.28515625" customWidth="1"/>
    <col min="11" max="12" width="9" customWidth="1"/>
    <col min="13" max="13" width="11.140625" customWidth="1"/>
    <col min="14" max="14" width="11.28515625" customWidth="1"/>
    <col min="15" max="15" width="10.85546875" customWidth="1"/>
    <col min="16" max="16" width="10.42578125" customWidth="1"/>
    <col min="17" max="17" width="12.85546875" customWidth="1"/>
    <col min="18" max="18" width="9.42578125" customWidth="1"/>
    <col min="19" max="19" width="9" customWidth="1"/>
    <col min="20" max="20" width="12" bestFit="1" customWidth="1"/>
    <col min="21" max="21" width="8.85546875" customWidth="1"/>
    <col min="22" max="22" width="9" customWidth="1"/>
    <col min="23" max="23" width="26.140625" customWidth="1"/>
    <col min="25" max="25" width="15.42578125" customWidth="1"/>
  </cols>
  <sheetData>
    <row r="2" spans="1:22" hidden="1" x14ac:dyDescent="0.25">
      <c r="I2" t="s">
        <v>38</v>
      </c>
      <c r="J2" s="19" t="s">
        <v>43</v>
      </c>
    </row>
    <row r="3" spans="1:22" hidden="1" x14ac:dyDescent="0.25">
      <c r="I3" t="s">
        <v>48</v>
      </c>
      <c r="J3" s="19" t="s">
        <v>37</v>
      </c>
    </row>
    <row r="4" spans="1:22" hidden="1" x14ac:dyDescent="0.25">
      <c r="I4" t="s">
        <v>24</v>
      </c>
      <c r="J4" s="19" t="s">
        <v>41</v>
      </c>
    </row>
    <row r="5" spans="1:22" hidden="1" x14ac:dyDescent="0.25">
      <c r="I5" t="s">
        <v>30</v>
      </c>
      <c r="J5" s="19" t="s">
        <v>16</v>
      </c>
    </row>
    <row r="6" spans="1:22" hidden="1" x14ac:dyDescent="0.25">
      <c r="I6" t="s">
        <v>70</v>
      </c>
      <c r="J6" s="19" t="s">
        <v>92</v>
      </c>
    </row>
    <row r="7" spans="1:22" hidden="1" x14ac:dyDescent="0.25">
      <c r="I7" t="s">
        <v>29</v>
      </c>
      <c r="J7" s="19" t="s">
        <v>11</v>
      </c>
    </row>
    <row r="8" spans="1:22" hidden="1" x14ac:dyDescent="0.25">
      <c r="I8" t="s">
        <v>44</v>
      </c>
    </row>
    <row r="9" spans="1:22" hidden="1" x14ac:dyDescent="0.25">
      <c r="I9" t="s">
        <v>50</v>
      </c>
    </row>
    <row r="10" spans="1:22" hidden="1" x14ac:dyDescent="0.25">
      <c r="I10" t="s">
        <v>81</v>
      </c>
    </row>
    <row r="11" spans="1:22" hidden="1" x14ac:dyDescent="0.25">
      <c r="I11" t="s">
        <v>52</v>
      </c>
    </row>
    <row r="12" spans="1:22" hidden="1" x14ac:dyDescent="0.25">
      <c r="I12" t="s">
        <v>10</v>
      </c>
    </row>
    <row r="13" spans="1:22" hidden="1" x14ac:dyDescent="0.25">
      <c r="I13" t="s">
        <v>23</v>
      </c>
    </row>
    <row r="16" spans="1:22" s="1" customFormat="1" ht="51" customHeight="1" x14ac:dyDescent="0.25">
      <c r="A16" s="2" t="s">
        <v>19</v>
      </c>
      <c r="B16" s="4" t="s">
        <v>18</v>
      </c>
      <c r="C16" s="2" t="s">
        <v>213</v>
      </c>
      <c r="D16" s="2" t="s">
        <v>1</v>
      </c>
      <c r="E16" s="2" t="s">
        <v>27</v>
      </c>
      <c r="F16" s="2" t="s">
        <v>3</v>
      </c>
      <c r="G16" s="2" t="s">
        <v>2</v>
      </c>
      <c r="H16" s="2" t="s">
        <v>4</v>
      </c>
      <c r="I16" s="2" t="s">
        <v>5</v>
      </c>
      <c r="J16" s="2" t="s">
        <v>6</v>
      </c>
      <c r="K16" s="2" t="s">
        <v>47</v>
      </c>
      <c r="L16" s="2" t="s">
        <v>14</v>
      </c>
      <c r="M16" s="2" t="s">
        <v>15</v>
      </c>
      <c r="N16" s="2" t="s">
        <v>25</v>
      </c>
      <c r="O16" s="2" t="s">
        <v>46</v>
      </c>
      <c r="P16" s="4" t="s">
        <v>7</v>
      </c>
      <c r="Q16" s="8" t="s">
        <v>22</v>
      </c>
      <c r="R16" s="8" t="s">
        <v>60</v>
      </c>
      <c r="S16" s="2" t="s">
        <v>8</v>
      </c>
      <c r="T16" s="2" t="s">
        <v>53</v>
      </c>
      <c r="U16" s="2" t="s">
        <v>61</v>
      </c>
      <c r="V16" s="2" t="s">
        <v>0</v>
      </c>
    </row>
    <row r="17" spans="1:21" x14ac:dyDescent="0.25">
      <c r="A17" t="s">
        <v>84</v>
      </c>
      <c r="B17" s="24">
        <v>1</v>
      </c>
      <c r="C17" t="s">
        <v>101</v>
      </c>
      <c r="D17" t="s">
        <v>9</v>
      </c>
      <c r="E17" t="s">
        <v>214</v>
      </c>
      <c r="F17" t="s">
        <v>9</v>
      </c>
      <c r="H17" t="s">
        <v>10</v>
      </c>
      <c r="I17" t="s">
        <v>217</v>
      </c>
      <c r="J17">
        <v>11</v>
      </c>
      <c r="N17">
        <f>Таблица1[[#This Row],[Часов на заказчика  в работе]]+Таблица1[[#This Row],[Часов на заказчика  дежурство]]</f>
        <v>0</v>
      </c>
      <c r="O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" s="9">
        <v>100000</v>
      </c>
      <c r="R17" s="9"/>
      <c r="S17" s="5">
        <v>1</v>
      </c>
      <c r="T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табеле]])*S17,0)</f>
        <v>3333.333333333333</v>
      </c>
      <c r="U17" s="5">
        <f>IF(Таблица1[[#This Row],[ТТН]]&gt;0,Таблица1[[#This Row],[Ставка за ТТН]]*Таблица1[[#This Row],[ТТН]],0)</f>
        <v>0</v>
      </c>
    </row>
    <row r="18" spans="1:21" x14ac:dyDescent="0.25">
      <c r="A18" t="s">
        <v>84</v>
      </c>
      <c r="B18" s="24">
        <v>2</v>
      </c>
      <c r="C18" t="s">
        <v>101</v>
      </c>
      <c r="D18" t="s">
        <v>9</v>
      </c>
      <c r="E18" t="s">
        <v>214</v>
      </c>
      <c r="F18" t="s">
        <v>9</v>
      </c>
      <c r="H18" t="s">
        <v>10</v>
      </c>
      <c r="I18" t="s">
        <v>217</v>
      </c>
      <c r="J18">
        <v>11</v>
      </c>
      <c r="N18">
        <f>Таблица1[[#This Row],[Часов на заказчика  в работе]]+Таблица1[[#This Row],[Часов на заказчика  дежурство]]</f>
        <v>0</v>
      </c>
      <c r="O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" s="9">
        <v>100000</v>
      </c>
      <c r="R18" s="9"/>
      <c r="S18" s="5">
        <v>1</v>
      </c>
      <c r="T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табеле]])*S18,0)</f>
        <v>3333.333333333333</v>
      </c>
      <c r="U18" s="5">
        <f>IF(Таблица1[[#This Row],[ТТН]]&gt;0,Таблица1[[#This Row],[Ставка за ТТН]]*Таблица1[[#This Row],[ТТН]],0)</f>
        <v>0</v>
      </c>
    </row>
    <row r="19" spans="1:21" x14ac:dyDescent="0.25">
      <c r="A19" t="s">
        <v>84</v>
      </c>
      <c r="B19" s="24">
        <v>3</v>
      </c>
      <c r="C19" t="s">
        <v>101</v>
      </c>
      <c r="D19" t="s">
        <v>9</v>
      </c>
      <c r="E19" t="s">
        <v>214</v>
      </c>
      <c r="F19" t="s">
        <v>9</v>
      </c>
      <c r="H19" t="s">
        <v>10</v>
      </c>
      <c r="I19" t="s">
        <v>217</v>
      </c>
      <c r="J19">
        <v>11</v>
      </c>
      <c r="N19">
        <f>Таблица1[[#This Row],[Часов на заказчика  в работе]]+Таблица1[[#This Row],[Часов на заказчика  дежурство]]</f>
        <v>0</v>
      </c>
      <c r="O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" s="9">
        <v>100000</v>
      </c>
      <c r="R19" s="9"/>
      <c r="S19" s="5">
        <v>1</v>
      </c>
      <c r="T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табеле]])*S19,0)</f>
        <v>3333.333333333333</v>
      </c>
      <c r="U19" s="5">
        <f>IF(Таблица1[[#This Row],[ТТН]]&gt;0,Таблица1[[#This Row],[Ставка за ТТН]]*Таблица1[[#This Row],[ТТН]],0)</f>
        <v>0</v>
      </c>
    </row>
    <row r="20" spans="1:21" x14ac:dyDescent="0.25">
      <c r="A20" t="s">
        <v>84</v>
      </c>
      <c r="B20" s="24">
        <v>4</v>
      </c>
      <c r="C20" t="s">
        <v>101</v>
      </c>
      <c r="D20" t="s">
        <v>9</v>
      </c>
      <c r="E20" t="s">
        <v>214</v>
      </c>
      <c r="F20" t="s">
        <v>9</v>
      </c>
      <c r="H20" t="s">
        <v>10</v>
      </c>
      <c r="I20" t="s">
        <v>217</v>
      </c>
      <c r="J20">
        <v>3</v>
      </c>
      <c r="N20">
        <f>Таблица1[[#This Row],[Часов на заказчика  в работе]]+Таблица1[[#This Row],[Часов на заказчика  дежурство]]</f>
        <v>0</v>
      </c>
      <c r="O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" s="9">
        <v>100000</v>
      </c>
      <c r="R20" s="9"/>
      <c r="S20" s="5">
        <v>1</v>
      </c>
      <c r="T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табеле]])*S20,0)</f>
        <v>909.09090909090901</v>
      </c>
      <c r="U20" s="5">
        <f>IF(Таблица1[[#This Row],[ТТН]]&gt;0,Таблица1[[#This Row],[Ставка за ТТН]]*Таблица1[[#This Row],[ТТН]],0)</f>
        <v>0</v>
      </c>
    </row>
    <row r="21" spans="1:21" x14ac:dyDescent="0.25">
      <c r="A21" t="s">
        <v>84</v>
      </c>
      <c r="B21" s="24">
        <v>4</v>
      </c>
      <c r="C21" t="s">
        <v>101</v>
      </c>
      <c r="D21" t="s">
        <v>9</v>
      </c>
      <c r="E21" t="s">
        <v>214</v>
      </c>
      <c r="F21" t="s">
        <v>9</v>
      </c>
      <c r="H21" t="s">
        <v>24</v>
      </c>
      <c r="I21" t="s">
        <v>217</v>
      </c>
      <c r="J21">
        <v>5</v>
      </c>
      <c r="N21">
        <f>Таблица1[[#This Row],[Часов на заказчика  в работе]]+Таблица1[[#This Row],[Часов на заказчика  дежурство]]</f>
        <v>0</v>
      </c>
      <c r="O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" s="9">
        <v>100000</v>
      </c>
      <c r="R21" s="9"/>
      <c r="S21" s="5">
        <v>1</v>
      </c>
      <c r="T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табеле]])*S21,0)</f>
        <v>0</v>
      </c>
      <c r="U21" s="5">
        <f>IF(Таблица1[[#This Row],[ТТН]]&gt;0,Таблица1[[#This Row],[Ставка за ТТН]]*Таблица1[[#This Row],[ТТН]],0)</f>
        <v>0</v>
      </c>
    </row>
    <row r="22" spans="1:21" x14ac:dyDescent="0.25">
      <c r="A22" t="s">
        <v>84</v>
      </c>
      <c r="B22" s="24">
        <v>5</v>
      </c>
      <c r="C22" t="s">
        <v>101</v>
      </c>
      <c r="D22" t="s">
        <v>9</v>
      </c>
      <c r="E22" t="s">
        <v>214</v>
      </c>
      <c r="F22" t="s">
        <v>9</v>
      </c>
      <c r="H22" t="s">
        <v>24</v>
      </c>
      <c r="I22" t="s">
        <v>217</v>
      </c>
      <c r="J22">
        <v>8</v>
      </c>
      <c r="N22">
        <f>Таблица1[[#This Row],[Часов на заказчика  в работе]]+Таблица1[[#This Row],[Часов на заказчика  дежурство]]</f>
        <v>0</v>
      </c>
      <c r="O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" s="9">
        <v>100000</v>
      </c>
      <c r="R22" s="9"/>
      <c r="S22" s="5">
        <v>1</v>
      </c>
      <c r="T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табеле]])*S22,0)</f>
        <v>0</v>
      </c>
      <c r="U22" s="5">
        <f>IF(Таблица1[[#This Row],[ТТН]]&gt;0,Таблица1[[#This Row],[Ставка за ТТН]]*Таблица1[[#This Row],[ТТН]],0)</f>
        <v>0</v>
      </c>
    </row>
    <row r="23" spans="1:21" x14ac:dyDescent="0.25">
      <c r="A23" t="s">
        <v>84</v>
      </c>
      <c r="B23" s="24">
        <v>6</v>
      </c>
      <c r="C23" t="s">
        <v>101</v>
      </c>
      <c r="D23" t="s">
        <v>9</v>
      </c>
      <c r="E23" t="s">
        <v>214</v>
      </c>
      <c r="F23" t="s">
        <v>9</v>
      </c>
      <c r="H23" t="s">
        <v>24</v>
      </c>
      <c r="I23" t="s">
        <v>217</v>
      </c>
      <c r="J23">
        <v>8</v>
      </c>
      <c r="N23">
        <f>Таблица1[[#This Row],[Часов на заказчика  в работе]]+Таблица1[[#This Row],[Часов на заказчика  дежурство]]</f>
        <v>0</v>
      </c>
      <c r="O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" s="9">
        <v>100000</v>
      </c>
      <c r="R23" s="9"/>
      <c r="S23" s="5">
        <v>1</v>
      </c>
      <c r="T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табеле]])*S23,0)</f>
        <v>0</v>
      </c>
      <c r="U23" s="5">
        <f>IF(Таблица1[[#This Row],[ТТН]]&gt;0,Таблица1[[#This Row],[Ставка за ТТН]]*Таблица1[[#This Row],[ТТН]],0)</f>
        <v>0</v>
      </c>
    </row>
    <row r="24" spans="1:21" x14ac:dyDescent="0.25">
      <c r="A24" t="s">
        <v>84</v>
      </c>
      <c r="B24" s="24">
        <v>7</v>
      </c>
      <c r="C24" t="s">
        <v>101</v>
      </c>
      <c r="D24" t="s">
        <v>9</v>
      </c>
      <c r="E24" t="s">
        <v>214</v>
      </c>
      <c r="F24" t="s">
        <v>9</v>
      </c>
      <c r="H24" t="s">
        <v>24</v>
      </c>
      <c r="I24" t="s">
        <v>217</v>
      </c>
      <c r="J24">
        <v>8</v>
      </c>
      <c r="N24">
        <f>Таблица1[[#This Row],[Часов на заказчика  в работе]]+Таблица1[[#This Row],[Часов на заказчика  дежурство]]</f>
        <v>0</v>
      </c>
      <c r="O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" s="9">
        <v>100000</v>
      </c>
      <c r="R24" s="9"/>
      <c r="S24" s="5">
        <v>1</v>
      </c>
      <c r="T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табеле]])*S24,0)</f>
        <v>0</v>
      </c>
      <c r="U24" s="5">
        <f>IF(Таблица1[[#This Row],[ТТН]]&gt;0,Таблица1[[#This Row],[Ставка за ТТН]]*Таблица1[[#This Row],[ТТН]],0)</f>
        <v>0</v>
      </c>
    </row>
    <row r="25" spans="1:21" x14ac:dyDescent="0.25">
      <c r="A25" t="s">
        <v>84</v>
      </c>
      <c r="B25" s="24">
        <v>8</v>
      </c>
      <c r="C25" t="s">
        <v>101</v>
      </c>
      <c r="D25" t="s">
        <v>9</v>
      </c>
      <c r="E25" t="s">
        <v>214</v>
      </c>
      <c r="F25" t="s">
        <v>9</v>
      </c>
      <c r="H25" t="s">
        <v>24</v>
      </c>
      <c r="I25" t="s">
        <v>217</v>
      </c>
      <c r="J25">
        <v>8</v>
      </c>
      <c r="N25">
        <f>Таблица1[[#This Row],[Часов на заказчика  в работе]]+Таблица1[[#This Row],[Часов на заказчика  дежурство]]</f>
        <v>0</v>
      </c>
      <c r="O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" s="9">
        <v>100000</v>
      </c>
      <c r="R25" s="9"/>
      <c r="S25" s="5">
        <v>1</v>
      </c>
      <c r="T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табеле]])*S25,0)</f>
        <v>0</v>
      </c>
      <c r="U25" s="5">
        <f>IF(Таблица1[[#This Row],[ТТН]]&gt;0,Таблица1[[#This Row],[Ставка за ТТН]]*Таблица1[[#This Row],[ТТН]],0)</f>
        <v>0</v>
      </c>
    </row>
    <row r="26" spans="1:21" x14ac:dyDescent="0.25">
      <c r="A26" t="s">
        <v>84</v>
      </c>
      <c r="B26" s="24">
        <v>9</v>
      </c>
      <c r="C26" t="s">
        <v>101</v>
      </c>
      <c r="D26" t="s">
        <v>9</v>
      </c>
      <c r="E26" t="s">
        <v>214</v>
      </c>
      <c r="F26" t="s">
        <v>9</v>
      </c>
      <c r="H26" t="s">
        <v>29</v>
      </c>
      <c r="I26" t="s">
        <v>217</v>
      </c>
      <c r="J26">
        <v>8</v>
      </c>
      <c r="N26">
        <f>Таблица1[[#This Row],[Часов на заказчика  в работе]]+Таблица1[[#This Row],[Часов на заказчика  дежурство]]</f>
        <v>0</v>
      </c>
      <c r="O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" s="9">
        <v>100000</v>
      </c>
      <c r="R26" s="9"/>
      <c r="S26" s="5">
        <v>1</v>
      </c>
      <c r="T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табеле]])*S26,0)</f>
        <v>0</v>
      </c>
      <c r="U26" s="5">
        <f>IF(Таблица1[[#This Row],[ТТН]]&gt;0,Таблица1[[#This Row],[Ставка за ТТН]]*Таблица1[[#This Row],[ТТН]],0)</f>
        <v>0</v>
      </c>
    </row>
    <row r="27" spans="1:21" x14ac:dyDescent="0.25">
      <c r="A27" t="s">
        <v>84</v>
      </c>
      <c r="B27" s="24">
        <v>10</v>
      </c>
      <c r="C27" t="s">
        <v>101</v>
      </c>
      <c r="D27" t="s">
        <v>9</v>
      </c>
      <c r="E27" t="s">
        <v>214</v>
      </c>
      <c r="F27" t="s">
        <v>9</v>
      </c>
      <c r="H27" t="s">
        <v>29</v>
      </c>
      <c r="I27" t="s">
        <v>217</v>
      </c>
      <c r="J27">
        <v>8</v>
      </c>
      <c r="N27">
        <f>Таблица1[[#This Row],[Часов на заказчика  в работе]]+Таблица1[[#This Row],[Часов на заказчика  дежурство]]</f>
        <v>0</v>
      </c>
      <c r="O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" s="9">
        <v>100000</v>
      </c>
      <c r="R27" s="9"/>
      <c r="S27" s="5">
        <v>1</v>
      </c>
      <c r="T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табеле]])*S27,0)</f>
        <v>0</v>
      </c>
      <c r="U27" s="5">
        <f>IF(Таблица1[[#This Row],[ТТН]]&gt;0,Таблица1[[#This Row],[Ставка за ТТН]]*Таблица1[[#This Row],[ТТН]],0)</f>
        <v>0</v>
      </c>
    </row>
    <row r="28" spans="1:21" x14ac:dyDescent="0.25">
      <c r="A28" t="s">
        <v>84</v>
      </c>
      <c r="B28" s="24">
        <v>11</v>
      </c>
      <c r="C28" t="s">
        <v>101</v>
      </c>
      <c r="D28" t="s">
        <v>9</v>
      </c>
      <c r="E28" t="s">
        <v>214</v>
      </c>
      <c r="F28" t="s">
        <v>9</v>
      </c>
      <c r="H28" t="s">
        <v>29</v>
      </c>
      <c r="I28" t="s">
        <v>217</v>
      </c>
      <c r="J28">
        <v>8</v>
      </c>
      <c r="N28">
        <f>Таблица1[[#This Row],[Часов на заказчика  в работе]]+Таблица1[[#This Row],[Часов на заказчика  дежурство]]</f>
        <v>0</v>
      </c>
      <c r="O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" s="9">
        <v>100000</v>
      </c>
      <c r="R28" s="9"/>
      <c r="S28" s="5">
        <v>1</v>
      </c>
      <c r="T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табеле]])*S28,0)</f>
        <v>0</v>
      </c>
      <c r="U28" s="5">
        <f>IF(Таблица1[[#This Row],[ТТН]]&gt;0,Таблица1[[#This Row],[Ставка за ТТН]]*Таблица1[[#This Row],[ТТН]],0)</f>
        <v>0</v>
      </c>
    </row>
    <row r="29" spans="1:21" x14ac:dyDescent="0.25">
      <c r="A29" t="s">
        <v>84</v>
      </c>
      <c r="B29" s="24">
        <v>12</v>
      </c>
      <c r="C29" t="s">
        <v>101</v>
      </c>
      <c r="D29" t="s">
        <v>9</v>
      </c>
      <c r="E29" t="s">
        <v>214</v>
      </c>
      <c r="F29" t="s">
        <v>9</v>
      </c>
      <c r="H29" t="s">
        <v>29</v>
      </c>
      <c r="I29" t="s">
        <v>217</v>
      </c>
      <c r="J29">
        <v>8</v>
      </c>
      <c r="N29">
        <f>Таблица1[[#This Row],[Часов на заказчика  в работе]]+Таблица1[[#This Row],[Часов на заказчика  дежурство]]</f>
        <v>0</v>
      </c>
      <c r="O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" s="9">
        <v>100000</v>
      </c>
      <c r="R29" s="9"/>
      <c r="S29" s="5">
        <v>1</v>
      </c>
      <c r="T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табеле]])*S29,0)</f>
        <v>0</v>
      </c>
      <c r="U29" s="5">
        <f>IF(Таблица1[[#This Row],[ТТН]]&gt;0,Таблица1[[#This Row],[Ставка за ТТН]]*Таблица1[[#This Row],[ТТН]],0)</f>
        <v>0</v>
      </c>
    </row>
    <row r="30" spans="1:21" x14ac:dyDescent="0.25">
      <c r="A30" t="s">
        <v>84</v>
      </c>
      <c r="B30" s="24">
        <v>13</v>
      </c>
      <c r="C30" t="s">
        <v>101</v>
      </c>
      <c r="D30" t="s">
        <v>9</v>
      </c>
      <c r="E30" t="s">
        <v>214</v>
      </c>
      <c r="F30" t="s">
        <v>9</v>
      </c>
      <c r="H30" t="s">
        <v>30</v>
      </c>
      <c r="I30" t="s">
        <v>217</v>
      </c>
      <c r="J30">
        <v>1</v>
      </c>
      <c r="N30">
        <f>Таблица1[[#This Row],[Часов на заказчика  в работе]]+Таблица1[[#This Row],[Часов на заказчика  дежурство]]</f>
        <v>0</v>
      </c>
      <c r="O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" s="9">
        <v>100000</v>
      </c>
      <c r="R30" s="9"/>
      <c r="S30" s="5">
        <v>1</v>
      </c>
      <c r="T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табеле]])*S30,0)</f>
        <v>0</v>
      </c>
      <c r="U30" s="5">
        <f>IF(Таблица1[[#This Row],[ТТН]]&gt;0,Таблица1[[#This Row],[Ставка за ТТН]]*Таблица1[[#This Row],[ТТН]],0)</f>
        <v>0</v>
      </c>
    </row>
    <row r="31" spans="1:21" x14ac:dyDescent="0.25">
      <c r="A31" t="s">
        <v>84</v>
      </c>
      <c r="B31" s="24">
        <v>14</v>
      </c>
      <c r="C31" t="s">
        <v>101</v>
      </c>
      <c r="D31" t="s">
        <v>9</v>
      </c>
      <c r="E31" t="s">
        <v>214</v>
      </c>
      <c r="F31" t="s">
        <v>9</v>
      </c>
      <c r="H31" t="s">
        <v>30</v>
      </c>
      <c r="I31" t="s">
        <v>217</v>
      </c>
      <c r="J31">
        <v>1</v>
      </c>
      <c r="N31">
        <f>Таблица1[[#This Row],[Часов на заказчика  в работе]]+Таблица1[[#This Row],[Часов на заказчика  дежурство]]</f>
        <v>0</v>
      </c>
      <c r="O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" s="9">
        <v>100000</v>
      </c>
      <c r="R31" s="9"/>
      <c r="S31" s="5">
        <v>1</v>
      </c>
      <c r="T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табеле]])*S31,0)</f>
        <v>0</v>
      </c>
      <c r="U31" s="5">
        <f>IF(Таблица1[[#This Row],[ТТН]]&gt;0,Таблица1[[#This Row],[Ставка за ТТН]]*Таблица1[[#This Row],[ТТН]],0)</f>
        <v>0</v>
      </c>
    </row>
    <row r="32" spans="1:21" x14ac:dyDescent="0.25">
      <c r="A32" t="s">
        <v>84</v>
      </c>
      <c r="B32" s="24">
        <v>15</v>
      </c>
      <c r="C32" t="s">
        <v>101</v>
      </c>
      <c r="D32" t="s">
        <v>9</v>
      </c>
      <c r="E32" t="s">
        <v>214</v>
      </c>
      <c r="F32" t="s">
        <v>9</v>
      </c>
      <c r="H32" t="s">
        <v>29</v>
      </c>
      <c r="I32" t="s">
        <v>217</v>
      </c>
      <c r="J32">
        <v>8</v>
      </c>
      <c r="N32">
        <f>Таблица1[[#This Row],[Часов на заказчика  в работе]]+Таблица1[[#This Row],[Часов на заказчика  дежурство]]</f>
        <v>0</v>
      </c>
      <c r="O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" s="9">
        <v>100000</v>
      </c>
      <c r="R32" s="9"/>
      <c r="S32" s="5">
        <v>1</v>
      </c>
      <c r="T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табеле]])*S32,0)</f>
        <v>0</v>
      </c>
      <c r="U32" s="5">
        <f>IF(Таблица1[[#This Row],[ТТН]]&gt;0,Таблица1[[#This Row],[Ставка за ТТН]]*Таблица1[[#This Row],[ТТН]],0)</f>
        <v>0</v>
      </c>
    </row>
    <row r="33" spans="1:21" x14ac:dyDescent="0.25">
      <c r="A33" t="s">
        <v>84</v>
      </c>
      <c r="B33" s="24">
        <v>16</v>
      </c>
      <c r="C33" t="s">
        <v>101</v>
      </c>
      <c r="D33" t="s">
        <v>9</v>
      </c>
      <c r="E33" t="s">
        <v>214</v>
      </c>
      <c r="F33" t="s">
        <v>9</v>
      </c>
      <c r="H33" t="s">
        <v>29</v>
      </c>
      <c r="I33" t="s">
        <v>217</v>
      </c>
      <c r="J33">
        <v>8</v>
      </c>
      <c r="N33">
        <f>Таблица1[[#This Row],[Часов на заказчика  в работе]]+Таблица1[[#This Row],[Часов на заказчика  дежурство]]</f>
        <v>0</v>
      </c>
      <c r="O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" s="9">
        <v>100000</v>
      </c>
      <c r="R33" s="9"/>
      <c r="S33" s="5">
        <v>1</v>
      </c>
      <c r="T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табеле]])*S33,0)</f>
        <v>0</v>
      </c>
      <c r="U33" s="5">
        <f>IF(Таблица1[[#This Row],[ТТН]]&gt;0,Таблица1[[#This Row],[Ставка за ТТН]]*Таблица1[[#This Row],[ТТН]],0)</f>
        <v>0</v>
      </c>
    </row>
    <row r="34" spans="1:21" x14ac:dyDescent="0.25">
      <c r="A34" t="s">
        <v>84</v>
      </c>
      <c r="B34" s="24">
        <v>17</v>
      </c>
      <c r="C34" t="s">
        <v>101</v>
      </c>
      <c r="D34" t="s">
        <v>9</v>
      </c>
      <c r="E34" t="s">
        <v>214</v>
      </c>
      <c r="F34" t="s">
        <v>9</v>
      </c>
      <c r="H34" t="s">
        <v>29</v>
      </c>
      <c r="I34" t="s">
        <v>217</v>
      </c>
      <c r="J34">
        <v>8</v>
      </c>
      <c r="N34">
        <f>Таблица1[[#This Row],[Часов на заказчика  в работе]]+Таблица1[[#This Row],[Часов на заказчика  дежурство]]</f>
        <v>0</v>
      </c>
      <c r="O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" s="9">
        <v>100000</v>
      </c>
      <c r="R34" s="9"/>
      <c r="S34" s="5">
        <v>1</v>
      </c>
      <c r="T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табеле]])*S34,0)</f>
        <v>0</v>
      </c>
      <c r="U34" s="5">
        <f>IF(Таблица1[[#This Row],[ТТН]]&gt;0,Таблица1[[#This Row],[Ставка за ТТН]]*Таблица1[[#This Row],[ТТН]],0)</f>
        <v>0</v>
      </c>
    </row>
    <row r="35" spans="1:21" x14ac:dyDescent="0.25">
      <c r="A35" t="s">
        <v>84</v>
      </c>
      <c r="B35" s="24">
        <v>18</v>
      </c>
      <c r="C35" t="s">
        <v>101</v>
      </c>
      <c r="D35" t="s">
        <v>9</v>
      </c>
      <c r="E35" t="s">
        <v>214</v>
      </c>
      <c r="F35" t="s">
        <v>9</v>
      </c>
      <c r="H35" t="s">
        <v>29</v>
      </c>
      <c r="I35" t="s">
        <v>217</v>
      </c>
      <c r="J35">
        <v>8</v>
      </c>
      <c r="N35">
        <f>Таблица1[[#This Row],[Часов на заказчика  в работе]]+Таблица1[[#This Row],[Часов на заказчика  дежурство]]</f>
        <v>0</v>
      </c>
      <c r="O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" s="9">
        <v>100000</v>
      </c>
      <c r="R35" s="9"/>
      <c r="S35" s="5">
        <v>1</v>
      </c>
      <c r="T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табеле]])*S35,0)</f>
        <v>0</v>
      </c>
      <c r="U35" s="5">
        <f>IF(Таблица1[[#This Row],[ТТН]]&gt;0,Таблица1[[#This Row],[Ставка за ТТН]]*Таблица1[[#This Row],[ТТН]],0)</f>
        <v>0</v>
      </c>
    </row>
    <row r="36" spans="1:21" x14ac:dyDescent="0.25">
      <c r="A36" t="s">
        <v>84</v>
      </c>
      <c r="B36" s="24">
        <v>19</v>
      </c>
      <c r="C36" t="s">
        <v>101</v>
      </c>
      <c r="D36" t="s">
        <v>9</v>
      </c>
      <c r="E36" t="s">
        <v>214</v>
      </c>
      <c r="F36" t="s">
        <v>9</v>
      </c>
      <c r="H36" t="s">
        <v>29</v>
      </c>
      <c r="I36" t="s">
        <v>217</v>
      </c>
      <c r="J36">
        <v>8</v>
      </c>
      <c r="N36">
        <f>Таблица1[[#This Row],[Часов на заказчика  в работе]]+Таблица1[[#This Row],[Часов на заказчика  дежурство]]</f>
        <v>0</v>
      </c>
      <c r="O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" s="9">
        <v>100000</v>
      </c>
      <c r="R36" s="9"/>
      <c r="S36" s="5">
        <v>1</v>
      </c>
      <c r="T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табеле]])*S36,0)</f>
        <v>0</v>
      </c>
      <c r="U36" s="5">
        <f>IF(Таблица1[[#This Row],[ТТН]]&gt;0,Таблица1[[#This Row],[Ставка за ТТН]]*Таблица1[[#This Row],[ТТН]],0)</f>
        <v>0</v>
      </c>
    </row>
    <row r="37" spans="1:21" x14ac:dyDescent="0.25">
      <c r="A37" t="s">
        <v>84</v>
      </c>
      <c r="B37" s="24">
        <v>20</v>
      </c>
      <c r="C37" t="s">
        <v>101</v>
      </c>
      <c r="D37" t="s">
        <v>9</v>
      </c>
      <c r="E37" t="s">
        <v>214</v>
      </c>
      <c r="F37" t="s">
        <v>9</v>
      </c>
      <c r="H37" t="s">
        <v>30</v>
      </c>
      <c r="I37" t="s">
        <v>217</v>
      </c>
      <c r="J37">
        <v>1</v>
      </c>
      <c r="N37">
        <f>Таблица1[[#This Row],[Часов на заказчика  в работе]]+Таблица1[[#This Row],[Часов на заказчика  дежурство]]</f>
        <v>0</v>
      </c>
      <c r="O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" s="9">
        <v>100000</v>
      </c>
      <c r="R37" s="9"/>
      <c r="S37" s="5">
        <v>1</v>
      </c>
      <c r="T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табеле]])*S37,0)</f>
        <v>0</v>
      </c>
      <c r="U37" s="5">
        <f>IF(Таблица1[[#This Row],[ТТН]]&gt;0,Таблица1[[#This Row],[Ставка за ТТН]]*Таблица1[[#This Row],[ТТН]],0)</f>
        <v>0</v>
      </c>
    </row>
    <row r="38" spans="1:21" x14ac:dyDescent="0.25">
      <c r="A38" t="s">
        <v>84</v>
      </c>
      <c r="B38" s="24">
        <v>21</v>
      </c>
      <c r="C38" t="s">
        <v>101</v>
      </c>
      <c r="D38" t="s">
        <v>9</v>
      </c>
      <c r="E38" t="s">
        <v>214</v>
      </c>
      <c r="F38" t="s">
        <v>9</v>
      </c>
      <c r="H38" t="s">
        <v>30</v>
      </c>
      <c r="I38" t="s">
        <v>217</v>
      </c>
      <c r="J38">
        <v>1</v>
      </c>
      <c r="N38">
        <f>Таблица1[[#This Row],[Часов на заказчика  в работе]]+Таблица1[[#This Row],[Часов на заказчика  дежурство]]</f>
        <v>0</v>
      </c>
      <c r="O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" s="9">
        <v>100000</v>
      </c>
      <c r="R38" s="9"/>
      <c r="S38" s="5">
        <v>1</v>
      </c>
      <c r="T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табеле]])*S38,0)</f>
        <v>0</v>
      </c>
      <c r="U38" s="5">
        <f>IF(Таблица1[[#This Row],[ТТН]]&gt;0,Таблица1[[#This Row],[Ставка за ТТН]]*Таблица1[[#This Row],[ТТН]],0)</f>
        <v>0</v>
      </c>
    </row>
    <row r="39" spans="1:21" x14ac:dyDescent="0.25">
      <c r="A39" t="s">
        <v>84</v>
      </c>
      <c r="B39" s="24">
        <v>22</v>
      </c>
      <c r="C39" t="s">
        <v>101</v>
      </c>
      <c r="D39" t="s">
        <v>9</v>
      </c>
      <c r="E39" t="s">
        <v>214</v>
      </c>
      <c r="F39" t="s">
        <v>9</v>
      </c>
      <c r="H39" t="s">
        <v>29</v>
      </c>
      <c r="I39" t="s">
        <v>217</v>
      </c>
      <c r="J39">
        <v>8</v>
      </c>
      <c r="N39">
        <f>Таблица1[[#This Row],[Часов на заказчика  в работе]]+Таблица1[[#This Row],[Часов на заказчика  дежурство]]</f>
        <v>0</v>
      </c>
      <c r="O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" s="9">
        <v>100000</v>
      </c>
      <c r="R39" s="9"/>
      <c r="S39" s="5">
        <v>1</v>
      </c>
      <c r="T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табеле]])*S39,0)</f>
        <v>0</v>
      </c>
      <c r="U39" s="5">
        <f>IF(Таблица1[[#This Row],[ТТН]]&gt;0,Таблица1[[#This Row],[Ставка за ТТН]]*Таблица1[[#This Row],[ТТН]],0)</f>
        <v>0</v>
      </c>
    </row>
    <row r="40" spans="1:21" x14ac:dyDescent="0.25">
      <c r="A40" t="s">
        <v>84</v>
      </c>
      <c r="B40" s="24">
        <v>23</v>
      </c>
      <c r="C40" t="s">
        <v>101</v>
      </c>
      <c r="D40" t="s">
        <v>9</v>
      </c>
      <c r="E40" t="s">
        <v>214</v>
      </c>
      <c r="F40" t="s">
        <v>9</v>
      </c>
      <c r="H40" t="s">
        <v>29</v>
      </c>
      <c r="I40" t="s">
        <v>217</v>
      </c>
      <c r="J40">
        <v>8</v>
      </c>
      <c r="N40">
        <f>Таблица1[[#This Row],[Часов на заказчика  в работе]]+Таблица1[[#This Row],[Часов на заказчика  дежурство]]</f>
        <v>0</v>
      </c>
      <c r="O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" s="9">
        <v>100000</v>
      </c>
      <c r="R40" s="9"/>
      <c r="S40" s="5">
        <v>1</v>
      </c>
      <c r="T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табеле]])*S40,0)</f>
        <v>0</v>
      </c>
      <c r="U40" s="5">
        <f>IF(Таблица1[[#This Row],[ТТН]]&gt;0,Таблица1[[#This Row],[Ставка за ТТН]]*Таблица1[[#This Row],[ТТН]],0)</f>
        <v>0</v>
      </c>
    </row>
    <row r="41" spans="1:21" x14ac:dyDescent="0.25">
      <c r="A41" t="s">
        <v>84</v>
      </c>
      <c r="B41" s="24">
        <v>24</v>
      </c>
      <c r="C41" t="s">
        <v>101</v>
      </c>
      <c r="D41" t="s">
        <v>9</v>
      </c>
      <c r="E41" t="s">
        <v>214</v>
      </c>
      <c r="F41" t="s">
        <v>9</v>
      </c>
      <c r="H41" t="s">
        <v>29</v>
      </c>
      <c r="I41" t="s">
        <v>217</v>
      </c>
      <c r="J41">
        <v>8</v>
      </c>
      <c r="N41">
        <f>Таблица1[[#This Row],[Часов на заказчика  в работе]]+Таблица1[[#This Row],[Часов на заказчика  дежурство]]</f>
        <v>0</v>
      </c>
      <c r="O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" s="9">
        <v>100000</v>
      </c>
      <c r="R41" s="9"/>
      <c r="S41" s="5">
        <v>1</v>
      </c>
      <c r="T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табеле]])*S41,0)</f>
        <v>0</v>
      </c>
      <c r="U41" s="5">
        <f>IF(Таблица1[[#This Row],[ТТН]]&gt;0,Таблица1[[#This Row],[Ставка за ТТН]]*Таблица1[[#This Row],[ТТН]],0)</f>
        <v>0</v>
      </c>
    </row>
    <row r="42" spans="1:21" x14ac:dyDescent="0.25">
      <c r="A42" t="s">
        <v>84</v>
      </c>
      <c r="B42" s="24">
        <v>25</v>
      </c>
      <c r="C42" t="s">
        <v>101</v>
      </c>
      <c r="D42" t="s">
        <v>9</v>
      </c>
      <c r="E42" t="s">
        <v>214</v>
      </c>
      <c r="F42" t="s">
        <v>9</v>
      </c>
      <c r="H42" t="s">
        <v>29</v>
      </c>
      <c r="I42" t="s">
        <v>217</v>
      </c>
      <c r="J42">
        <v>8</v>
      </c>
      <c r="N42">
        <f>Таблица1[[#This Row],[Часов на заказчика  в работе]]+Таблица1[[#This Row],[Часов на заказчика  дежурство]]</f>
        <v>0</v>
      </c>
      <c r="O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" s="9">
        <v>100000</v>
      </c>
      <c r="R42" s="9"/>
      <c r="S42" s="5">
        <v>1</v>
      </c>
      <c r="T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табеле]])*S42,0)</f>
        <v>0</v>
      </c>
      <c r="U42" s="5">
        <f>IF(Таблица1[[#This Row],[ТТН]]&gt;0,Таблица1[[#This Row],[Ставка за ТТН]]*Таблица1[[#This Row],[ТТН]],0)</f>
        <v>0</v>
      </c>
    </row>
    <row r="43" spans="1:21" x14ac:dyDescent="0.25">
      <c r="A43" t="s">
        <v>84</v>
      </c>
      <c r="B43" s="24">
        <v>26</v>
      </c>
      <c r="C43" t="s">
        <v>101</v>
      </c>
      <c r="D43" t="s">
        <v>9</v>
      </c>
      <c r="E43" t="s">
        <v>214</v>
      </c>
      <c r="F43" t="s">
        <v>9</v>
      </c>
      <c r="H43" t="s">
        <v>29</v>
      </c>
      <c r="I43" t="s">
        <v>217</v>
      </c>
      <c r="J43">
        <v>8</v>
      </c>
      <c r="N43">
        <f>Таблица1[[#This Row],[Часов на заказчика  в работе]]+Таблица1[[#This Row],[Часов на заказчика  дежурство]]</f>
        <v>0</v>
      </c>
      <c r="O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" s="9">
        <v>100000</v>
      </c>
      <c r="R43" s="9"/>
      <c r="S43" s="5">
        <v>1</v>
      </c>
      <c r="T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табеле]])*S43,0)</f>
        <v>0</v>
      </c>
      <c r="U43" s="5">
        <f>IF(Таблица1[[#This Row],[ТТН]]&gt;0,Таблица1[[#This Row],[Ставка за ТТН]]*Таблица1[[#This Row],[ТТН]],0)</f>
        <v>0</v>
      </c>
    </row>
    <row r="44" spans="1:21" x14ac:dyDescent="0.25">
      <c r="A44" t="s">
        <v>84</v>
      </c>
      <c r="B44" s="24">
        <v>27</v>
      </c>
      <c r="C44" t="s">
        <v>101</v>
      </c>
      <c r="D44" t="s">
        <v>9</v>
      </c>
      <c r="E44" t="s">
        <v>214</v>
      </c>
      <c r="F44" t="s">
        <v>9</v>
      </c>
      <c r="H44" t="s">
        <v>30</v>
      </c>
      <c r="I44" t="s">
        <v>217</v>
      </c>
      <c r="J44">
        <v>1</v>
      </c>
      <c r="N44">
        <f>Таблица1[[#This Row],[Часов на заказчика  в работе]]+Таблица1[[#This Row],[Часов на заказчика  дежурство]]</f>
        <v>0</v>
      </c>
      <c r="O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" s="9">
        <v>100000</v>
      </c>
      <c r="R44" s="9"/>
      <c r="S44" s="5">
        <v>1</v>
      </c>
      <c r="T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табеле]])*S44,0)</f>
        <v>0</v>
      </c>
      <c r="U44" s="5">
        <f>IF(Таблица1[[#This Row],[ТТН]]&gt;0,Таблица1[[#This Row],[Ставка за ТТН]]*Таблица1[[#This Row],[ТТН]],0)</f>
        <v>0</v>
      </c>
    </row>
    <row r="45" spans="1:21" x14ac:dyDescent="0.25">
      <c r="A45" t="s">
        <v>84</v>
      </c>
      <c r="B45" s="24">
        <v>28</v>
      </c>
      <c r="C45" t="s">
        <v>101</v>
      </c>
      <c r="D45" t="s">
        <v>9</v>
      </c>
      <c r="E45" t="s">
        <v>214</v>
      </c>
      <c r="F45" t="s">
        <v>9</v>
      </c>
      <c r="H45" t="s">
        <v>30</v>
      </c>
      <c r="I45" t="s">
        <v>217</v>
      </c>
      <c r="J45">
        <v>1</v>
      </c>
      <c r="N45">
        <f>Таблица1[[#This Row],[Часов на заказчика  в работе]]+Таблица1[[#This Row],[Часов на заказчика  дежурство]]</f>
        <v>0</v>
      </c>
      <c r="O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" s="9">
        <v>100000</v>
      </c>
      <c r="R45" s="9"/>
      <c r="S45" s="5">
        <v>1</v>
      </c>
      <c r="T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табеле]])*S45,0)</f>
        <v>0</v>
      </c>
      <c r="U45" s="5">
        <f>IF(Таблица1[[#This Row],[ТТН]]&gt;0,Таблица1[[#This Row],[Ставка за ТТН]]*Таблица1[[#This Row],[ТТН]],0)</f>
        <v>0</v>
      </c>
    </row>
    <row r="46" spans="1:21" x14ac:dyDescent="0.25">
      <c r="A46" t="s">
        <v>84</v>
      </c>
      <c r="B46" s="24">
        <v>29</v>
      </c>
      <c r="C46" t="s">
        <v>101</v>
      </c>
      <c r="D46" t="s">
        <v>9</v>
      </c>
      <c r="E46" t="s">
        <v>214</v>
      </c>
      <c r="F46" t="s">
        <v>9</v>
      </c>
      <c r="H46" t="s">
        <v>29</v>
      </c>
      <c r="I46" t="s">
        <v>217</v>
      </c>
      <c r="J46">
        <v>8</v>
      </c>
      <c r="N46">
        <f>Таблица1[[#This Row],[Часов на заказчика  в работе]]+Таблица1[[#This Row],[Часов на заказчика  дежурство]]</f>
        <v>0</v>
      </c>
      <c r="O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" s="9">
        <v>100000</v>
      </c>
      <c r="R46" s="9"/>
      <c r="S46" s="5">
        <v>1</v>
      </c>
      <c r="T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табеле]])*S46,0)</f>
        <v>0</v>
      </c>
      <c r="U46" s="5">
        <f>IF(Таблица1[[#This Row],[ТТН]]&gt;0,Таблица1[[#This Row],[Ставка за ТТН]]*Таблица1[[#This Row],[ТТН]],0)</f>
        <v>0</v>
      </c>
    </row>
    <row r="47" spans="1:21" x14ac:dyDescent="0.25">
      <c r="A47" t="s">
        <v>84</v>
      </c>
      <c r="B47" s="24">
        <v>30</v>
      </c>
      <c r="C47" t="s">
        <v>102</v>
      </c>
      <c r="D47" t="s">
        <v>9</v>
      </c>
      <c r="E47" t="s">
        <v>214</v>
      </c>
      <c r="F47" t="s">
        <v>9</v>
      </c>
      <c r="H47" t="s">
        <v>29</v>
      </c>
      <c r="I47" t="s">
        <v>217</v>
      </c>
      <c r="J47">
        <v>8</v>
      </c>
      <c r="N47">
        <f>Таблица1[[#This Row],[Часов на заказчика  в работе]]+Таблица1[[#This Row],[Часов на заказчика  дежурство]]</f>
        <v>0</v>
      </c>
      <c r="O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" s="9">
        <v>100000</v>
      </c>
      <c r="R47" s="9"/>
      <c r="S47" s="5">
        <v>1</v>
      </c>
      <c r="T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табеле]])*S47,0)</f>
        <v>0</v>
      </c>
      <c r="U47" s="5">
        <f>IF(Таблица1[[#This Row],[ТТН]]&gt;0,Таблица1[[#This Row],[Ставка за ТТН]]*Таблица1[[#This Row],[ТТН]],0)</f>
        <v>0</v>
      </c>
    </row>
    <row r="48" spans="1:21" x14ac:dyDescent="0.25">
      <c r="A48" t="s">
        <v>84</v>
      </c>
      <c r="B48" s="24">
        <v>1</v>
      </c>
      <c r="C48" t="s">
        <v>102</v>
      </c>
      <c r="D48" t="s">
        <v>12</v>
      </c>
      <c r="E48" t="s">
        <v>215</v>
      </c>
      <c r="F48" t="s">
        <v>13</v>
      </c>
      <c r="I48" t="s">
        <v>218</v>
      </c>
      <c r="N48">
        <f>Таблица1[[#This Row],[Часов на заказчика  в работе]]+Таблица1[[#This Row],[Часов на заказчика  дежурство]]</f>
        <v>0</v>
      </c>
      <c r="O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" s="9">
        <v>100000</v>
      </c>
      <c r="R48" s="9"/>
      <c r="S48" s="5">
        <v>1</v>
      </c>
      <c r="T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табеле]])*S48,0)</f>
        <v>0</v>
      </c>
      <c r="U48" s="5">
        <f>IF(Таблица1[[#This Row],[ТТН]]&gt;0,Таблица1[[#This Row],[Ставка за ТТН]]*Таблица1[[#This Row],[ТТН]],0)</f>
        <v>0</v>
      </c>
    </row>
    <row r="49" spans="1:21" x14ac:dyDescent="0.25">
      <c r="A49" t="s">
        <v>84</v>
      </c>
      <c r="B49" s="24">
        <v>2</v>
      </c>
      <c r="C49" t="s">
        <v>102</v>
      </c>
      <c r="D49" t="s">
        <v>12</v>
      </c>
      <c r="E49" t="s">
        <v>215</v>
      </c>
      <c r="F49" t="s">
        <v>13</v>
      </c>
      <c r="H49" t="s">
        <v>24</v>
      </c>
      <c r="I49" t="s">
        <v>217</v>
      </c>
      <c r="J49">
        <v>8</v>
      </c>
      <c r="N49">
        <f>Таблица1[[#This Row],[Часов на заказчика  в работе]]+Таблица1[[#This Row],[Часов на заказчика  дежурство]]</f>
        <v>0</v>
      </c>
      <c r="O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" s="9">
        <v>100000</v>
      </c>
      <c r="R49" s="9"/>
      <c r="S49" s="5">
        <v>1</v>
      </c>
      <c r="T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табеле]])*S49,0)</f>
        <v>0</v>
      </c>
      <c r="U49" s="5">
        <f>IF(Таблица1[[#This Row],[ТТН]]&gt;0,Таблица1[[#This Row],[Ставка за ТТН]]*Таблица1[[#This Row],[ТТН]],0)</f>
        <v>0</v>
      </c>
    </row>
    <row r="50" spans="1:21" x14ac:dyDescent="0.25">
      <c r="A50" t="s">
        <v>84</v>
      </c>
      <c r="B50" s="24">
        <v>3</v>
      </c>
      <c r="C50" t="s">
        <v>102</v>
      </c>
      <c r="D50" t="s">
        <v>12</v>
      </c>
      <c r="E50" t="s">
        <v>215</v>
      </c>
      <c r="F50" t="s">
        <v>13</v>
      </c>
      <c r="H50" t="s">
        <v>24</v>
      </c>
      <c r="I50" t="s">
        <v>217</v>
      </c>
      <c r="J50">
        <v>8</v>
      </c>
      <c r="N50">
        <f>Таблица1[[#This Row],[Часов на заказчика  в работе]]+Таблица1[[#This Row],[Часов на заказчика  дежурство]]</f>
        <v>0</v>
      </c>
      <c r="O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" s="9">
        <v>100000</v>
      </c>
      <c r="R50" s="9"/>
      <c r="S50" s="5">
        <v>1</v>
      </c>
      <c r="T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табеле]])*S50,0)</f>
        <v>0</v>
      </c>
      <c r="U50" s="5">
        <f>IF(Таблица1[[#This Row],[ТТН]]&gt;0,Таблица1[[#This Row],[Ставка за ТТН]]*Таблица1[[#This Row],[ТТН]],0)</f>
        <v>0</v>
      </c>
    </row>
    <row r="51" spans="1:21" x14ac:dyDescent="0.25">
      <c r="A51" t="s">
        <v>84</v>
      </c>
      <c r="B51" s="24">
        <v>4</v>
      </c>
      <c r="C51" t="s">
        <v>102</v>
      </c>
      <c r="D51" t="s">
        <v>12</v>
      </c>
      <c r="E51" t="s">
        <v>215</v>
      </c>
      <c r="F51" t="s">
        <v>13</v>
      </c>
      <c r="H51" t="s">
        <v>10</v>
      </c>
      <c r="I51" t="s">
        <v>219</v>
      </c>
      <c r="J51">
        <v>11</v>
      </c>
      <c r="L51">
        <v>11</v>
      </c>
      <c r="N51">
        <f>Таблица1[[#This Row],[Часов на заказчика  в работе]]+Таблица1[[#This Row],[Часов на заказчика  дежурство]]</f>
        <v>11</v>
      </c>
      <c r="O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" s="9">
        <v>100000</v>
      </c>
      <c r="R51" s="9"/>
      <c r="S51" s="5">
        <v>1</v>
      </c>
      <c r="T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табеле]])*S51,0)</f>
        <v>3333.333333333333</v>
      </c>
      <c r="U51" s="5">
        <f>IF(Таблица1[[#This Row],[ТТН]]&gt;0,Таблица1[[#This Row],[Ставка за ТТН]]*Таблица1[[#This Row],[ТТН]],0)</f>
        <v>0</v>
      </c>
    </row>
    <row r="52" spans="1:21" x14ac:dyDescent="0.25">
      <c r="A52" t="s">
        <v>84</v>
      </c>
      <c r="B52" s="24">
        <v>4</v>
      </c>
      <c r="C52" t="s">
        <v>102</v>
      </c>
      <c r="D52" t="s">
        <v>12</v>
      </c>
      <c r="E52" t="s">
        <v>215</v>
      </c>
      <c r="F52" t="s">
        <v>13</v>
      </c>
      <c r="H52" t="s">
        <v>70</v>
      </c>
      <c r="I52" t="s">
        <v>219</v>
      </c>
      <c r="J52">
        <v>11</v>
      </c>
      <c r="L52">
        <v>11</v>
      </c>
      <c r="N52">
        <f>Таблица1[[#This Row],[Часов на заказчика  в работе]]+Таблица1[[#This Row],[Часов на заказчика  дежурство]]</f>
        <v>11</v>
      </c>
      <c r="O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" s="9">
        <v>100000</v>
      </c>
      <c r="R52" s="9"/>
      <c r="S52" s="5">
        <v>1</v>
      </c>
      <c r="T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табеле]])*S52,0)</f>
        <v>3333.333333333333</v>
      </c>
      <c r="U52" s="5">
        <f>IF(Таблица1[[#This Row],[ТТН]]&gt;0,Таблица1[[#This Row],[Ставка за ТТН]]*Таблица1[[#This Row],[ТТН]],0)</f>
        <v>0</v>
      </c>
    </row>
    <row r="53" spans="1:21" x14ac:dyDescent="0.25">
      <c r="A53" t="s">
        <v>84</v>
      </c>
      <c r="B53" s="24">
        <v>5</v>
      </c>
      <c r="C53" t="s">
        <v>102</v>
      </c>
      <c r="D53" t="s">
        <v>12</v>
      </c>
      <c r="E53" t="s">
        <v>215</v>
      </c>
      <c r="F53" t="s">
        <v>13</v>
      </c>
      <c r="H53" t="s">
        <v>10</v>
      </c>
      <c r="I53" t="s">
        <v>219</v>
      </c>
      <c r="J53">
        <v>11</v>
      </c>
      <c r="L53">
        <v>11</v>
      </c>
      <c r="N53">
        <f>Таблица1[[#This Row],[Часов на заказчика  в работе]]+Таблица1[[#This Row],[Часов на заказчика  дежурство]]</f>
        <v>11</v>
      </c>
      <c r="O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" s="9">
        <v>100000</v>
      </c>
      <c r="R53" s="9"/>
      <c r="S53" s="5">
        <v>1</v>
      </c>
      <c r="T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табеле]])*S53,0)</f>
        <v>3333.333333333333</v>
      </c>
      <c r="U53" s="5">
        <f>IF(Таблица1[[#This Row],[ТТН]]&gt;0,Таблица1[[#This Row],[Ставка за ТТН]]*Таблица1[[#This Row],[ТТН]],0)</f>
        <v>0</v>
      </c>
    </row>
    <row r="54" spans="1:21" x14ac:dyDescent="0.25">
      <c r="A54" t="s">
        <v>84</v>
      </c>
      <c r="B54" s="24">
        <v>5</v>
      </c>
      <c r="C54" t="s">
        <v>102</v>
      </c>
      <c r="D54" t="s">
        <v>12</v>
      </c>
      <c r="E54" t="s">
        <v>215</v>
      </c>
      <c r="F54" t="s">
        <v>13</v>
      </c>
      <c r="H54" t="s">
        <v>70</v>
      </c>
      <c r="I54" t="s">
        <v>219</v>
      </c>
      <c r="J54">
        <v>11</v>
      </c>
      <c r="L54">
        <v>11</v>
      </c>
      <c r="N54">
        <f>Таблица1[[#This Row],[Часов на заказчика  в работе]]+Таблица1[[#This Row],[Часов на заказчика  дежурство]]</f>
        <v>11</v>
      </c>
      <c r="O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" s="9">
        <v>100000</v>
      </c>
      <c r="R54" s="9"/>
      <c r="S54" s="5">
        <v>1</v>
      </c>
      <c r="T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табеле]])*S54,0)</f>
        <v>3333.333333333333</v>
      </c>
      <c r="U54" s="5">
        <f>IF(Таблица1[[#This Row],[ТТН]]&gt;0,Таблица1[[#This Row],[Ставка за ТТН]]*Таблица1[[#This Row],[ТТН]],0)</f>
        <v>0</v>
      </c>
    </row>
    <row r="55" spans="1:21" x14ac:dyDescent="0.25">
      <c r="A55" t="s">
        <v>84</v>
      </c>
      <c r="B55" s="24">
        <v>6</v>
      </c>
      <c r="C55" t="s">
        <v>102</v>
      </c>
      <c r="D55" t="s">
        <v>12</v>
      </c>
      <c r="E55" t="s">
        <v>215</v>
      </c>
      <c r="F55" t="s">
        <v>13</v>
      </c>
      <c r="H55" t="s">
        <v>10</v>
      </c>
      <c r="I55" t="s">
        <v>219</v>
      </c>
      <c r="J55">
        <v>11</v>
      </c>
      <c r="L55">
        <v>11</v>
      </c>
      <c r="N55">
        <f>Таблица1[[#This Row],[Часов на заказчика  в работе]]+Таблица1[[#This Row],[Часов на заказчика  дежурство]]</f>
        <v>11</v>
      </c>
      <c r="O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" s="9">
        <v>100000</v>
      </c>
      <c r="R55" s="9"/>
      <c r="S55" s="5">
        <v>1</v>
      </c>
      <c r="T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табеле]])*S55,0)</f>
        <v>3333.333333333333</v>
      </c>
      <c r="U55" s="5">
        <f>IF(Таблица1[[#This Row],[ТТН]]&gt;0,Таблица1[[#This Row],[Ставка за ТТН]]*Таблица1[[#This Row],[ТТН]],0)</f>
        <v>0</v>
      </c>
    </row>
    <row r="56" spans="1:21" x14ac:dyDescent="0.25">
      <c r="A56" t="s">
        <v>84</v>
      </c>
      <c r="B56" s="24">
        <v>6</v>
      </c>
      <c r="C56" t="s">
        <v>102</v>
      </c>
      <c r="D56" t="s">
        <v>12</v>
      </c>
      <c r="E56" t="s">
        <v>215</v>
      </c>
      <c r="F56" t="s">
        <v>13</v>
      </c>
      <c r="H56" t="s">
        <v>70</v>
      </c>
      <c r="I56" t="s">
        <v>219</v>
      </c>
      <c r="J56">
        <v>11</v>
      </c>
      <c r="L56">
        <v>11</v>
      </c>
      <c r="N56">
        <f>Таблица1[[#This Row],[Часов на заказчика  в работе]]+Таблица1[[#This Row],[Часов на заказчика  дежурство]]</f>
        <v>11</v>
      </c>
      <c r="O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" s="9">
        <v>100000</v>
      </c>
      <c r="R56" s="9"/>
      <c r="S56" s="5">
        <v>1</v>
      </c>
      <c r="T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табеле]])*S56,0)</f>
        <v>3333.333333333333</v>
      </c>
      <c r="U56" s="5">
        <f>IF(Таблица1[[#This Row],[ТТН]]&gt;0,Таблица1[[#This Row],[Ставка за ТТН]]*Таблица1[[#This Row],[ТТН]],0)</f>
        <v>0</v>
      </c>
    </row>
    <row r="57" spans="1:21" x14ac:dyDescent="0.25">
      <c r="A57" t="s">
        <v>84</v>
      </c>
      <c r="B57" s="24">
        <v>7</v>
      </c>
      <c r="C57" t="s">
        <v>102</v>
      </c>
      <c r="D57" t="s">
        <v>12</v>
      </c>
      <c r="E57" t="s">
        <v>215</v>
      </c>
      <c r="F57" t="s">
        <v>13</v>
      </c>
      <c r="H57" t="s">
        <v>10</v>
      </c>
      <c r="I57" t="s">
        <v>219</v>
      </c>
      <c r="J57">
        <v>11</v>
      </c>
      <c r="L57">
        <v>11</v>
      </c>
      <c r="N57">
        <f>Таблица1[[#This Row],[Часов на заказчика  в работе]]+Таблица1[[#This Row],[Часов на заказчика  дежурство]]</f>
        <v>11</v>
      </c>
      <c r="O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" s="9">
        <v>100000</v>
      </c>
      <c r="R57" s="9"/>
      <c r="S57" s="5">
        <v>1</v>
      </c>
      <c r="T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табеле]])*S57,0)</f>
        <v>3333.333333333333</v>
      </c>
      <c r="U57" s="5">
        <f>IF(Таблица1[[#This Row],[ТТН]]&gt;0,Таблица1[[#This Row],[Ставка за ТТН]]*Таблица1[[#This Row],[ТТН]],0)</f>
        <v>0</v>
      </c>
    </row>
    <row r="58" spans="1:21" x14ac:dyDescent="0.25">
      <c r="A58" t="s">
        <v>84</v>
      </c>
      <c r="B58" s="24">
        <v>7</v>
      </c>
      <c r="C58" t="s">
        <v>102</v>
      </c>
      <c r="D58" t="s">
        <v>12</v>
      </c>
      <c r="E58" t="s">
        <v>215</v>
      </c>
      <c r="F58" t="s">
        <v>13</v>
      </c>
      <c r="H58" t="s">
        <v>70</v>
      </c>
      <c r="I58" t="s">
        <v>219</v>
      </c>
      <c r="J58">
        <v>11</v>
      </c>
      <c r="L58">
        <v>11</v>
      </c>
      <c r="N58">
        <f>Таблица1[[#This Row],[Часов на заказчика  в работе]]+Таблица1[[#This Row],[Часов на заказчика  дежурство]]</f>
        <v>11</v>
      </c>
      <c r="O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" s="9">
        <v>100000</v>
      </c>
      <c r="R58" s="9"/>
      <c r="S58" s="5">
        <v>1</v>
      </c>
      <c r="T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табеле]])*S58,0)</f>
        <v>3333.333333333333</v>
      </c>
      <c r="U58" s="5">
        <f>IF(Таблица1[[#This Row],[ТТН]]&gt;0,Таблица1[[#This Row],[Ставка за ТТН]]*Таблица1[[#This Row],[ТТН]],0)</f>
        <v>0</v>
      </c>
    </row>
    <row r="59" spans="1:21" x14ac:dyDescent="0.25">
      <c r="A59" t="s">
        <v>84</v>
      </c>
      <c r="B59" s="24">
        <v>8</v>
      </c>
      <c r="C59" t="s">
        <v>102</v>
      </c>
      <c r="D59" t="s">
        <v>12</v>
      </c>
      <c r="E59" t="s">
        <v>215</v>
      </c>
      <c r="F59" t="s">
        <v>13</v>
      </c>
      <c r="H59" t="s">
        <v>10</v>
      </c>
      <c r="I59" t="s">
        <v>219</v>
      </c>
      <c r="J59">
        <v>11</v>
      </c>
      <c r="L59">
        <v>11</v>
      </c>
      <c r="N59">
        <f>Таблица1[[#This Row],[Часов на заказчика  в работе]]+Таблица1[[#This Row],[Часов на заказчика  дежурство]]</f>
        <v>11</v>
      </c>
      <c r="O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" s="9">
        <v>100000</v>
      </c>
      <c r="R59" s="9"/>
      <c r="S59" s="5">
        <v>1</v>
      </c>
      <c r="T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табеле]])*S59,0)</f>
        <v>3333.333333333333</v>
      </c>
      <c r="U59" s="5">
        <f>IF(Таблица1[[#This Row],[ТТН]]&gt;0,Таблица1[[#This Row],[Ставка за ТТН]]*Таблица1[[#This Row],[ТТН]],0)</f>
        <v>0</v>
      </c>
    </row>
    <row r="60" spans="1:21" x14ac:dyDescent="0.25">
      <c r="A60" t="s">
        <v>84</v>
      </c>
      <c r="B60" s="24">
        <v>8</v>
      </c>
      <c r="C60" t="s">
        <v>102</v>
      </c>
      <c r="D60" t="s">
        <v>12</v>
      </c>
      <c r="E60" t="s">
        <v>215</v>
      </c>
      <c r="F60" t="s">
        <v>13</v>
      </c>
      <c r="H60" t="s">
        <v>70</v>
      </c>
      <c r="I60" t="s">
        <v>219</v>
      </c>
      <c r="J60">
        <v>11</v>
      </c>
      <c r="L60">
        <v>11</v>
      </c>
      <c r="N60">
        <f>Таблица1[[#This Row],[Часов на заказчика  в работе]]+Таблица1[[#This Row],[Часов на заказчика  дежурство]]</f>
        <v>11</v>
      </c>
      <c r="O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" s="9">
        <v>100000</v>
      </c>
      <c r="R60" s="9"/>
      <c r="S60" s="5">
        <v>1</v>
      </c>
      <c r="T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табеле]])*S60,0)</f>
        <v>3333.333333333333</v>
      </c>
      <c r="U60" s="5">
        <f>IF(Таблица1[[#This Row],[ТТН]]&gt;0,Таблица1[[#This Row],[Ставка за ТТН]]*Таблица1[[#This Row],[ТТН]],0)</f>
        <v>0</v>
      </c>
    </row>
    <row r="61" spans="1:21" x14ac:dyDescent="0.25">
      <c r="A61" t="s">
        <v>84</v>
      </c>
      <c r="B61" s="24">
        <v>9</v>
      </c>
      <c r="C61" t="s">
        <v>102</v>
      </c>
      <c r="D61" t="s">
        <v>12</v>
      </c>
      <c r="E61" t="s">
        <v>215</v>
      </c>
      <c r="F61" t="s">
        <v>13</v>
      </c>
      <c r="H61" t="s">
        <v>10</v>
      </c>
      <c r="I61" t="s">
        <v>219</v>
      </c>
      <c r="J61">
        <v>11</v>
      </c>
      <c r="L61">
        <v>11</v>
      </c>
      <c r="N61">
        <f>Таблица1[[#This Row],[Часов на заказчика  в работе]]+Таблица1[[#This Row],[Часов на заказчика  дежурство]]</f>
        <v>11</v>
      </c>
      <c r="O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" s="9">
        <v>100000</v>
      </c>
      <c r="R61" s="9"/>
      <c r="S61" s="5">
        <v>1</v>
      </c>
      <c r="T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табеле]])*S61,0)</f>
        <v>3333.333333333333</v>
      </c>
      <c r="U61" s="5">
        <f>IF(Таблица1[[#This Row],[ТТН]]&gt;0,Таблица1[[#This Row],[Ставка за ТТН]]*Таблица1[[#This Row],[ТТН]],0)</f>
        <v>0</v>
      </c>
    </row>
    <row r="62" spans="1:21" x14ac:dyDescent="0.25">
      <c r="A62" t="s">
        <v>84</v>
      </c>
      <c r="B62" s="24">
        <v>10</v>
      </c>
      <c r="C62" t="s">
        <v>102</v>
      </c>
      <c r="D62" t="s">
        <v>12</v>
      </c>
      <c r="E62" t="s">
        <v>215</v>
      </c>
      <c r="F62" t="s">
        <v>13</v>
      </c>
      <c r="H62" t="s">
        <v>10</v>
      </c>
      <c r="I62" t="s">
        <v>219</v>
      </c>
      <c r="J62">
        <v>11</v>
      </c>
      <c r="L62">
        <v>11</v>
      </c>
      <c r="N62">
        <f>Таблица1[[#This Row],[Часов на заказчика  в работе]]+Таблица1[[#This Row],[Часов на заказчика  дежурство]]</f>
        <v>11</v>
      </c>
      <c r="O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" s="9">
        <v>100000</v>
      </c>
      <c r="R62" s="9"/>
      <c r="S62" s="5">
        <v>1</v>
      </c>
      <c r="T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табеле]])*S62,0)</f>
        <v>3333.333333333333</v>
      </c>
      <c r="U62" s="5">
        <f>IF(Таблица1[[#This Row],[ТТН]]&gt;0,Таблица1[[#This Row],[Ставка за ТТН]]*Таблица1[[#This Row],[ТТН]],0)</f>
        <v>0</v>
      </c>
    </row>
    <row r="63" spans="1:21" x14ac:dyDescent="0.25">
      <c r="A63" t="s">
        <v>84</v>
      </c>
      <c r="B63" s="24">
        <v>10</v>
      </c>
      <c r="C63" t="s">
        <v>102</v>
      </c>
      <c r="D63" t="s">
        <v>12</v>
      </c>
      <c r="E63" t="s">
        <v>215</v>
      </c>
      <c r="F63" t="s">
        <v>13</v>
      </c>
      <c r="H63" t="s">
        <v>70</v>
      </c>
      <c r="I63" t="s">
        <v>219</v>
      </c>
      <c r="J63">
        <v>11</v>
      </c>
      <c r="L63">
        <v>11</v>
      </c>
      <c r="N63">
        <f>Таблица1[[#This Row],[Часов на заказчика  в работе]]+Таблица1[[#This Row],[Часов на заказчика  дежурство]]</f>
        <v>11</v>
      </c>
      <c r="O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" s="9">
        <v>100000</v>
      </c>
      <c r="R63" s="9"/>
      <c r="S63" s="5">
        <v>1</v>
      </c>
      <c r="T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табеле]])*S63,0)</f>
        <v>3333.333333333333</v>
      </c>
      <c r="U63" s="5">
        <f>IF(Таблица1[[#This Row],[ТТН]]&gt;0,Таблица1[[#This Row],[Ставка за ТТН]]*Таблица1[[#This Row],[ТТН]],0)</f>
        <v>0</v>
      </c>
    </row>
    <row r="64" spans="1:21" x14ac:dyDescent="0.25">
      <c r="A64" t="s">
        <v>84</v>
      </c>
      <c r="B64" s="24">
        <v>11</v>
      </c>
      <c r="C64" t="s">
        <v>102</v>
      </c>
      <c r="D64" t="s">
        <v>12</v>
      </c>
      <c r="E64" t="s">
        <v>215</v>
      </c>
      <c r="F64" t="s">
        <v>13</v>
      </c>
      <c r="H64" t="s">
        <v>10</v>
      </c>
      <c r="I64" t="s">
        <v>219</v>
      </c>
      <c r="J64">
        <v>22</v>
      </c>
      <c r="L64">
        <v>22</v>
      </c>
      <c r="N64">
        <f>Таблица1[[#This Row],[Часов на заказчика  в работе]]+Таблица1[[#This Row],[Часов на заказчика  дежурство]]</f>
        <v>22</v>
      </c>
      <c r="O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" s="9">
        <v>100000</v>
      </c>
      <c r="R64" s="9"/>
      <c r="S64" s="5">
        <v>1</v>
      </c>
      <c r="T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табеле]])*S64,0)</f>
        <v>6666.6666666666661</v>
      </c>
      <c r="U64" s="5">
        <f>IF(Таблица1[[#This Row],[ТТН]]&gt;0,Таблица1[[#This Row],[Ставка за ТТН]]*Таблица1[[#This Row],[ТТН]],0)</f>
        <v>0</v>
      </c>
    </row>
    <row r="65" spans="1:21" x14ac:dyDescent="0.25">
      <c r="A65" t="s">
        <v>84</v>
      </c>
      <c r="B65" s="24">
        <v>12</v>
      </c>
      <c r="C65" t="s">
        <v>102</v>
      </c>
      <c r="D65" t="s">
        <v>12</v>
      </c>
      <c r="E65" t="s">
        <v>215</v>
      </c>
      <c r="F65" t="s">
        <v>13</v>
      </c>
      <c r="H65" t="s">
        <v>10</v>
      </c>
      <c r="I65" t="s">
        <v>219</v>
      </c>
      <c r="J65">
        <v>22</v>
      </c>
      <c r="L65">
        <v>22</v>
      </c>
      <c r="N65">
        <f>Таблица1[[#This Row],[Часов на заказчика  в работе]]+Таблица1[[#This Row],[Часов на заказчика  дежурство]]</f>
        <v>22</v>
      </c>
      <c r="O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" s="9">
        <v>100000</v>
      </c>
      <c r="R65" s="9"/>
      <c r="S65" s="5">
        <v>1</v>
      </c>
      <c r="T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табеле]])*S65,0)</f>
        <v>6666.6666666666661</v>
      </c>
      <c r="U65" s="5">
        <f>IF(Таблица1[[#This Row],[ТТН]]&gt;0,Таблица1[[#This Row],[Ставка за ТТН]]*Таблица1[[#This Row],[ТТН]],0)</f>
        <v>0</v>
      </c>
    </row>
    <row r="66" spans="1:21" x14ac:dyDescent="0.25">
      <c r="A66" t="s">
        <v>84</v>
      </c>
      <c r="B66" s="24">
        <v>13</v>
      </c>
      <c r="C66" t="s">
        <v>102</v>
      </c>
      <c r="D66" t="s">
        <v>12</v>
      </c>
      <c r="E66" t="s">
        <v>215</v>
      </c>
      <c r="F66" t="s">
        <v>13</v>
      </c>
      <c r="H66" t="s">
        <v>10</v>
      </c>
      <c r="I66" t="s">
        <v>219</v>
      </c>
      <c r="J66">
        <v>11</v>
      </c>
      <c r="L66">
        <v>11</v>
      </c>
      <c r="N66">
        <f>Таблица1[[#This Row],[Часов на заказчика  в работе]]+Таблица1[[#This Row],[Часов на заказчика  дежурство]]</f>
        <v>11</v>
      </c>
      <c r="O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" s="9">
        <v>100000</v>
      </c>
      <c r="R66" s="9"/>
      <c r="S66" s="5">
        <v>1</v>
      </c>
      <c r="T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табеле]])*S66,0)</f>
        <v>3333.333333333333</v>
      </c>
      <c r="U66" s="5">
        <f>IF(Таблица1[[#This Row],[ТТН]]&gt;0,Таблица1[[#This Row],[Ставка за ТТН]]*Таблица1[[#This Row],[ТТН]],0)</f>
        <v>0</v>
      </c>
    </row>
    <row r="67" spans="1:21" x14ac:dyDescent="0.25">
      <c r="A67" t="s">
        <v>84</v>
      </c>
      <c r="B67" s="24">
        <v>13</v>
      </c>
      <c r="C67" t="s">
        <v>102</v>
      </c>
      <c r="D67" t="s">
        <v>12</v>
      </c>
      <c r="E67" t="s">
        <v>215</v>
      </c>
      <c r="F67" t="s">
        <v>13</v>
      </c>
      <c r="H67" t="s">
        <v>70</v>
      </c>
      <c r="I67" t="s">
        <v>219</v>
      </c>
      <c r="J67">
        <v>11</v>
      </c>
      <c r="L67">
        <v>11</v>
      </c>
      <c r="N67">
        <f>Таблица1[[#This Row],[Часов на заказчика  в работе]]+Таблица1[[#This Row],[Часов на заказчика  дежурство]]</f>
        <v>11</v>
      </c>
      <c r="O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" s="9">
        <v>100000</v>
      </c>
      <c r="R67" s="9"/>
      <c r="S67" s="5">
        <v>1</v>
      </c>
      <c r="T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табеле]])*S67,0)</f>
        <v>3333.333333333333</v>
      </c>
      <c r="U67" s="5">
        <f>IF(Таблица1[[#This Row],[ТТН]]&gt;0,Таблица1[[#This Row],[Ставка за ТТН]]*Таблица1[[#This Row],[ТТН]],0)</f>
        <v>0</v>
      </c>
    </row>
    <row r="68" spans="1:21" x14ac:dyDescent="0.25">
      <c r="A68" t="s">
        <v>84</v>
      </c>
      <c r="B68" s="24">
        <v>14</v>
      </c>
      <c r="C68" t="s">
        <v>102</v>
      </c>
      <c r="D68" t="s">
        <v>12</v>
      </c>
      <c r="E68" t="s">
        <v>215</v>
      </c>
      <c r="F68" t="s">
        <v>13</v>
      </c>
      <c r="H68" t="s">
        <v>10</v>
      </c>
      <c r="I68" t="s">
        <v>219</v>
      </c>
      <c r="J68">
        <v>22</v>
      </c>
      <c r="L68">
        <v>22</v>
      </c>
      <c r="N68">
        <f>Таблица1[[#This Row],[Часов на заказчика  в работе]]+Таблица1[[#This Row],[Часов на заказчика  дежурство]]</f>
        <v>22</v>
      </c>
      <c r="O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" s="9">
        <v>100000</v>
      </c>
      <c r="R68" s="9"/>
      <c r="S68" s="5">
        <v>1</v>
      </c>
      <c r="T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табеле]])*S68,0)</f>
        <v>6666.6666666666661</v>
      </c>
      <c r="U68" s="5">
        <f>IF(Таблица1[[#This Row],[ТТН]]&gt;0,Таблица1[[#This Row],[Ставка за ТТН]]*Таблица1[[#This Row],[ТТН]],0)</f>
        <v>0</v>
      </c>
    </row>
    <row r="69" spans="1:21" x14ac:dyDescent="0.25">
      <c r="A69" t="s">
        <v>84</v>
      </c>
      <c r="B69" s="24">
        <v>15</v>
      </c>
      <c r="C69" t="s">
        <v>102</v>
      </c>
      <c r="D69" t="s">
        <v>12</v>
      </c>
      <c r="E69" t="s">
        <v>215</v>
      </c>
      <c r="F69" t="s">
        <v>13</v>
      </c>
      <c r="H69" t="s">
        <v>10</v>
      </c>
      <c r="I69" t="s">
        <v>219</v>
      </c>
      <c r="J69">
        <v>22</v>
      </c>
      <c r="L69">
        <v>22</v>
      </c>
      <c r="N69">
        <f>Таблица1[[#This Row],[Часов на заказчика  в работе]]+Таблица1[[#This Row],[Часов на заказчика  дежурство]]</f>
        <v>22</v>
      </c>
      <c r="O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" s="9">
        <v>100000</v>
      </c>
      <c r="R69" s="9"/>
      <c r="S69" s="5">
        <v>1</v>
      </c>
      <c r="T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табеле]])*S69,0)</f>
        <v>6666.6666666666661</v>
      </c>
      <c r="U69" s="5">
        <f>IF(Таблица1[[#This Row],[ТТН]]&gt;0,Таблица1[[#This Row],[Ставка за ТТН]]*Таблица1[[#This Row],[ТТН]],0)</f>
        <v>0</v>
      </c>
    </row>
    <row r="70" spans="1:21" x14ac:dyDescent="0.25">
      <c r="A70" t="s">
        <v>84</v>
      </c>
      <c r="B70" s="24">
        <v>16</v>
      </c>
      <c r="C70" t="s">
        <v>102</v>
      </c>
      <c r="D70" t="s">
        <v>12</v>
      </c>
      <c r="E70" t="s">
        <v>215</v>
      </c>
      <c r="F70" t="s">
        <v>13</v>
      </c>
      <c r="H70" t="s">
        <v>10</v>
      </c>
      <c r="I70" t="s">
        <v>219</v>
      </c>
      <c r="J70">
        <v>22</v>
      </c>
      <c r="L70">
        <v>22</v>
      </c>
      <c r="N70">
        <f>Таблица1[[#This Row],[Часов на заказчика  в работе]]+Таблица1[[#This Row],[Часов на заказчика  дежурство]]</f>
        <v>22</v>
      </c>
      <c r="O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" s="9">
        <v>100000</v>
      </c>
      <c r="R70" s="9"/>
      <c r="S70" s="5">
        <v>1</v>
      </c>
      <c r="T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табеле]])*S70,0)</f>
        <v>6666.6666666666661</v>
      </c>
      <c r="U70" s="5">
        <f>IF(Таблица1[[#This Row],[ТТН]]&gt;0,Таблица1[[#This Row],[Ставка за ТТН]]*Таблица1[[#This Row],[ТТН]],0)</f>
        <v>0</v>
      </c>
    </row>
    <row r="71" spans="1:21" x14ac:dyDescent="0.25">
      <c r="A71" t="s">
        <v>84</v>
      </c>
      <c r="B71" s="24">
        <v>17</v>
      </c>
      <c r="C71" t="s">
        <v>102</v>
      </c>
      <c r="D71" t="s">
        <v>12</v>
      </c>
      <c r="E71" t="s">
        <v>215</v>
      </c>
      <c r="F71" t="s">
        <v>13</v>
      </c>
      <c r="H71" t="s">
        <v>10</v>
      </c>
      <c r="I71" t="s">
        <v>219</v>
      </c>
      <c r="J71">
        <v>22</v>
      </c>
      <c r="L71">
        <v>22</v>
      </c>
      <c r="N71">
        <f>Таблица1[[#This Row],[Часов на заказчика  в работе]]+Таблица1[[#This Row],[Часов на заказчика  дежурство]]</f>
        <v>22</v>
      </c>
      <c r="O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" s="9">
        <v>100000</v>
      </c>
      <c r="R71" s="9"/>
      <c r="S71" s="5">
        <v>1</v>
      </c>
      <c r="T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табеле]])*S71,0)</f>
        <v>6666.6666666666661</v>
      </c>
      <c r="U71" s="5">
        <f>IF(Таблица1[[#This Row],[ТТН]]&gt;0,Таблица1[[#This Row],[Ставка за ТТН]]*Таблица1[[#This Row],[ТТН]],0)</f>
        <v>0</v>
      </c>
    </row>
    <row r="72" spans="1:21" x14ac:dyDescent="0.25">
      <c r="A72" t="s">
        <v>84</v>
      </c>
      <c r="B72" s="24">
        <v>18</v>
      </c>
      <c r="C72" t="s">
        <v>102</v>
      </c>
      <c r="D72" t="s">
        <v>12</v>
      </c>
      <c r="E72" t="s">
        <v>215</v>
      </c>
      <c r="F72" t="s">
        <v>13</v>
      </c>
      <c r="H72" t="s">
        <v>10</v>
      </c>
      <c r="I72" t="s">
        <v>219</v>
      </c>
      <c r="J72">
        <v>22</v>
      </c>
      <c r="L72">
        <v>22</v>
      </c>
      <c r="N72">
        <f>Таблица1[[#This Row],[Часов на заказчика  в работе]]+Таблица1[[#This Row],[Часов на заказчика  дежурство]]</f>
        <v>22</v>
      </c>
      <c r="O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" s="9">
        <v>100000</v>
      </c>
      <c r="R72" s="9"/>
      <c r="S72" s="5">
        <v>1</v>
      </c>
      <c r="T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табеле]])*S72,0)</f>
        <v>6666.6666666666661</v>
      </c>
      <c r="U72" s="5">
        <f>IF(Таблица1[[#This Row],[ТТН]]&gt;0,Таблица1[[#This Row],[Ставка за ТТН]]*Таблица1[[#This Row],[ТТН]],0)</f>
        <v>0</v>
      </c>
    </row>
    <row r="73" spans="1:21" x14ac:dyDescent="0.25">
      <c r="A73" t="s">
        <v>84</v>
      </c>
      <c r="B73" s="24">
        <v>19</v>
      </c>
      <c r="C73" t="s">
        <v>102</v>
      </c>
      <c r="D73" t="s">
        <v>12</v>
      </c>
      <c r="E73" t="s">
        <v>215</v>
      </c>
      <c r="F73" t="s">
        <v>13</v>
      </c>
      <c r="H73" t="s">
        <v>10</v>
      </c>
      <c r="I73" t="s">
        <v>219</v>
      </c>
      <c r="J73">
        <v>22</v>
      </c>
      <c r="L73">
        <v>22</v>
      </c>
      <c r="N73">
        <f>Таблица1[[#This Row],[Часов на заказчика  в работе]]+Таблица1[[#This Row],[Часов на заказчика  дежурство]]</f>
        <v>22</v>
      </c>
      <c r="O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" s="9">
        <v>100000</v>
      </c>
      <c r="R73" s="9"/>
      <c r="S73" s="5">
        <v>1</v>
      </c>
      <c r="T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табеле]])*S73,0)</f>
        <v>6666.6666666666661</v>
      </c>
      <c r="U73" s="5">
        <f>IF(Таблица1[[#This Row],[ТТН]]&gt;0,Таблица1[[#This Row],[Ставка за ТТН]]*Таблица1[[#This Row],[ТТН]],0)</f>
        <v>0</v>
      </c>
    </row>
    <row r="74" spans="1:21" x14ac:dyDescent="0.25">
      <c r="A74" t="s">
        <v>84</v>
      </c>
      <c r="B74" s="24">
        <v>20</v>
      </c>
      <c r="C74" t="s">
        <v>102</v>
      </c>
      <c r="D74" t="s">
        <v>12</v>
      </c>
      <c r="E74" t="s">
        <v>215</v>
      </c>
      <c r="F74" t="s">
        <v>13</v>
      </c>
      <c r="H74" t="s">
        <v>10</v>
      </c>
      <c r="I74" t="s">
        <v>219</v>
      </c>
      <c r="J74">
        <v>11</v>
      </c>
      <c r="L74">
        <v>11</v>
      </c>
      <c r="N74">
        <f>Таблица1[[#This Row],[Часов на заказчика  в работе]]+Таблица1[[#This Row],[Часов на заказчика  дежурство]]</f>
        <v>11</v>
      </c>
      <c r="O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" s="9">
        <v>100000</v>
      </c>
      <c r="R74" s="9"/>
      <c r="S74" s="5">
        <v>1</v>
      </c>
      <c r="T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табеле]])*S74,0)</f>
        <v>3333.333333333333</v>
      </c>
      <c r="U74" s="5">
        <f>IF(Таблица1[[#This Row],[ТТН]]&gt;0,Таблица1[[#This Row],[Ставка за ТТН]]*Таблица1[[#This Row],[ТТН]],0)</f>
        <v>0</v>
      </c>
    </row>
    <row r="75" spans="1:21" x14ac:dyDescent="0.25">
      <c r="A75" t="s">
        <v>84</v>
      </c>
      <c r="B75" s="24">
        <v>20</v>
      </c>
      <c r="C75" t="s">
        <v>102</v>
      </c>
      <c r="D75" t="s">
        <v>12</v>
      </c>
      <c r="E75" t="s">
        <v>215</v>
      </c>
      <c r="F75" t="s">
        <v>13</v>
      </c>
      <c r="H75" t="s">
        <v>70</v>
      </c>
      <c r="I75" t="s">
        <v>219</v>
      </c>
      <c r="J75">
        <v>11</v>
      </c>
      <c r="L75">
        <v>11</v>
      </c>
      <c r="N75">
        <f>Таблица1[[#This Row],[Часов на заказчика  в работе]]+Таблица1[[#This Row],[Часов на заказчика  дежурство]]</f>
        <v>11</v>
      </c>
      <c r="O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" s="9">
        <v>100000</v>
      </c>
      <c r="R75" s="9"/>
      <c r="S75" s="5">
        <v>1</v>
      </c>
      <c r="T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табеле]])*S75,0)</f>
        <v>3333.333333333333</v>
      </c>
      <c r="U75" s="5">
        <f>IF(Таблица1[[#This Row],[ТТН]]&gt;0,Таблица1[[#This Row],[Ставка за ТТН]]*Таблица1[[#This Row],[ТТН]],0)</f>
        <v>0</v>
      </c>
    </row>
    <row r="76" spans="1:21" x14ac:dyDescent="0.25">
      <c r="A76" t="s">
        <v>84</v>
      </c>
      <c r="B76" s="24">
        <v>21</v>
      </c>
      <c r="C76" t="s">
        <v>102</v>
      </c>
      <c r="D76" t="s">
        <v>12</v>
      </c>
      <c r="E76" t="s">
        <v>215</v>
      </c>
      <c r="F76" t="s">
        <v>13</v>
      </c>
      <c r="H76" t="s">
        <v>10</v>
      </c>
      <c r="I76" t="s">
        <v>219</v>
      </c>
      <c r="J76">
        <v>22</v>
      </c>
      <c r="L76">
        <v>22</v>
      </c>
      <c r="N76">
        <f>Таблица1[[#This Row],[Часов на заказчика  в работе]]+Таблица1[[#This Row],[Часов на заказчика  дежурство]]</f>
        <v>22</v>
      </c>
      <c r="O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" s="9">
        <v>100000</v>
      </c>
      <c r="R76" s="9"/>
      <c r="S76" s="5">
        <v>1</v>
      </c>
      <c r="T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табеле]])*S76,0)</f>
        <v>6666.6666666666661</v>
      </c>
      <c r="U76" s="5">
        <f>IF(Таблица1[[#This Row],[ТТН]]&gt;0,Таблица1[[#This Row],[Ставка за ТТН]]*Таблица1[[#This Row],[ТТН]],0)</f>
        <v>0</v>
      </c>
    </row>
    <row r="77" spans="1:21" x14ac:dyDescent="0.25">
      <c r="A77" t="s">
        <v>84</v>
      </c>
      <c r="B77" s="24">
        <v>22</v>
      </c>
      <c r="C77" t="s">
        <v>102</v>
      </c>
      <c r="D77" t="s">
        <v>12</v>
      </c>
      <c r="E77" t="s">
        <v>215</v>
      </c>
      <c r="F77" t="s">
        <v>13</v>
      </c>
      <c r="H77" t="s">
        <v>10</v>
      </c>
      <c r="I77" t="s">
        <v>219</v>
      </c>
      <c r="J77">
        <v>22</v>
      </c>
      <c r="L77">
        <v>22</v>
      </c>
      <c r="N77">
        <f>Таблица1[[#This Row],[Часов на заказчика  в работе]]+Таблица1[[#This Row],[Часов на заказчика  дежурство]]</f>
        <v>22</v>
      </c>
      <c r="O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" s="9">
        <v>100000</v>
      </c>
      <c r="R77" s="9"/>
      <c r="S77" s="5">
        <v>1</v>
      </c>
      <c r="T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табеле]])*S77,0)</f>
        <v>6666.6666666666661</v>
      </c>
      <c r="U77" s="5">
        <f>IF(Таблица1[[#This Row],[ТТН]]&gt;0,Таблица1[[#This Row],[Ставка за ТТН]]*Таблица1[[#This Row],[ТТН]],0)</f>
        <v>0</v>
      </c>
    </row>
    <row r="78" spans="1:21" x14ac:dyDescent="0.25">
      <c r="A78" t="s">
        <v>84</v>
      </c>
      <c r="B78" s="24">
        <v>23</v>
      </c>
      <c r="C78" t="s">
        <v>102</v>
      </c>
      <c r="D78" t="s">
        <v>12</v>
      </c>
      <c r="E78" t="s">
        <v>215</v>
      </c>
      <c r="F78" t="s">
        <v>13</v>
      </c>
      <c r="H78" t="s">
        <v>10</v>
      </c>
      <c r="I78" t="s">
        <v>219</v>
      </c>
      <c r="J78">
        <v>22</v>
      </c>
      <c r="L78">
        <v>22</v>
      </c>
      <c r="N78">
        <f>Таблица1[[#This Row],[Часов на заказчика  в работе]]+Таблица1[[#This Row],[Часов на заказчика  дежурство]]</f>
        <v>22</v>
      </c>
      <c r="O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" s="9">
        <v>100000</v>
      </c>
      <c r="R78" s="9"/>
      <c r="S78" s="5">
        <v>1</v>
      </c>
      <c r="T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табеле]])*S78,0)</f>
        <v>6666.6666666666661</v>
      </c>
      <c r="U78" s="5">
        <f>IF(Таблица1[[#This Row],[ТТН]]&gt;0,Таблица1[[#This Row],[Ставка за ТТН]]*Таблица1[[#This Row],[ТТН]],0)</f>
        <v>0</v>
      </c>
    </row>
    <row r="79" spans="1:21" x14ac:dyDescent="0.25">
      <c r="A79" t="s">
        <v>84</v>
      </c>
      <c r="B79" s="24">
        <v>24</v>
      </c>
      <c r="C79" t="s">
        <v>102</v>
      </c>
      <c r="D79" t="s">
        <v>12</v>
      </c>
      <c r="E79" t="s">
        <v>215</v>
      </c>
      <c r="F79" t="s">
        <v>13</v>
      </c>
      <c r="H79" t="s">
        <v>10</v>
      </c>
      <c r="I79" t="s">
        <v>219</v>
      </c>
      <c r="J79">
        <v>11</v>
      </c>
      <c r="L79">
        <v>11</v>
      </c>
      <c r="N79">
        <f>Таблица1[[#This Row],[Часов на заказчика  в работе]]+Таблица1[[#This Row],[Часов на заказчика  дежурство]]</f>
        <v>11</v>
      </c>
      <c r="O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" s="9">
        <v>100000</v>
      </c>
      <c r="R79" s="9"/>
      <c r="S79" s="5">
        <v>1</v>
      </c>
      <c r="T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табеле]])*S79,0)</f>
        <v>3333.333333333333</v>
      </c>
      <c r="U79" s="5">
        <f>IF(Таблица1[[#This Row],[ТТН]]&gt;0,Таблица1[[#This Row],[Ставка за ТТН]]*Таблица1[[#This Row],[ТТН]],0)</f>
        <v>0</v>
      </c>
    </row>
    <row r="80" spans="1:21" x14ac:dyDescent="0.25">
      <c r="A80" t="s">
        <v>84</v>
      </c>
      <c r="B80" s="24">
        <v>24</v>
      </c>
      <c r="C80" t="s">
        <v>102</v>
      </c>
      <c r="D80" t="s">
        <v>12</v>
      </c>
      <c r="E80" t="s">
        <v>215</v>
      </c>
      <c r="F80" t="s">
        <v>13</v>
      </c>
      <c r="H80" t="s">
        <v>70</v>
      </c>
      <c r="I80" t="s">
        <v>219</v>
      </c>
      <c r="J80">
        <v>11</v>
      </c>
      <c r="L80">
        <v>11</v>
      </c>
      <c r="N80">
        <f>Таблица1[[#This Row],[Часов на заказчика  в работе]]+Таблица1[[#This Row],[Часов на заказчика  дежурство]]</f>
        <v>11</v>
      </c>
      <c r="O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" s="9">
        <v>100000</v>
      </c>
      <c r="R80" s="9"/>
      <c r="S80" s="5">
        <v>1</v>
      </c>
      <c r="T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табеле]])*S80,0)</f>
        <v>3333.333333333333</v>
      </c>
      <c r="U80" s="5">
        <f>IF(Таблица1[[#This Row],[ТТН]]&gt;0,Таблица1[[#This Row],[Ставка за ТТН]]*Таблица1[[#This Row],[ТТН]],0)</f>
        <v>0</v>
      </c>
    </row>
    <row r="81" spans="1:21" x14ac:dyDescent="0.25">
      <c r="A81" t="s">
        <v>84</v>
      </c>
      <c r="B81" s="24">
        <v>25</v>
      </c>
      <c r="C81" t="s">
        <v>102</v>
      </c>
      <c r="D81" t="s">
        <v>12</v>
      </c>
      <c r="E81" t="s">
        <v>215</v>
      </c>
      <c r="F81" t="s">
        <v>13</v>
      </c>
      <c r="H81" t="s">
        <v>10</v>
      </c>
      <c r="I81" t="s">
        <v>219</v>
      </c>
      <c r="J81">
        <v>11</v>
      </c>
      <c r="L81">
        <v>11</v>
      </c>
      <c r="N81">
        <f>Таблица1[[#This Row],[Часов на заказчика  в работе]]+Таблица1[[#This Row],[Часов на заказчика  дежурство]]</f>
        <v>11</v>
      </c>
      <c r="O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" s="9">
        <v>100000</v>
      </c>
      <c r="R81" s="9"/>
      <c r="S81" s="5">
        <v>1</v>
      </c>
      <c r="T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табеле]])*S81,0)</f>
        <v>3333.333333333333</v>
      </c>
      <c r="U81" s="5">
        <f>IF(Таблица1[[#This Row],[ТТН]]&gt;0,Таблица1[[#This Row],[Ставка за ТТН]]*Таблица1[[#This Row],[ТТН]],0)</f>
        <v>0</v>
      </c>
    </row>
    <row r="82" spans="1:21" x14ac:dyDescent="0.25">
      <c r="A82" t="s">
        <v>84</v>
      </c>
      <c r="B82" s="24">
        <v>25</v>
      </c>
      <c r="C82" t="s">
        <v>102</v>
      </c>
      <c r="D82" t="s">
        <v>12</v>
      </c>
      <c r="E82" t="s">
        <v>215</v>
      </c>
      <c r="F82" t="s">
        <v>13</v>
      </c>
      <c r="H82" t="s">
        <v>70</v>
      </c>
      <c r="I82" t="s">
        <v>219</v>
      </c>
      <c r="J82">
        <v>11</v>
      </c>
      <c r="L82">
        <v>11</v>
      </c>
      <c r="N82">
        <f>Таблица1[[#This Row],[Часов на заказчика  в работе]]+Таблица1[[#This Row],[Часов на заказчика  дежурство]]</f>
        <v>11</v>
      </c>
      <c r="O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" s="9">
        <v>100000</v>
      </c>
      <c r="R82" s="9"/>
      <c r="S82" s="5">
        <v>1</v>
      </c>
      <c r="T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табеле]])*S82,0)</f>
        <v>3333.333333333333</v>
      </c>
      <c r="U82" s="5">
        <f>IF(Таблица1[[#This Row],[ТТН]]&gt;0,Таблица1[[#This Row],[Ставка за ТТН]]*Таблица1[[#This Row],[ТТН]],0)</f>
        <v>0</v>
      </c>
    </row>
    <row r="83" spans="1:21" x14ac:dyDescent="0.25">
      <c r="A83" t="s">
        <v>84</v>
      </c>
      <c r="B83" s="24">
        <v>26</v>
      </c>
      <c r="C83" t="s">
        <v>102</v>
      </c>
      <c r="D83" t="s">
        <v>12</v>
      </c>
      <c r="E83" t="s">
        <v>215</v>
      </c>
      <c r="F83" t="s">
        <v>13</v>
      </c>
      <c r="H83" t="s">
        <v>23</v>
      </c>
      <c r="I83" t="s">
        <v>217</v>
      </c>
      <c r="J83">
        <v>11</v>
      </c>
      <c r="N83">
        <f>Таблица1[[#This Row],[Часов на заказчика  в работе]]+Таблица1[[#This Row],[Часов на заказчика  дежурство]]</f>
        <v>0</v>
      </c>
      <c r="O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" s="9">
        <v>100000</v>
      </c>
      <c r="R83" s="9"/>
      <c r="S83" s="5">
        <v>1</v>
      </c>
      <c r="T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табеле]])*S83,0)</f>
        <v>3333.333333333333</v>
      </c>
      <c r="U83" s="5">
        <f>IF(Таблица1[[#This Row],[ТТН]]&gt;0,Таблица1[[#This Row],[Ставка за ТТН]]*Таблица1[[#This Row],[ТТН]],0)</f>
        <v>0</v>
      </c>
    </row>
    <row r="84" spans="1:21" x14ac:dyDescent="0.25">
      <c r="A84" t="s">
        <v>84</v>
      </c>
      <c r="B84" s="24">
        <v>27</v>
      </c>
      <c r="C84" t="s">
        <v>102</v>
      </c>
      <c r="D84" t="s">
        <v>12</v>
      </c>
      <c r="E84" t="s">
        <v>215</v>
      </c>
      <c r="F84" t="s">
        <v>13</v>
      </c>
      <c r="H84" t="s">
        <v>23</v>
      </c>
      <c r="I84" t="s">
        <v>217</v>
      </c>
      <c r="J84">
        <v>11</v>
      </c>
      <c r="N84">
        <f>Таблица1[[#This Row],[Часов на заказчика  в работе]]+Таблица1[[#This Row],[Часов на заказчика  дежурство]]</f>
        <v>0</v>
      </c>
      <c r="O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" s="9">
        <v>100000</v>
      </c>
      <c r="R84" s="9"/>
      <c r="S84" s="5">
        <v>1</v>
      </c>
      <c r="T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табеле]])*S84,0)</f>
        <v>3333.333333333333</v>
      </c>
      <c r="U84" s="5">
        <f>IF(Таблица1[[#This Row],[ТТН]]&gt;0,Таблица1[[#This Row],[Ставка за ТТН]]*Таблица1[[#This Row],[ТТН]],0)</f>
        <v>0</v>
      </c>
    </row>
    <row r="85" spans="1:21" x14ac:dyDescent="0.25">
      <c r="A85" t="s">
        <v>84</v>
      </c>
      <c r="B85" s="24">
        <v>28</v>
      </c>
      <c r="C85" t="s">
        <v>102</v>
      </c>
      <c r="D85" t="s">
        <v>12</v>
      </c>
      <c r="E85" t="s">
        <v>215</v>
      </c>
      <c r="F85" t="s">
        <v>13</v>
      </c>
      <c r="H85" t="s">
        <v>23</v>
      </c>
      <c r="I85" t="s">
        <v>217</v>
      </c>
      <c r="J85">
        <v>11</v>
      </c>
      <c r="N85">
        <f>Таблица1[[#This Row],[Часов на заказчика  в работе]]+Таблица1[[#This Row],[Часов на заказчика  дежурство]]</f>
        <v>0</v>
      </c>
      <c r="O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" s="9">
        <v>100000</v>
      </c>
      <c r="R85" s="9"/>
      <c r="S85" s="5">
        <v>1</v>
      </c>
      <c r="T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табеле]])*S85,0)</f>
        <v>3333.333333333333</v>
      </c>
      <c r="U85" s="5">
        <f>IF(Таблица1[[#This Row],[ТТН]]&gt;0,Таблица1[[#This Row],[Ставка за ТТН]]*Таблица1[[#This Row],[ТТН]],0)</f>
        <v>0</v>
      </c>
    </row>
    <row r="86" spans="1:21" x14ac:dyDescent="0.25">
      <c r="A86" t="s">
        <v>84</v>
      </c>
      <c r="B86" s="24">
        <v>29</v>
      </c>
      <c r="C86" t="s">
        <v>102</v>
      </c>
      <c r="D86" t="s">
        <v>12</v>
      </c>
      <c r="E86" t="s">
        <v>215</v>
      </c>
      <c r="F86" t="s">
        <v>13</v>
      </c>
      <c r="H86" t="s">
        <v>70</v>
      </c>
      <c r="I86" t="s">
        <v>219</v>
      </c>
      <c r="J86">
        <v>11</v>
      </c>
      <c r="L86">
        <v>11</v>
      </c>
      <c r="N86">
        <f>Таблица1[[#This Row],[Часов на заказчика  в работе]]+Таблица1[[#This Row],[Часов на заказчика  дежурство]]</f>
        <v>11</v>
      </c>
      <c r="O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" s="9">
        <v>100000</v>
      </c>
      <c r="R86" s="9"/>
      <c r="S86" s="5">
        <v>1</v>
      </c>
      <c r="T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табеле]])*S86,0)</f>
        <v>3333.333333333333</v>
      </c>
      <c r="U86" s="5">
        <f>IF(Таблица1[[#This Row],[ТТН]]&gt;0,Таблица1[[#This Row],[Ставка за ТТН]]*Таблица1[[#This Row],[ТТН]],0)</f>
        <v>0</v>
      </c>
    </row>
    <row r="87" spans="1:21" x14ac:dyDescent="0.25">
      <c r="A87" t="s">
        <v>84</v>
      </c>
      <c r="B87" s="24">
        <v>30</v>
      </c>
      <c r="C87" t="s">
        <v>102</v>
      </c>
      <c r="D87" t="s">
        <v>12</v>
      </c>
      <c r="E87" t="s">
        <v>215</v>
      </c>
      <c r="F87" t="s">
        <v>13</v>
      </c>
      <c r="H87" t="s">
        <v>10</v>
      </c>
      <c r="I87" t="s">
        <v>219</v>
      </c>
      <c r="J87">
        <v>11</v>
      </c>
      <c r="L87">
        <v>11</v>
      </c>
      <c r="N87">
        <f>Таблица1[[#This Row],[Часов на заказчика  в работе]]+Таблица1[[#This Row],[Часов на заказчика  дежурство]]</f>
        <v>11</v>
      </c>
      <c r="O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" s="9">
        <v>100000</v>
      </c>
      <c r="R87" s="9"/>
      <c r="S87" s="5">
        <v>1</v>
      </c>
      <c r="T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табеле]])*S87,0)</f>
        <v>3333.333333333333</v>
      </c>
      <c r="U87" s="5">
        <f>IF(Таблица1[[#This Row],[ТТН]]&gt;0,Таблица1[[#This Row],[Ставка за ТТН]]*Таблица1[[#This Row],[ТТН]],0)</f>
        <v>0</v>
      </c>
    </row>
    <row r="88" spans="1:21" x14ac:dyDescent="0.25">
      <c r="A88" t="s">
        <v>84</v>
      </c>
      <c r="B88" s="24">
        <v>30</v>
      </c>
      <c r="C88" t="s">
        <v>103</v>
      </c>
      <c r="D88" t="s">
        <v>12</v>
      </c>
      <c r="E88" t="s">
        <v>215</v>
      </c>
      <c r="F88" t="s">
        <v>13</v>
      </c>
      <c r="H88" t="s">
        <v>70</v>
      </c>
      <c r="I88" t="s">
        <v>219</v>
      </c>
      <c r="J88">
        <v>11</v>
      </c>
      <c r="L88">
        <v>11</v>
      </c>
      <c r="N88">
        <f>Таблица1[[#This Row],[Часов на заказчика  в работе]]+Таблица1[[#This Row],[Часов на заказчика  дежурство]]</f>
        <v>11</v>
      </c>
      <c r="O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" s="9">
        <v>100000</v>
      </c>
      <c r="R88" s="9"/>
      <c r="S88" s="5">
        <v>1</v>
      </c>
      <c r="T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табеле]])*S88,0)</f>
        <v>3333.333333333333</v>
      </c>
      <c r="U88" s="5">
        <f>IF(Таблица1[[#This Row],[ТТН]]&gt;0,Таблица1[[#This Row],[Ставка за ТТН]]*Таблица1[[#This Row],[ТТН]],0)</f>
        <v>0</v>
      </c>
    </row>
    <row r="89" spans="1:21" x14ac:dyDescent="0.25">
      <c r="A89" t="s">
        <v>84</v>
      </c>
      <c r="B89" s="24">
        <v>1</v>
      </c>
      <c r="C89" t="s">
        <v>103</v>
      </c>
      <c r="D89" t="s">
        <v>12</v>
      </c>
      <c r="E89" t="s">
        <v>214</v>
      </c>
      <c r="F89" t="s">
        <v>13</v>
      </c>
      <c r="H89" t="s">
        <v>29</v>
      </c>
      <c r="I89" t="s">
        <v>217</v>
      </c>
      <c r="J89">
        <v>8</v>
      </c>
      <c r="N89">
        <f>Таблица1[[#This Row],[Часов на заказчика  в работе]]+Таблица1[[#This Row],[Часов на заказчика  дежурство]]</f>
        <v>0</v>
      </c>
      <c r="O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" s="9">
        <v>100000</v>
      </c>
      <c r="R89" s="9"/>
      <c r="S89" s="5">
        <v>1</v>
      </c>
      <c r="T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табеле]])*S89,0)</f>
        <v>0</v>
      </c>
      <c r="U89" s="5">
        <f>IF(Таблица1[[#This Row],[ТТН]]&gt;0,Таблица1[[#This Row],[Ставка за ТТН]]*Таблица1[[#This Row],[ТТН]],0)</f>
        <v>0</v>
      </c>
    </row>
    <row r="90" spans="1:21" x14ac:dyDescent="0.25">
      <c r="A90" t="s">
        <v>84</v>
      </c>
      <c r="B90" s="24">
        <v>2</v>
      </c>
      <c r="C90" t="s">
        <v>103</v>
      </c>
      <c r="D90" t="s">
        <v>12</v>
      </c>
      <c r="E90" t="s">
        <v>214</v>
      </c>
      <c r="F90" t="s">
        <v>13</v>
      </c>
      <c r="H90" t="s">
        <v>29</v>
      </c>
      <c r="I90" t="s">
        <v>217</v>
      </c>
      <c r="J90">
        <v>8</v>
      </c>
      <c r="N90">
        <f>Таблица1[[#This Row],[Часов на заказчика  в работе]]+Таблица1[[#This Row],[Часов на заказчика  дежурство]]</f>
        <v>0</v>
      </c>
      <c r="O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" s="9">
        <v>100000</v>
      </c>
      <c r="R90" s="9"/>
      <c r="S90" s="5">
        <v>1</v>
      </c>
      <c r="T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табеле]])*S90,0)</f>
        <v>0</v>
      </c>
      <c r="U90" s="5">
        <f>IF(Таблица1[[#This Row],[ТТН]]&gt;0,Таблица1[[#This Row],[Ставка за ТТН]]*Таблица1[[#This Row],[ТТН]],0)</f>
        <v>0</v>
      </c>
    </row>
    <row r="91" spans="1:21" x14ac:dyDescent="0.25">
      <c r="A91" t="s">
        <v>84</v>
      </c>
      <c r="B91" s="24">
        <v>3</v>
      </c>
      <c r="C91" t="s">
        <v>103</v>
      </c>
      <c r="D91" t="s">
        <v>12</v>
      </c>
      <c r="E91" t="s">
        <v>214</v>
      </c>
      <c r="F91" t="s">
        <v>13</v>
      </c>
      <c r="H91" t="s">
        <v>29</v>
      </c>
      <c r="I91" t="s">
        <v>217</v>
      </c>
      <c r="J91">
        <v>8</v>
      </c>
      <c r="N91">
        <f>Таблица1[[#This Row],[Часов на заказчика  в работе]]+Таблица1[[#This Row],[Часов на заказчика  дежурство]]</f>
        <v>0</v>
      </c>
      <c r="O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" s="9">
        <v>100000</v>
      </c>
      <c r="R91" s="9"/>
      <c r="S91" s="5">
        <v>1</v>
      </c>
      <c r="T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табеле]])*S91,0)</f>
        <v>0</v>
      </c>
      <c r="U91" s="5">
        <f>IF(Таблица1[[#This Row],[ТТН]]&gt;0,Таблица1[[#This Row],[Ставка за ТТН]]*Таблица1[[#This Row],[ТТН]],0)</f>
        <v>0</v>
      </c>
    </row>
    <row r="92" spans="1:21" x14ac:dyDescent="0.25">
      <c r="A92" t="s">
        <v>84</v>
      </c>
      <c r="B92" s="24">
        <v>4</v>
      </c>
      <c r="C92" t="s">
        <v>103</v>
      </c>
      <c r="D92" t="s">
        <v>12</v>
      </c>
      <c r="E92" t="s">
        <v>214</v>
      </c>
      <c r="F92" t="s">
        <v>13</v>
      </c>
      <c r="H92" t="s">
        <v>29</v>
      </c>
      <c r="I92" t="s">
        <v>217</v>
      </c>
      <c r="J92">
        <v>8</v>
      </c>
      <c r="N92">
        <f>Таблица1[[#This Row],[Часов на заказчика  в работе]]+Таблица1[[#This Row],[Часов на заказчика  дежурство]]</f>
        <v>0</v>
      </c>
      <c r="O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" s="9">
        <v>100000</v>
      </c>
      <c r="R92" s="9"/>
      <c r="S92" s="5">
        <v>1</v>
      </c>
      <c r="T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табеле]])*S92,0)</f>
        <v>0</v>
      </c>
      <c r="U92" s="5">
        <f>IF(Таблица1[[#This Row],[ТТН]]&gt;0,Таблица1[[#This Row],[Ставка за ТТН]]*Таблица1[[#This Row],[ТТН]],0)</f>
        <v>0</v>
      </c>
    </row>
    <row r="93" spans="1:21" x14ac:dyDescent="0.25">
      <c r="A93" t="s">
        <v>84</v>
      </c>
      <c r="B93" s="24">
        <v>5</v>
      </c>
      <c r="C93" t="s">
        <v>103</v>
      </c>
      <c r="D93" t="s">
        <v>12</v>
      </c>
      <c r="E93" t="s">
        <v>214</v>
      </c>
      <c r="F93" t="s">
        <v>13</v>
      </c>
      <c r="H93" t="s">
        <v>29</v>
      </c>
      <c r="I93" t="s">
        <v>217</v>
      </c>
      <c r="J93">
        <v>8</v>
      </c>
      <c r="N93">
        <f>Таблица1[[#This Row],[Часов на заказчика  в работе]]+Таблица1[[#This Row],[Часов на заказчика  дежурство]]</f>
        <v>0</v>
      </c>
      <c r="O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" s="9">
        <v>100000</v>
      </c>
      <c r="R93" s="9"/>
      <c r="S93" s="5">
        <v>1</v>
      </c>
      <c r="T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табеле]])*S93,0)</f>
        <v>0</v>
      </c>
      <c r="U93" s="5">
        <f>IF(Таблица1[[#This Row],[ТТН]]&gt;0,Таблица1[[#This Row],[Ставка за ТТН]]*Таблица1[[#This Row],[ТТН]],0)</f>
        <v>0</v>
      </c>
    </row>
    <row r="94" spans="1:21" x14ac:dyDescent="0.25">
      <c r="A94" t="s">
        <v>84</v>
      </c>
      <c r="B94" s="24">
        <v>6</v>
      </c>
      <c r="C94" t="s">
        <v>103</v>
      </c>
      <c r="D94" t="s">
        <v>12</v>
      </c>
      <c r="E94" t="s">
        <v>214</v>
      </c>
      <c r="F94" t="s">
        <v>13</v>
      </c>
      <c r="H94" t="s">
        <v>30</v>
      </c>
      <c r="I94" t="s">
        <v>217</v>
      </c>
      <c r="J94">
        <v>1</v>
      </c>
      <c r="N94">
        <f>Таблица1[[#This Row],[Часов на заказчика  в работе]]+Таблица1[[#This Row],[Часов на заказчика  дежурство]]</f>
        <v>0</v>
      </c>
      <c r="O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" s="9">
        <v>100000</v>
      </c>
      <c r="R94" s="9"/>
      <c r="S94" s="5">
        <v>1</v>
      </c>
      <c r="T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табеле]])*S94,0)</f>
        <v>0</v>
      </c>
      <c r="U94" s="5">
        <f>IF(Таблица1[[#This Row],[ТТН]]&gt;0,Таблица1[[#This Row],[Ставка за ТТН]]*Таблица1[[#This Row],[ТТН]],0)</f>
        <v>0</v>
      </c>
    </row>
    <row r="95" spans="1:21" x14ac:dyDescent="0.25">
      <c r="A95" t="s">
        <v>84</v>
      </c>
      <c r="B95" s="24">
        <v>7</v>
      </c>
      <c r="C95" t="s">
        <v>103</v>
      </c>
      <c r="D95" t="s">
        <v>12</v>
      </c>
      <c r="E95" t="s">
        <v>214</v>
      </c>
      <c r="F95" t="s">
        <v>13</v>
      </c>
      <c r="H95" t="s">
        <v>30</v>
      </c>
      <c r="I95" t="s">
        <v>217</v>
      </c>
      <c r="J95">
        <v>1</v>
      </c>
      <c r="N95">
        <f>Таблица1[[#This Row],[Часов на заказчика  в работе]]+Таблица1[[#This Row],[Часов на заказчика  дежурство]]</f>
        <v>0</v>
      </c>
      <c r="O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" s="9">
        <v>100000</v>
      </c>
      <c r="R95" s="9"/>
      <c r="S95" s="5">
        <v>1</v>
      </c>
      <c r="T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табеле]])*S95,0)</f>
        <v>0</v>
      </c>
      <c r="U95" s="5">
        <f>IF(Таблица1[[#This Row],[ТТН]]&gt;0,Таблица1[[#This Row],[Ставка за ТТН]]*Таблица1[[#This Row],[ТТН]],0)</f>
        <v>0</v>
      </c>
    </row>
    <row r="96" spans="1:21" x14ac:dyDescent="0.25">
      <c r="A96" t="s">
        <v>84</v>
      </c>
      <c r="B96" s="24">
        <v>8</v>
      </c>
      <c r="C96" t="s">
        <v>103</v>
      </c>
      <c r="D96" t="s">
        <v>12</v>
      </c>
      <c r="E96" t="s">
        <v>214</v>
      </c>
      <c r="F96" t="s">
        <v>13</v>
      </c>
      <c r="H96" t="s">
        <v>29</v>
      </c>
      <c r="I96" t="s">
        <v>217</v>
      </c>
      <c r="J96">
        <v>8</v>
      </c>
      <c r="N96">
        <f>Таблица1[[#This Row],[Часов на заказчика  в работе]]+Таблица1[[#This Row],[Часов на заказчика  дежурство]]</f>
        <v>0</v>
      </c>
      <c r="O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" s="9">
        <v>100000</v>
      </c>
      <c r="R96" s="9"/>
      <c r="S96" s="5">
        <v>1</v>
      </c>
      <c r="T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табеле]])*S96,0)</f>
        <v>0</v>
      </c>
      <c r="U96" s="5">
        <f>IF(Таблица1[[#This Row],[ТТН]]&gt;0,Таблица1[[#This Row],[Ставка за ТТН]]*Таблица1[[#This Row],[ТТН]],0)</f>
        <v>0</v>
      </c>
    </row>
    <row r="97" spans="1:21" x14ac:dyDescent="0.25">
      <c r="A97" t="s">
        <v>84</v>
      </c>
      <c r="B97" s="24">
        <v>9</v>
      </c>
      <c r="C97" t="s">
        <v>103</v>
      </c>
      <c r="D97" t="s">
        <v>12</v>
      </c>
      <c r="E97" t="s">
        <v>214</v>
      </c>
      <c r="F97" t="s">
        <v>13</v>
      </c>
      <c r="H97" t="s">
        <v>29</v>
      </c>
      <c r="I97" t="s">
        <v>217</v>
      </c>
      <c r="J97">
        <v>8</v>
      </c>
      <c r="N97">
        <f>Таблица1[[#This Row],[Часов на заказчика  в работе]]+Таблица1[[#This Row],[Часов на заказчика  дежурство]]</f>
        <v>0</v>
      </c>
      <c r="O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" s="9">
        <v>100000</v>
      </c>
      <c r="R97" s="9"/>
      <c r="S97" s="5">
        <v>1</v>
      </c>
      <c r="T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табеле]])*S97,0)</f>
        <v>0</v>
      </c>
      <c r="U97" s="5">
        <f>IF(Таблица1[[#This Row],[ТТН]]&gt;0,Таблица1[[#This Row],[Ставка за ТТН]]*Таблица1[[#This Row],[ТТН]],0)</f>
        <v>0</v>
      </c>
    </row>
    <row r="98" spans="1:21" x14ac:dyDescent="0.25">
      <c r="A98" t="s">
        <v>84</v>
      </c>
      <c r="B98" s="24">
        <v>10</v>
      </c>
      <c r="C98" t="s">
        <v>103</v>
      </c>
      <c r="D98" t="s">
        <v>12</v>
      </c>
      <c r="E98" t="s">
        <v>214</v>
      </c>
      <c r="F98" t="s">
        <v>13</v>
      </c>
      <c r="H98" t="s">
        <v>29</v>
      </c>
      <c r="I98" t="s">
        <v>217</v>
      </c>
      <c r="J98">
        <v>8</v>
      </c>
      <c r="N98">
        <f>Таблица1[[#This Row],[Часов на заказчика  в работе]]+Таблица1[[#This Row],[Часов на заказчика  дежурство]]</f>
        <v>0</v>
      </c>
      <c r="O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" s="9">
        <v>100000</v>
      </c>
      <c r="R98" s="9"/>
      <c r="S98" s="5">
        <v>1</v>
      </c>
      <c r="T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табеле]])*S98,0)</f>
        <v>0</v>
      </c>
      <c r="U98" s="5">
        <f>IF(Таблица1[[#This Row],[ТТН]]&gt;0,Таблица1[[#This Row],[Ставка за ТТН]]*Таблица1[[#This Row],[ТТН]],0)</f>
        <v>0</v>
      </c>
    </row>
    <row r="99" spans="1:21" x14ac:dyDescent="0.25">
      <c r="A99" t="s">
        <v>84</v>
      </c>
      <c r="B99" s="24">
        <v>11</v>
      </c>
      <c r="C99" t="s">
        <v>103</v>
      </c>
      <c r="D99" t="s">
        <v>12</v>
      </c>
      <c r="E99" t="s">
        <v>214</v>
      </c>
      <c r="F99" t="s">
        <v>13</v>
      </c>
      <c r="H99" t="s">
        <v>29</v>
      </c>
      <c r="I99" t="s">
        <v>217</v>
      </c>
      <c r="J99">
        <v>8</v>
      </c>
      <c r="N99">
        <f>Таблица1[[#This Row],[Часов на заказчика  в работе]]+Таблица1[[#This Row],[Часов на заказчика  дежурство]]</f>
        <v>0</v>
      </c>
      <c r="O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" s="9">
        <v>100000</v>
      </c>
      <c r="R99" s="9"/>
      <c r="S99" s="5">
        <v>1</v>
      </c>
      <c r="T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табеле]])*S99,0)</f>
        <v>0</v>
      </c>
      <c r="U99" s="5">
        <f>IF(Таблица1[[#This Row],[ТТН]]&gt;0,Таблица1[[#This Row],[Ставка за ТТН]]*Таблица1[[#This Row],[ТТН]],0)</f>
        <v>0</v>
      </c>
    </row>
    <row r="100" spans="1:21" x14ac:dyDescent="0.25">
      <c r="A100" t="s">
        <v>84</v>
      </c>
      <c r="B100" s="24">
        <v>12</v>
      </c>
      <c r="C100" t="s">
        <v>103</v>
      </c>
      <c r="D100" t="s">
        <v>12</v>
      </c>
      <c r="E100" t="s">
        <v>214</v>
      </c>
      <c r="F100" t="s">
        <v>13</v>
      </c>
      <c r="H100" t="s">
        <v>29</v>
      </c>
      <c r="I100" t="s">
        <v>217</v>
      </c>
      <c r="J100">
        <v>8</v>
      </c>
      <c r="N100">
        <f>Таблица1[[#This Row],[Часов на заказчика  в работе]]+Таблица1[[#This Row],[Часов на заказчика  дежурство]]</f>
        <v>0</v>
      </c>
      <c r="O1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" s="9">
        <v>100000</v>
      </c>
      <c r="R100" s="9"/>
      <c r="S100" s="5">
        <v>1</v>
      </c>
      <c r="T1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табеле]])*S100,0)</f>
        <v>0</v>
      </c>
      <c r="U100" s="5">
        <f>IF(Таблица1[[#This Row],[ТТН]]&gt;0,Таблица1[[#This Row],[Ставка за ТТН]]*Таблица1[[#This Row],[ТТН]],0)</f>
        <v>0</v>
      </c>
    </row>
    <row r="101" spans="1:21" x14ac:dyDescent="0.25">
      <c r="A101" t="s">
        <v>84</v>
      </c>
      <c r="B101" s="24">
        <v>13</v>
      </c>
      <c r="C101" t="s">
        <v>103</v>
      </c>
      <c r="D101" t="s">
        <v>12</v>
      </c>
      <c r="E101" t="s">
        <v>214</v>
      </c>
      <c r="F101" t="s">
        <v>13</v>
      </c>
      <c r="H101" t="s">
        <v>30</v>
      </c>
      <c r="I101" t="s">
        <v>217</v>
      </c>
      <c r="J101">
        <v>1</v>
      </c>
      <c r="N101">
        <f>Таблица1[[#This Row],[Часов на заказчика  в работе]]+Таблица1[[#This Row],[Часов на заказчика  дежурство]]</f>
        <v>0</v>
      </c>
      <c r="O1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" s="9">
        <v>100000</v>
      </c>
      <c r="R101" s="9"/>
      <c r="S101" s="5">
        <v>1</v>
      </c>
      <c r="T1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табеле]])*S101,0)</f>
        <v>0</v>
      </c>
      <c r="U101" s="5">
        <f>IF(Таблица1[[#This Row],[ТТН]]&gt;0,Таблица1[[#This Row],[Ставка за ТТН]]*Таблица1[[#This Row],[ТТН]],0)</f>
        <v>0</v>
      </c>
    </row>
    <row r="102" spans="1:21" x14ac:dyDescent="0.25">
      <c r="A102" t="s">
        <v>84</v>
      </c>
      <c r="B102" s="24">
        <v>14</v>
      </c>
      <c r="C102" t="s">
        <v>103</v>
      </c>
      <c r="D102" t="s">
        <v>12</v>
      </c>
      <c r="E102" t="s">
        <v>214</v>
      </c>
      <c r="F102" t="s">
        <v>13</v>
      </c>
      <c r="H102" t="s">
        <v>30</v>
      </c>
      <c r="I102" t="s">
        <v>217</v>
      </c>
      <c r="J102">
        <v>1</v>
      </c>
      <c r="N102">
        <f>Таблица1[[#This Row],[Часов на заказчика  в работе]]+Таблица1[[#This Row],[Часов на заказчика  дежурство]]</f>
        <v>0</v>
      </c>
      <c r="O1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" s="9">
        <v>100000</v>
      </c>
      <c r="R102" s="9"/>
      <c r="S102" s="5">
        <v>1</v>
      </c>
      <c r="T1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табеле]])*S102,0)</f>
        <v>0</v>
      </c>
      <c r="U102" s="5">
        <f>IF(Таблица1[[#This Row],[ТТН]]&gt;0,Таблица1[[#This Row],[Ставка за ТТН]]*Таблица1[[#This Row],[ТТН]],0)</f>
        <v>0</v>
      </c>
    </row>
    <row r="103" spans="1:21" x14ac:dyDescent="0.25">
      <c r="A103" t="s">
        <v>84</v>
      </c>
      <c r="B103" s="24">
        <v>15</v>
      </c>
      <c r="C103" t="s">
        <v>103</v>
      </c>
      <c r="D103" t="s">
        <v>12</v>
      </c>
      <c r="E103" t="s">
        <v>214</v>
      </c>
      <c r="F103" t="s">
        <v>13</v>
      </c>
      <c r="H103" t="s">
        <v>29</v>
      </c>
      <c r="I103" t="s">
        <v>217</v>
      </c>
      <c r="J103">
        <v>8</v>
      </c>
      <c r="N103">
        <f>Таблица1[[#This Row],[Часов на заказчика  в работе]]+Таблица1[[#This Row],[Часов на заказчика  дежурство]]</f>
        <v>0</v>
      </c>
      <c r="O1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" s="9">
        <v>100000</v>
      </c>
      <c r="R103" s="9"/>
      <c r="S103" s="5">
        <v>1</v>
      </c>
      <c r="T1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табеле]])*S103,0)</f>
        <v>0</v>
      </c>
      <c r="U103" s="5">
        <f>IF(Таблица1[[#This Row],[ТТН]]&gt;0,Таблица1[[#This Row],[Ставка за ТТН]]*Таблица1[[#This Row],[ТТН]],0)</f>
        <v>0</v>
      </c>
    </row>
    <row r="104" spans="1:21" x14ac:dyDescent="0.25">
      <c r="A104" t="s">
        <v>84</v>
      </c>
      <c r="B104" s="24">
        <v>16</v>
      </c>
      <c r="C104" t="s">
        <v>103</v>
      </c>
      <c r="D104" t="s">
        <v>12</v>
      </c>
      <c r="E104" t="s">
        <v>214</v>
      </c>
      <c r="F104" t="s">
        <v>13</v>
      </c>
      <c r="H104" t="s">
        <v>29</v>
      </c>
      <c r="I104" t="s">
        <v>217</v>
      </c>
      <c r="J104">
        <v>8</v>
      </c>
      <c r="N104">
        <f>Таблица1[[#This Row],[Часов на заказчика  в работе]]+Таблица1[[#This Row],[Часов на заказчика  дежурство]]</f>
        <v>0</v>
      </c>
      <c r="O1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" s="9">
        <v>100000</v>
      </c>
      <c r="R104" s="9"/>
      <c r="S104" s="5">
        <v>1</v>
      </c>
      <c r="T1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табеле]])*S104,0)</f>
        <v>0</v>
      </c>
      <c r="U104" s="5">
        <f>IF(Таблица1[[#This Row],[ТТН]]&gt;0,Таблица1[[#This Row],[Ставка за ТТН]]*Таблица1[[#This Row],[ТТН]],0)</f>
        <v>0</v>
      </c>
    </row>
    <row r="105" spans="1:21" x14ac:dyDescent="0.25">
      <c r="A105" t="s">
        <v>84</v>
      </c>
      <c r="B105" s="24">
        <v>17</v>
      </c>
      <c r="C105" t="s">
        <v>103</v>
      </c>
      <c r="D105" t="s">
        <v>12</v>
      </c>
      <c r="E105" t="s">
        <v>214</v>
      </c>
      <c r="F105" t="s">
        <v>13</v>
      </c>
      <c r="H105" t="s">
        <v>29</v>
      </c>
      <c r="I105" t="s">
        <v>217</v>
      </c>
      <c r="J105">
        <v>8</v>
      </c>
      <c r="N105">
        <f>Таблица1[[#This Row],[Часов на заказчика  в работе]]+Таблица1[[#This Row],[Часов на заказчика  дежурство]]</f>
        <v>0</v>
      </c>
      <c r="O1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" s="9">
        <v>100000</v>
      </c>
      <c r="R105" s="9"/>
      <c r="S105" s="5">
        <v>1</v>
      </c>
      <c r="T1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табеле]])*S105,0)</f>
        <v>0</v>
      </c>
      <c r="U105" s="5">
        <f>IF(Таблица1[[#This Row],[ТТН]]&gt;0,Таблица1[[#This Row],[Ставка за ТТН]]*Таблица1[[#This Row],[ТТН]],0)</f>
        <v>0</v>
      </c>
    </row>
    <row r="106" spans="1:21" x14ac:dyDescent="0.25">
      <c r="A106" t="s">
        <v>84</v>
      </c>
      <c r="B106" s="24">
        <v>18</v>
      </c>
      <c r="C106" t="s">
        <v>103</v>
      </c>
      <c r="D106" t="s">
        <v>12</v>
      </c>
      <c r="E106" t="s">
        <v>214</v>
      </c>
      <c r="F106" t="s">
        <v>13</v>
      </c>
      <c r="H106" t="s">
        <v>29</v>
      </c>
      <c r="I106" t="s">
        <v>217</v>
      </c>
      <c r="J106">
        <v>8</v>
      </c>
      <c r="N106">
        <f>Таблица1[[#This Row],[Часов на заказчика  в работе]]+Таблица1[[#This Row],[Часов на заказчика  дежурство]]</f>
        <v>0</v>
      </c>
      <c r="O1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" s="9">
        <v>100000</v>
      </c>
      <c r="R106" s="9"/>
      <c r="S106" s="5">
        <v>1</v>
      </c>
      <c r="T1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табеле]])*S106,0)</f>
        <v>0</v>
      </c>
      <c r="U106" s="5">
        <f>IF(Таблица1[[#This Row],[ТТН]]&gt;0,Таблица1[[#This Row],[Ставка за ТТН]]*Таблица1[[#This Row],[ТТН]],0)</f>
        <v>0</v>
      </c>
    </row>
    <row r="107" spans="1:21" x14ac:dyDescent="0.25">
      <c r="A107" t="s">
        <v>84</v>
      </c>
      <c r="B107" s="24">
        <v>19</v>
      </c>
      <c r="C107" t="s">
        <v>103</v>
      </c>
      <c r="D107" t="s">
        <v>12</v>
      </c>
      <c r="E107" t="s">
        <v>214</v>
      </c>
      <c r="F107" t="s">
        <v>13</v>
      </c>
      <c r="H107" t="s">
        <v>29</v>
      </c>
      <c r="I107" t="s">
        <v>217</v>
      </c>
      <c r="J107">
        <v>8</v>
      </c>
      <c r="N107">
        <f>Таблица1[[#This Row],[Часов на заказчика  в работе]]+Таблица1[[#This Row],[Часов на заказчика  дежурство]]</f>
        <v>0</v>
      </c>
      <c r="O1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" s="9">
        <v>100000</v>
      </c>
      <c r="R107" s="9"/>
      <c r="S107" s="5">
        <v>1</v>
      </c>
      <c r="T1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табеле]])*S107,0)</f>
        <v>0</v>
      </c>
      <c r="U107" s="5">
        <f>IF(Таблица1[[#This Row],[ТТН]]&gt;0,Таблица1[[#This Row],[Ставка за ТТН]]*Таблица1[[#This Row],[ТТН]],0)</f>
        <v>0</v>
      </c>
    </row>
    <row r="108" spans="1:21" x14ac:dyDescent="0.25">
      <c r="A108" t="s">
        <v>84</v>
      </c>
      <c r="B108" s="24">
        <v>20</v>
      </c>
      <c r="C108" t="s">
        <v>103</v>
      </c>
      <c r="D108" t="s">
        <v>12</v>
      </c>
      <c r="E108" t="s">
        <v>214</v>
      </c>
      <c r="F108" t="s">
        <v>13</v>
      </c>
      <c r="H108" t="s">
        <v>30</v>
      </c>
      <c r="I108" t="s">
        <v>217</v>
      </c>
      <c r="J108">
        <v>1</v>
      </c>
      <c r="N108">
        <f>Таблица1[[#This Row],[Часов на заказчика  в работе]]+Таблица1[[#This Row],[Часов на заказчика  дежурство]]</f>
        <v>0</v>
      </c>
      <c r="O1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" s="9">
        <v>100000</v>
      </c>
      <c r="R108" s="9"/>
      <c r="S108" s="5">
        <v>1</v>
      </c>
      <c r="T1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табеле]])*S108,0)</f>
        <v>0</v>
      </c>
      <c r="U108" s="5">
        <f>IF(Таблица1[[#This Row],[ТТН]]&gt;0,Таблица1[[#This Row],[Ставка за ТТН]]*Таблица1[[#This Row],[ТТН]],0)</f>
        <v>0</v>
      </c>
    </row>
    <row r="109" spans="1:21" x14ac:dyDescent="0.25">
      <c r="A109" t="s">
        <v>84</v>
      </c>
      <c r="B109" s="24">
        <v>21</v>
      </c>
      <c r="C109" t="s">
        <v>103</v>
      </c>
      <c r="D109" t="s">
        <v>12</v>
      </c>
      <c r="E109" t="s">
        <v>214</v>
      </c>
      <c r="F109" t="s">
        <v>13</v>
      </c>
      <c r="H109" t="s">
        <v>30</v>
      </c>
      <c r="I109" t="s">
        <v>217</v>
      </c>
      <c r="J109">
        <v>1</v>
      </c>
      <c r="N109">
        <f>Таблица1[[#This Row],[Часов на заказчика  в работе]]+Таблица1[[#This Row],[Часов на заказчика  дежурство]]</f>
        <v>0</v>
      </c>
      <c r="O1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" s="9">
        <v>100000</v>
      </c>
      <c r="R109" s="9"/>
      <c r="S109" s="5">
        <v>1</v>
      </c>
      <c r="T1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табеле]])*S109,0)</f>
        <v>0</v>
      </c>
      <c r="U109" s="5">
        <f>IF(Таблица1[[#This Row],[ТТН]]&gt;0,Таблица1[[#This Row],[Ставка за ТТН]]*Таблица1[[#This Row],[ТТН]],0)</f>
        <v>0</v>
      </c>
    </row>
    <row r="110" spans="1:21" x14ac:dyDescent="0.25">
      <c r="A110" t="s">
        <v>84</v>
      </c>
      <c r="B110" s="24">
        <v>22</v>
      </c>
      <c r="C110" t="s">
        <v>103</v>
      </c>
      <c r="D110" t="s">
        <v>12</v>
      </c>
      <c r="E110" t="s">
        <v>214</v>
      </c>
      <c r="F110" t="s">
        <v>13</v>
      </c>
      <c r="H110" t="s">
        <v>29</v>
      </c>
      <c r="I110" t="s">
        <v>217</v>
      </c>
      <c r="J110">
        <v>8</v>
      </c>
      <c r="N110">
        <f>Таблица1[[#This Row],[Часов на заказчика  в работе]]+Таблица1[[#This Row],[Часов на заказчика  дежурство]]</f>
        <v>0</v>
      </c>
      <c r="O1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" s="9">
        <v>100000</v>
      </c>
      <c r="R110" s="9"/>
      <c r="S110" s="5">
        <v>1</v>
      </c>
      <c r="T1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табеле]])*S110,0)</f>
        <v>0</v>
      </c>
      <c r="U110" s="5">
        <f>IF(Таблица1[[#This Row],[ТТН]]&gt;0,Таблица1[[#This Row],[Ставка за ТТН]]*Таблица1[[#This Row],[ТТН]],0)</f>
        <v>0</v>
      </c>
    </row>
    <row r="111" spans="1:21" x14ac:dyDescent="0.25">
      <c r="A111" t="s">
        <v>84</v>
      </c>
      <c r="B111" s="24">
        <v>23</v>
      </c>
      <c r="C111" t="s">
        <v>103</v>
      </c>
      <c r="D111" t="s">
        <v>12</v>
      </c>
      <c r="E111" t="s">
        <v>214</v>
      </c>
      <c r="F111" t="s">
        <v>13</v>
      </c>
      <c r="H111" t="s">
        <v>29</v>
      </c>
      <c r="I111" t="s">
        <v>217</v>
      </c>
      <c r="J111">
        <v>8</v>
      </c>
      <c r="N111">
        <f>Таблица1[[#This Row],[Часов на заказчика  в работе]]+Таблица1[[#This Row],[Часов на заказчика  дежурство]]</f>
        <v>0</v>
      </c>
      <c r="O1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" s="9">
        <v>100000</v>
      </c>
      <c r="R111" s="9"/>
      <c r="S111" s="5">
        <v>1</v>
      </c>
      <c r="T1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табеле]])*S111,0)</f>
        <v>0</v>
      </c>
      <c r="U111" s="5">
        <f>IF(Таблица1[[#This Row],[ТТН]]&gt;0,Таблица1[[#This Row],[Ставка за ТТН]]*Таблица1[[#This Row],[ТТН]],0)</f>
        <v>0</v>
      </c>
    </row>
    <row r="112" spans="1:21" x14ac:dyDescent="0.25">
      <c r="A112" t="s">
        <v>84</v>
      </c>
      <c r="B112" s="24">
        <v>24</v>
      </c>
      <c r="C112" t="s">
        <v>103</v>
      </c>
      <c r="D112" t="s">
        <v>12</v>
      </c>
      <c r="E112" t="s">
        <v>214</v>
      </c>
      <c r="F112" t="s">
        <v>13</v>
      </c>
      <c r="H112" t="s">
        <v>29</v>
      </c>
      <c r="I112" t="s">
        <v>217</v>
      </c>
      <c r="J112">
        <v>8</v>
      </c>
      <c r="N112">
        <f>Таблица1[[#This Row],[Часов на заказчика  в работе]]+Таблица1[[#This Row],[Часов на заказчика  дежурство]]</f>
        <v>0</v>
      </c>
      <c r="O1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" s="9">
        <v>100000</v>
      </c>
      <c r="R112" s="9"/>
      <c r="S112" s="5">
        <v>1</v>
      </c>
      <c r="T1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табеле]])*S112,0)</f>
        <v>0</v>
      </c>
      <c r="U112" s="5">
        <f>IF(Таблица1[[#This Row],[ТТН]]&gt;0,Таблица1[[#This Row],[Ставка за ТТН]]*Таблица1[[#This Row],[ТТН]],0)</f>
        <v>0</v>
      </c>
    </row>
    <row r="113" spans="1:21" x14ac:dyDescent="0.25">
      <c r="A113" t="s">
        <v>84</v>
      </c>
      <c r="B113" s="24">
        <v>25</v>
      </c>
      <c r="C113" t="s">
        <v>103</v>
      </c>
      <c r="D113" t="s">
        <v>12</v>
      </c>
      <c r="E113" t="s">
        <v>214</v>
      </c>
      <c r="F113" t="s">
        <v>13</v>
      </c>
      <c r="H113" t="s">
        <v>29</v>
      </c>
      <c r="I113" t="s">
        <v>217</v>
      </c>
      <c r="J113">
        <v>8</v>
      </c>
      <c r="N113">
        <f>Таблица1[[#This Row],[Часов на заказчика  в работе]]+Таблица1[[#This Row],[Часов на заказчика  дежурство]]</f>
        <v>0</v>
      </c>
      <c r="O1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" s="9">
        <v>100000</v>
      </c>
      <c r="R113" s="9"/>
      <c r="S113" s="5">
        <v>1</v>
      </c>
      <c r="T1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табеле]])*S113,0)</f>
        <v>0</v>
      </c>
      <c r="U113" s="5">
        <f>IF(Таблица1[[#This Row],[ТТН]]&gt;0,Таблица1[[#This Row],[Ставка за ТТН]]*Таблица1[[#This Row],[ТТН]],0)</f>
        <v>0</v>
      </c>
    </row>
    <row r="114" spans="1:21" x14ac:dyDescent="0.25">
      <c r="A114" t="s">
        <v>84</v>
      </c>
      <c r="B114" s="24">
        <v>26</v>
      </c>
      <c r="C114" t="s">
        <v>103</v>
      </c>
      <c r="D114" t="s">
        <v>12</v>
      </c>
      <c r="E114" t="s">
        <v>214</v>
      </c>
      <c r="F114" t="s">
        <v>13</v>
      </c>
      <c r="H114" t="s">
        <v>29</v>
      </c>
      <c r="I114" t="s">
        <v>217</v>
      </c>
      <c r="J114">
        <v>8</v>
      </c>
      <c r="N114">
        <f>Таблица1[[#This Row],[Часов на заказчика  в работе]]+Таблица1[[#This Row],[Часов на заказчика  дежурство]]</f>
        <v>0</v>
      </c>
      <c r="O1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" s="9">
        <v>100000</v>
      </c>
      <c r="R114" s="9"/>
      <c r="S114" s="5">
        <v>1</v>
      </c>
      <c r="T1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табеле]])*S114,0)</f>
        <v>0</v>
      </c>
      <c r="U114" s="5">
        <f>IF(Таблица1[[#This Row],[ТТН]]&gt;0,Таблица1[[#This Row],[Ставка за ТТН]]*Таблица1[[#This Row],[ТТН]],0)</f>
        <v>0</v>
      </c>
    </row>
    <row r="115" spans="1:21" x14ac:dyDescent="0.25">
      <c r="A115" t="s">
        <v>84</v>
      </c>
      <c r="B115" s="24">
        <v>27</v>
      </c>
      <c r="C115" t="s">
        <v>103</v>
      </c>
      <c r="D115" t="s">
        <v>12</v>
      </c>
      <c r="E115" t="s">
        <v>214</v>
      </c>
      <c r="F115" t="s">
        <v>13</v>
      </c>
      <c r="H115" t="s">
        <v>30</v>
      </c>
      <c r="I115" t="s">
        <v>217</v>
      </c>
      <c r="J115">
        <v>1</v>
      </c>
      <c r="N115">
        <f>Таблица1[[#This Row],[Часов на заказчика  в работе]]+Таблица1[[#This Row],[Часов на заказчика  дежурство]]</f>
        <v>0</v>
      </c>
      <c r="O1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" s="9">
        <v>100000</v>
      </c>
      <c r="R115" s="9"/>
      <c r="S115" s="5">
        <v>1</v>
      </c>
      <c r="T1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табеле]])*S115,0)</f>
        <v>0</v>
      </c>
      <c r="U115" s="5">
        <f>IF(Таблица1[[#This Row],[ТТН]]&gt;0,Таблица1[[#This Row],[Ставка за ТТН]]*Таблица1[[#This Row],[ТТН]],0)</f>
        <v>0</v>
      </c>
    </row>
    <row r="116" spans="1:21" x14ac:dyDescent="0.25">
      <c r="A116" t="s">
        <v>84</v>
      </c>
      <c r="B116" s="24">
        <v>28</v>
      </c>
      <c r="C116" t="s">
        <v>103</v>
      </c>
      <c r="D116" t="s">
        <v>12</v>
      </c>
      <c r="E116" t="s">
        <v>214</v>
      </c>
      <c r="F116" t="s">
        <v>13</v>
      </c>
      <c r="H116" t="s">
        <v>30</v>
      </c>
      <c r="I116" t="s">
        <v>217</v>
      </c>
      <c r="J116">
        <v>1</v>
      </c>
      <c r="N116">
        <f>Таблица1[[#This Row],[Часов на заказчика  в работе]]+Таблица1[[#This Row],[Часов на заказчика  дежурство]]</f>
        <v>0</v>
      </c>
      <c r="O1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" s="9">
        <v>100000</v>
      </c>
      <c r="R116" s="9"/>
      <c r="S116" s="5">
        <v>1</v>
      </c>
      <c r="T1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табеле]])*S116,0)</f>
        <v>0</v>
      </c>
      <c r="U116" s="5">
        <f>IF(Таблица1[[#This Row],[ТТН]]&gt;0,Таблица1[[#This Row],[Ставка за ТТН]]*Таблица1[[#This Row],[ТТН]],0)</f>
        <v>0</v>
      </c>
    </row>
    <row r="117" spans="1:21" x14ac:dyDescent="0.25">
      <c r="A117" t="s">
        <v>84</v>
      </c>
      <c r="B117" s="24">
        <v>29</v>
      </c>
      <c r="C117" t="s">
        <v>103</v>
      </c>
      <c r="D117" t="s">
        <v>12</v>
      </c>
      <c r="E117" t="s">
        <v>214</v>
      </c>
      <c r="F117" t="s">
        <v>13</v>
      </c>
      <c r="H117" t="s">
        <v>29</v>
      </c>
      <c r="I117" t="s">
        <v>217</v>
      </c>
      <c r="J117">
        <v>8</v>
      </c>
      <c r="N117">
        <f>Таблица1[[#This Row],[Часов на заказчика  в работе]]+Таблица1[[#This Row],[Часов на заказчика  дежурство]]</f>
        <v>0</v>
      </c>
      <c r="O1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" s="9">
        <v>100000</v>
      </c>
      <c r="R117" s="9"/>
      <c r="S117" s="5">
        <v>1</v>
      </c>
      <c r="T1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табеле]])*S117,0)</f>
        <v>0</v>
      </c>
      <c r="U117" s="5">
        <f>IF(Таблица1[[#This Row],[ТТН]]&gt;0,Таблица1[[#This Row],[Ставка за ТТН]]*Таблица1[[#This Row],[ТТН]],0)</f>
        <v>0</v>
      </c>
    </row>
    <row r="118" spans="1:21" x14ac:dyDescent="0.25">
      <c r="A118" t="s">
        <v>84</v>
      </c>
      <c r="B118" s="24">
        <v>30</v>
      </c>
      <c r="C118" t="s">
        <v>104</v>
      </c>
      <c r="D118" t="s">
        <v>12</v>
      </c>
      <c r="E118" t="s">
        <v>214</v>
      </c>
      <c r="F118" t="s">
        <v>13</v>
      </c>
      <c r="H118" t="s">
        <v>24</v>
      </c>
      <c r="I118" t="s">
        <v>217</v>
      </c>
      <c r="J118">
        <v>8</v>
      </c>
      <c r="N118">
        <f>Таблица1[[#This Row],[Часов на заказчика  в работе]]+Таблица1[[#This Row],[Часов на заказчика  дежурство]]</f>
        <v>0</v>
      </c>
      <c r="O1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" s="9">
        <v>100000</v>
      </c>
      <c r="R118" s="9"/>
      <c r="S118" s="5">
        <v>1</v>
      </c>
      <c r="T1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табеле]])*S118,0)</f>
        <v>0</v>
      </c>
      <c r="U118" s="5">
        <f>IF(Таблица1[[#This Row],[ТТН]]&gt;0,Таблица1[[#This Row],[Ставка за ТТН]]*Таблица1[[#This Row],[ТТН]],0)</f>
        <v>0</v>
      </c>
    </row>
    <row r="119" spans="1:21" x14ac:dyDescent="0.25">
      <c r="A119" t="s">
        <v>84</v>
      </c>
      <c r="B119" s="24">
        <v>1</v>
      </c>
      <c r="C119" t="s">
        <v>104</v>
      </c>
      <c r="D119" t="s">
        <v>12</v>
      </c>
      <c r="E119" t="s">
        <v>214</v>
      </c>
      <c r="F119" t="s">
        <v>13</v>
      </c>
      <c r="H119" t="s">
        <v>10</v>
      </c>
      <c r="I119" t="s">
        <v>220</v>
      </c>
      <c r="J119">
        <v>22</v>
      </c>
      <c r="L119">
        <v>22</v>
      </c>
      <c r="N119">
        <f>Таблица1[[#This Row],[Часов на заказчика  в работе]]+Таблица1[[#This Row],[Часов на заказчика  дежурство]]</f>
        <v>22</v>
      </c>
      <c r="O1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" s="9">
        <v>100000</v>
      </c>
      <c r="R119" s="9"/>
      <c r="S119" s="5">
        <v>1</v>
      </c>
      <c r="T1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табеле]])*S119,0)</f>
        <v>6666.6666666666661</v>
      </c>
      <c r="U119" s="5">
        <f>IF(Таблица1[[#This Row],[ТТН]]&gt;0,Таблица1[[#This Row],[Ставка за ТТН]]*Таблица1[[#This Row],[ТТН]],0)</f>
        <v>0</v>
      </c>
    </row>
    <row r="120" spans="1:21" x14ac:dyDescent="0.25">
      <c r="A120" t="s">
        <v>84</v>
      </c>
      <c r="B120" s="24">
        <v>2</v>
      </c>
      <c r="C120" t="s">
        <v>104</v>
      </c>
      <c r="D120" t="s">
        <v>12</v>
      </c>
      <c r="E120" t="s">
        <v>214</v>
      </c>
      <c r="F120" t="s">
        <v>13</v>
      </c>
      <c r="H120" t="s">
        <v>10</v>
      </c>
      <c r="I120" t="s">
        <v>220</v>
      </c>
      <c r="J120">
        <v>11</v>
      </c>
      <c r="L120">
        <v>11</v>
      </c>
      <c r="N120">
        <f>Таблица1[[#This Row],[Часов на заказчика  в работе]]+Таблица1[[#This Row],[Часов на заказчика  дежурство]]</f>
        <v>11</v>
      </c>
      <c r="O1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" s="9">
        <v>100000</v>
      </c>
      <c r="R120" s="9"/>
      <c r="S120" s="5">
        <v>1</v>
      </c>
      <c r="T1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табеле]])*S120,0)</f>
        <v>3333.333333333333</v>
      </c>
      <c r="U120" s="5">
        <f>IF(Таблица1[[#This Row],[ТТН]]&gt;0,Таблица1[[#This Row],[Ставка за ТТН]]*Таблица1[[#This Row],[ТТН]],0)</f>
        <v>0</v>
      </c>
    </row>
    <row r="121" spans="1:21" x14ac:dyDescent="0.25">
      <c r="A121" t="s">
        <v>84</v>
      </c>
      <c r="B121" s="24">
        <v>3</v>
      </c>
      <c r="C121" t="s">
        <v>104</v>
      </c>
      <c r="D121" t="s">
        <v>12</v>
      </c>
      <c r="E121" t="s">
        <v>214</v>
      </c>
      <c r="F121" t="s">
        <v>13</v>
      </c>
      <c r="H121" t="s">
        <v>10</v>
      </c>
      <c r="I121" t="s">
        <v>220</v>
      </c>
      <c r="J121">
        <v>11</v>
      </c>
      <c r="L121">
        <v>11</v>
      </c>
      <c r="N121">
        <f>Таблица1[[#This Row],[Часов на заказчика  в работе]]+Таблица1[[#This Row],[Часов на заказчика  дежурство]]</f>
        <v>11</v>
      </c>
      <c r="O1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" s="9">
        <v>100000</v>
      </c>
      <c r="R121" s="9"/>
      <c r="S121" s="5">
        <v>1</v>
      </c>
      <c r="T1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табеле]])*S121,0)</f>
        <v>3333.333333333333</v>
      </c>
      <c r="U121" s="5">
        <f>IF(Таблица1[[#This Row],[ТТН]]&gt;0,Таблица1[[#This Row],[Ставка за ТТН]]*Таблица1[[#This Row],[ТТН]],0)</f>
        <v>0</v>
      </c>
    </row>
    <row r="122" spans="1:21" x14ac:dyDescent="0.25">
      <c r="A122" t="s">
        <v>84</v>
      </c>
      <c r="B122" s="24">
        <v>4</v>
      </c>
      <c r="C122" t="s">
        <v>104</v>
      </c>
      <c r="D122" t="s">
        <v>12</v>
      </c>
      <c r="E122" t="s">
        <v>214</v>
      </c>
      <c r="F122" t="s">
        <v>13</v>
      </c>
      <c r="H122" t="s">
        <v>10</v>
      </c>
      <c r="I122" t="s">
        <v>220</v>
      </c>
      <c r="J122">
        <v>16</v>
      </c>
      <c r="L122">
        <v>16</v>
      </c>
      <c r="N122">
        <f>Таблица1[[#This Row],[Часов на заказчика  в работе]]+Таблица1[[#This Row],[Часов на заказчика  дежурство]]</f>
        <v>16</v>
      </c>
      <c r="O1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" s="9">
        <v>100000</v>
      </c>
      <c r="R122" s="9"/>
      <c r="S122" s="5">
        <v>1</v>
      </c>
      <c r="T1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табеле]])*S122,0)</f>
        <v>4848.484848484848</v>
      </c>
      <c r="U122" s="5">
        <f>IF(Таблица1[[#This Row],[ТТН]]&gt;0,Таблица1[[#This Row],[Ставка за ТТН]]*Таблица1[[#This Row],[ТТН]],0)</f>
        <v>0</v>
      </c>
    </row>
    <row r="123" spans="1:21" x14ac:dyDescent="0.25">
      <c r="A123" t="s">
        <v>84</v>
      </c>
      <c r="B123" s="24">
        <v>4</v>
      </c>
      <c r="C123" t="s">
        <v>104</v>
      </c>
      <c r="D123" t="s">
        <v>12</v>
      </c>
      <c r="E123" t="s">
        <v>214</v>
      </c>
      <c r="F123" t="s">
        <v>13</v>
      </c>
      <c r="H123" t="s">
        <v>70</v>
      </c>
      <c r="I123" t="s">
        <v>220</v>
      </c>
      <c r="J123">
        <v>6</v>
      </c>
      <c r="L123">
        <v>6</v>
      </c>
      <c r="N123">
        <f>Таблица1[[#This Row],[Часов на заказчика  в работе]]+Таблица1[[#This Row],[Часов на заказчика  дежурство]]</f>
        <v>6</v>
      </c>
      <c r="O1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" s="9">
        <v>100000</v>
      </c>
      <c r="R123" s="9"/>
      <c r="S123" s="5">
        <v>1</v>
      </c>
      <c r="T1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табеле]])*S123,0)</f>
        <v>1818.181818181818</v>
      </c>
      <c r="U123" s="5">
        <f>IF(Таблица1[[#This Row],[ТТН]]&gt;0,Таблица1[[#This Row],[Ставка за ТТН]]*Таблица1[[#This Row],[ТТН]],0)</f>
        <v>0</v>
      </c>
    </row>
    <row r="124" spans="1:21" x14ac:dyDescent="0.25">
      <c r="A124" t="s">
        <v>84</v>
      </c>
      <c r="B124" s="24">
        <v>5</v>
      </c>
      <c r="C124" t="s">
        <v>104</v>
      </c>
      <c r="D124" t="s">
        <v>12</v>
      </c>
      <c r="E124" t="s">
        <v>214</v>
      </c>
      <c r="F124" t="s">
        <v>13</v>
      </c>
      <c r="H124" t="s">
        <v>10</v>
      </c>
      <c r="I124" t="s">
        <v>220</v>
      </c>
      <c r="J124">
        <v>11</v>
      </c>
      <c r="L124">
        <v>11</v>
      </c>
      <c r="N124">
        <f>Таблица1[[#This Row],[Часов на заказчика  в работе]]+Таблица1[[#This Row],[Часов на заказчика  дежурство]]</f>
        <v>11</v>
      </c>
      <c r="O1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" s="9">
        <v>100000</v>
      </c>
      <c r="R124" s="9"/>
      <c r="S124" s="5">
        <v>1</v>
      </c>
      <c r="T1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табеле]])*S124,0)</f>
        <v>3333.333333333333</v>
      </c>
      <c r="U124" s="5">
        <f>IF(Таблица1[[#This Row],[ТТН]]&gt;0,Таблица1[[#This Row],[Ставка за ТТН]]*Таблица1[[#This Row],[ТТН]],0)</f>
        <v>0</v>
      </c>
    </row>
    <row r="125" spans="1:21" x14ac:dyDescent="0.25">
      <c r="A125" t="s">
        <v>84</v>
      </c>
      <c r="B125" s="24">
        <v>5</v>
      </c>
      <c r="C125" t="s">
        <v>104</v>
      </c>
      <c r="D125" t="s">
        <v>12</v>
      </c>
      <c r="E125" t="s">
        <v>214</v>
      </c>
      <c r="F125" t="s">
        <v>13</v>
      </c>
      <c r="H125" t="s">
        <v>70</v>
      </c>
      <c r="I125" t="s">
        <v>220</v>
      </c>
      <c r="J125">
        <v>11</v>
      </c>
      <c r="L125">
        <v>11</v>
      </c>
      <c r="N125">
        <f>Таблица1[[#This Row],[Часов на заказчика  в работе]]+Таблица1[[#This Row],[Часов на заказчика  дежурство]]</f>
        <v>11</v>
      </c>
      <c r="O1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" s="9">
        <v>100000</v>
      </c>
      <c r="R125" s="9"/>
      <c r="S125" s="5">
        <v>1</v>
      </c>
      <c r="T1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табеле]])*S125,0)</f>
        <v>3333.333333333333</v>
      </c>
      <c r="U125" s="5">
        <f>IF(Таблица1[[#This Row],[ТТН]]&gt;0,Таблица1[[#This Row],[Ставка за ТТН]]*Таблица1[[#This Row],[ТТН]],0)</f>
        <v>0</v>
      </c>
    </row>
    <row r="126" spans="1:21" x14ac:dyDescent="0.25">
      <c r="A126" t="s">
        <v>84</v>
      </c>
      <c r="B126" s="24">
        <v>6</v>
      </c>
      <c r="C126" t="s">
        <v>104</v>
      </c>
      <c r="D126" t="s">
        <v>12</v>
      </c>
      <c r="E126" t="s">
        <v>214</v>
      </c>
      <c r="F126" t="s">
        <v>13</v>
      </c>
      <c r="H126" t="s">
        <v>10</v>
      </c>
      <c r="I126" t="s">
        <v>220</v>
      </c>
      <c r="J126">
        <v>11</v>
      </c>
      <c r="L126">
        <v>11</v>
      </c>
      <c r="N126">
        <f>Таблица1[[#This Row],[Часов на заказчика  в работе]]+Таблица1[[#This Row],[Часов на заказчика  дежурство]]</f>
        <v>11</v>
      </c>
      <c r="O1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" s="9">
        <v>100000</v>
      </c>
      <c r="R126" s="9"/>
      <c r="S126" s="5">
        <v>1</v>
      </c>
      <c r="T1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табеле]])*S126,0)</f>
        <v>3333.333333333333</v>
      </c>
      <c r="U126" s="5">
        <f>IF(Таблица1[[#This Row],[ТТН]]&gt;0,Таблица1[[#This Row],[Ставка за ТТН]]*Таблица1[[#This Row],[ТТН]],0)</f>
        <v>0</v>
      </c>
    </row>
    <row r="127" spans="1:21" x14ac:dyDescent="0.25">
      <c r="A127" t="s">
        <v>84</v>
      </c>
      <c r="B127" s="24">
        <v>6</v>
      </c>
      <c r="C127" t="s">
        <v>104</v>
      </c>
      <c r="D127" t="s">
        <v>12</v>
      </c>
      <c r="E127" t="s">
        <v>214</v>
      </c>
      <c r="F127" t="s">
        <v>13</v>
      </c>
      <c r="H127" t="s">
        <v>70</v>
      </c>
      <c r="I127" t="s">
        <v>220</v>
      </c>
      <c r="J127">
        <v>11</v>
      </c>
      <c r="L127">
        <v>11</v>
      </c>
      <c r="N127">
        <f>Таблица1[[#This Row],[Часов на заказчика  в работе]]+Таблица1[[#This Row],[Часов на заказчика  дежурство]]</f>
        <v>11</v>
      </c>
      <c r="O1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" s="9">
        <v>100000</v>
      </c>
      <c r="R127" s="9"/>
      <c r="S127" s="5">
        <v>1</v>
      </c>
      <c r="T1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табеле]])*S127,0)</f>
        <v>3333.333333333333</v>
      </c>
      <c r="U127" s="5">
        <f>IF(Таблица1[[#This Row],[ТТН]]&gt;0,Таблица1[[#This Row],[Ставка за ТТН]]*Таблица1[[#This Row],[ТТН]],0)</f>
        <v>0</v>
      </c>
    </row>
    <row r="128" spans="1:21" x14ac:dyDescent="0.25">
      <c r="A128" t="s">
        <v>84</v>
      </c>
      <c r="B128" s="24">
        <v>7</v>
      </c>
      <c r="C128" t="s">
        <v>104</v>
      </c>
      <c r="D128" t="s">
        <v>12</v>
      </c>
      <c r="E128" t="s">
        <v>214</v>
      </c>
      <c r="F128" t="s">
        <v>13</v>
      </c>
      <c r="H128" t="s">
        <v>10</v>
      </c>
      <c r="I128" t="s">
        <v>220</v>
      </c>
      <c r="J128">
        <v>11</v>
      </c>
      <c r="L128">
        <v>11</v>
      </c>
      <c r="N128">
        <f>Таблица1[[#This Row],[Часов на заказчика  в работе]]+Таблица1[[#This Row],[Часов на заказчика  дежурство]]</f>
        <v>11</v>
      </c>
      <c r="O1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" s="9">
        <v>100000</v>
      </c>
      <c r="R128" s="9"/>
      <c r="S128" s="5">
        <v>1</v>
      </c>
      <c r="T1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табеле]])*S128,0)</f>
        <v>3333.333333333333</v>
      </c>
      <c r="U128" s="5">
        <f>IF(Таблица1[[#This Row],[ТТН]]&gt;0,Таблица1[[#This Row],[Ставка за ТТН]]*Таблица1[[#This Row],[ТТН]],0)</f>
        <v>0</v>
      </c>
    </row>
    <row r="129" spans="1:21" x14ac:dyDescent="0.25">
      <c r="A129" t="s">
        <v>84</v>
      </c>
      <c r="B129" s="24">
        <v>7</v>
      </c>
      <c r="C129" t="s">
        <v>104</v>
      </c>
      <c r="D129" t="s">
        <v>12</v>
      </c>
      <c r="E129" t="s">
        <v>214</v>
      </c>
      <c r="F129" t="s">
        <v>13</v>
      </c>
      <c r="H129" t="s">
        <v>70</v>
      </c>
      <c r="I129" t="s">
        <v>220</v>
      </c>
      <c r="J129">
        <v>11</v>
      </c>
      <c r="L129">
        <v>11</v>
      </c>
      <c r="N129">
        <f>Таблица1[[#This Row],[Часов на заказчика  в работе]]+Таблица1[[#This Row],[Часов на заказчика  дежурство]]</f>
        <v>11</v>
      </c>
      <c r="O1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" s="9">
        <v>100000</v>
      </c>
      <c r="R129" s="9"/>
      <c r="S129" s="5">
        <v>1</v>
      </c>
      <c r="T1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табеле]])*S129,0)</f>
        <v>3333.333333333333</v>
      </c>
      <c r="U129" s="5">
        <f>IF(Таблица1[[#This Row],[ТТН]]&gt;0,Таблица1[[#This Row],[Ставка за ТТН]]*Таблица1[[#This Row],[ТТН]],0)</f>
        <v>0</v>
      </c>
    </row>
    <row r="130" spans="1:21" x14ac:dyDescent="0.25">
      <c r="A130" t="s">
        <v>84</v>
      </c>
      <c r="B130" s="24">
        <v>8</v>
      </c>
      <c r="C130" t="s">
        <v>104</v>
      </c>
      <c r="D130" t="s">
        <v>12</v>
      </c>
      <c r="E130" t="s">
        <v>214</v>
      </c>
      <c r="F130" t="s">
        <v>13</v>
      </c>
      <c r="H130" t="s">
        <v>10</v>
      </c>
      <c r="I130" t="s">
        <v>220</v>
      </c>
      <c r="J130">
        <v>11</v>
      </c>
      <c r="L130">
        <v>11</v>
      </c>
      <c r="N130">
        <f>Таблица1[[#This Row],[Часов на заказчика  в работе]]+Таблица1[[#This Row],[Часов на заказчика  дежурство]]</f>
        <v>11</v>
      </c>
      <c r="O1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" s="9">
        <v>100000</v>
      </c>
      <c r="R130" s="9"/>
      <c r="S130" s="5">
        <v>1</v>
      </c>
      <c r="T1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табеле]])*S130,0)</f>
        <v>3333.333333333333</v>
      </c>
      <c r="U130" s="5">
        <f>IF(Таблица1[[#This Row],[ТТН]]&gt;0,Таблица1[[#This Row],[Ставка за ТТН]]*Таблица1[[#This Row],[ТТН]],0)</f>
        <v>0</v>
      </c>
    </row>
    <row r="131" spans="1:21" x14ac:dyDescent="0.25">
      <c r="A131" t="s">
        <v>84</v>
      </c>
      <c r="B131" s="24">
        <v>8</v>
      </c>
      <c r="C131" t="s">
        <v>104</v>
      </c>
      <c r="D131" t="s">
        <v>12</v>
      </c>
      <c r="E131" t="s">
        <v>214</v>
      </c>
      <c r="F131" t="s">
        <v>13</v>
      </c>
      <c r="H131" t="s">
        <v>70</v>
      </c>
      <c r="I131" t="s">
        <v>220</v>
      </c>
      <c r="J131">
        <v>11</v>
      </c>
      <c r="L131">
        <v>11</v>
      </c>
      <c r="N131">
        <f>Таблица1[[#This Row],[Часов на заказчика  в работе]]+Таблица1[[#This Row],[Часов на заказчика  дежурство]]</f>
        <v>11</v>
      </c>
      <c r="O1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" s="9">
        <v>100000</v>
      </c>
      <c r="R131" s="9"/>
      <c r="S131" s="5">
        <v>1</v>
      </c>
      <c r="T1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табеле]])*S131,0)</f>
        <v>3333.333333333333</v>
      </c>
      <c r="U131" s="5">
        <f>IF(Таблица1[[#This Row],[ТТН]]&gt;0,Таблица1[[#This Row],[Ставка за ТТН]]*Таблица1[[#This Row],[ТТН]],0)</f>
        <v>0</v>
      </c>
    </row>
    <row r="132" spans="1:21" x14ac:dyDescent="0.25">
      <c r="A132" t="s">
        <v>84</v>
      </c>
      <c r="B132" s="24">
        <v>9</v>
      </c>
      <c r="C132" t="s">
        <v>104</v>
      </c>
      <c r="D132" t="s">
        <v>12</v>
      </c>
      <c r="E132" t="s">
        <v>214</v>
      </c>
      <c r="F132" t="s">
        <v>13</v>
      </c>
      <c r="H132" t="s">
        <v>10</v>
      </c>
      <c r="I132" t="s">
        <v>220</v>
      </c>
      <c r="J132">
        <v>11</v>
      </c>
      <c r="L132">
        <v>11</v>
      </c>
      <c r="N132">
        <f>Таблица1[[#This Row],[Часов на заказчика  в работе]]+Таблица1[[#This Row],[Часов на заказчика  дежурство]]</f>
        <v>11</v>
      </c>
      <c r="O1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" s="9">
        <v>100000</v>
      </c>
      <c r="R132" s="9"/>
      <c r="S132" s="5">
        <v>1</v>
      </c>
      <c r="T1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табеле]])*S132,0)</f>
        <v>3333.333333333333</v>
      </c>
      <c r="U132" s="5">
        <f>IF(Таблица1[[#This Row],[ТТН]]&gt;0,Таблица1[[#This Row],[Ставка за ТТН]]*Таблица1[[#This Row],[ТТН]],0)</f>
        <v>0</v>
      </c>
    </row>
    <row r="133" spans="1:21" x14ac:dyDescent="0.25">
      <c r="A133" t="s">
        <v>84</v>
      </c>
      <c r="B133" s="24">
        <v>9</v>
      </c>
      <c r="C133" t="s">
        <v>104</v>
      </c>
      <c r="D133" t="s">
        <v>12</v>
      </c>
      <c r="E133" t="s">
        <v>214</v>
      </c>
      <c r="F133" t="s">
        <v>13</v>
      </c>
      <c r="H133" t="s">
        <v>70</v>
      </c>
      <c r="I133" t="s">
        <v>220</v>
      </c>
      <c r="J133">
        <v>11</v>
      </c>
      <c r="L133">
        <v>11</v>
      </c>
      <c r="N133">
        <f>Таблица1[[#This Row],[Часов на заказчика  в работе]]+Таблица1[[#This Row],[Часов на заказчика  дежурство]]</f>
        <v>11</v>
      </c>
      <c r="O1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" s="9">
        <v>100000</v>
      </c>
      <c r="R133" s="9"/>
      <c r="S133" s="5">
        <v>1</v>
      </c>
      <c r="T1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табеле]])*S133,0)</f>
        <v>3333.333333333333</v>
      </c>
      <c r="U133" s="5">
        <f>IF(Таблица1[[#This Row],[ТТН]]&gt;0,Таблица1[[#This Row],[Ставка за ТТН]]*Таблица1[[#This Row],[ТТН]],0)</f>
        <v>0</v>
      </c>
    </row>
    <row r="134" spans="1:21" x14ac:dyDescent="0.25">
      <c r="A134" t="s">
        <v>84</v>
      </c>
      <c r="B134" s="24">
        <v>10</v>
      </c>
      <c r="C134" t="s">
        <v>104</v>
      </c>
      <c r="D134" t="s">
        <v>12</v>
      </c>
      <c r="E134" t="s">
        <v>214</v>
      </c>
      <c r="F134" t="s">
        <v>13</v>
      </c>
      <c r="H134" t="s">
        <v>10</v>
      </c>
      <c r="I134" t="s">
        <v>220</v>
      </c>
      <c r="J134">
        <v>11</v>
      </c>
      <c r="L134">
        <v>11</v>
      </c>
      <c r="N134">
        <f>Таблица1[[#This Row],[Часов на заказчика  в работе]]+Таблица1[[#This Row],[Часов на заказчика  дежурство]]</f>
        <v>11</v>
      </c>
      <c r="O1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" s="9">
        <v>100000</v>
      </c>
      <c r="R134" s="9"/>
      <c r="S134" s="5">
        <v>1</v>
      </c>
      <c r="T1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табеле]])*S134,0)</f>
        <v>3333.333333333333</v>
      </c>
      <c r="U134" s="5">
        <f>IF(Таблица1[[#This Row],[ТТН]]&gt;0,Таблица1[[#This Row],[Ставка за ТТН]]*Таблица1[[#This Row],[ТТН]],0)</f>
        <v>0</v>
      </c>
    </row>
    <row r="135" spans="1:21" x14ac:dyDescent="0.25">
      <c r="A135" t="s">
        <v>84</v>
      </c>
      <c r="B135" s="24">
        <v>10</v>
      </c>
      <c r="C135" t="s">
        <v>104</v>
      </c>
      <c r="D135" t="s">
        <v>12</v>
      </c>
      <c r="E135" t="s">
        <v>214</v>
      </c>
      <c r="F135" t="s">
        <v>13</v>
      </c>
      <c r="H135" t="s">
        <v>70</v>
      </c>
      <c r="I135" t="s">
        <v>220</v>
      </c>
      <c r="J135">
        <v>11</v>
      </c>
      <c r="L135">
        <v>11</v>
      </c>
      <c r="N135">
        <f>Таблица1[[#This Row],[Часов на заказчика  в работе]]+Таблица1[[#This Row],[Часов на заказчика  дежурство]]</f>
        <v>11</v>
      </c>
      <c r="O1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" s="9">
        <v>100000</v>
      </c>
      <c r="R135" s="9"/>
      <c r="S135" s="5">
        <v>1</v>
      </c>
      <c r="T1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табеле]])*S135,0)</f>
        <v>3333.333333333333</v>
      </c>
      <c r="U135" s="5">
        <f>IF(Таблица1[[#This Row],[ТТН]]&gt;0,Таблица1[[#This Row],[Ставка за ТТН]]*Таблица1[[#This Row],[ТТН]],0)</f>
        <v>0</v>
      </c>
    </row>
    <row r="136" spans="1:21" x14ac:dyDescent="0.25">
      <c r="A136" t="s">
        <v>84</v>
      </c>
      <c r="B136" s="24">
        <v>11</v>
      </c>
      <c r="C136" t="s">
        <v>104</v>
      </c>
      <c r="D136" t="s">
        <v>12</v>
      </c>
      <c r="E136" t="s">
        <v>214</v>
      </c>
      <c r="F136" t="s">
        <v>13</v>
      </c>
      <c r="H136" t="s">
        <v>10</v>
      </c>
      <c r="I136" t="s">
        <v>220</v>
      </c>
      <c r="J136">
        <v>11</v>
      </c>
      <c r="L136">
        <v>11</v>
      </c>
      <c r="N136">
        <f>Таблица1[[#This Row],[Часов на заказчика  в работе]]+Таблица1[[#This Row],[Часов на заказчика  дежурство]]</f>
        <v>11</v>
      </c>
      <c r="O1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" s="9">
        <v>100000</v>
      </c>
      <c r="R136" s="9"/>
      <c r="S136" s="5">
        <v>1</v>
      </c>
      <c r="T1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табеле]])*S136,0)</f>
        <v>3333.333333333333</v>
      </c>
      <c r="U136" s="5">
        <f>IF(Таблица1[[#This Row],[ТТН]]&gt;0,Таблица1[[#This Row],[Ставка за ТТН]]*Таблица1[[#This Row],[ТТН]],0)</f>
        <v>0</v>
      </c>
    </row>
    <row r="137" spans="1:21" x14ac:dyDescent="0.25">
      <c r="A137" t="s">
        <v>84</v>
      </c>
      <c r="B137" s="24">
        <v>11</v>
      </c>
      <c r="C137" t="s">
        <v>104</v>
      </c>
      <c r="D137" t="s">
        <v>12</v>
      </c>
      <c r="E137" t="s">
        <v>214</v>
      </c>
      <c r="F137" t="s">
        <v>13</v>
      </c>
      <c r="H137" t="s">
        <v>70</v>
      </c>
      <c r="I137" t="s">
        <v>220</v>
      </c>
      <c r="J137">
        <v>11</v>
      </c>
      <c r="L137">
        <v>11</v>
      </c>
      <c r="N137">
        <f>Таблица1[[#This Row],[Часов на заказчика  в работе]]+Таблица1[[#This Row],[Часов на заказчика  дежурство]]</f>
        <v>11</v>
      </c>
      <c r="O1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" s="9">
        <v>100000</v>
      </c>
      <c r="R137" s="9"/>
      <c r="S137" s="5">
        <v>1</v>
      </c>
      <c r="T1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табеле]])*S137,0)</f>
        <v>3333.333333333333</v>
      </c>
      <c r="U137" s="5">
        <f>IF(Таблица1[[#This Row],[ТТН]]&gt;0,Таблица1[[#This Row],[Ставка за ТТН]]*Таблица1[[#This Row],[ТТН]],0)</f>
        <v>0</v>
      </c>
    </row>
    <row r="138" spans="1:21" x14ac:dyDescent="0.25">
      <c r="A138" t="s">
        <v>84</v>
      </c>
      <c r="B138" s="24">
        <v>12</v>
      </c>
      <c r="C138" t="s">
        <v>104</v>
      </c>
      <c r="D138" t="s">
        <v>12</v>
      </c>
      <c r="E138" t="s">
        <v>214</v>
      </c>
      <c r="F138" t="s">
        <v>13</v>
      </c>
      <c r="H138" t="s">
        <v>10</v>
      </c>
      <c r="I138" t="s">
        <v>220</v>
      </c>
      <c r="J138">
        <v>11</v>
      </c>
      <c r="L138">
        <v>11</v>
      </c>
      <c r="N138">
        <f>Таблица1[[#This Row],[Часов на заказчика  в работе]]+Таблица1[[#This Row],[Часов на заказчика  дежурство]]</f>
        <v>11</v>
      </c>
      <c r="O1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" s="9">
        <v>100000</v>
      </c>
      <c r="R138" s="9"/>
      <c r="S138" s="5">
        <v>1</v>
      </c>
      <c r="T1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табеле]])*S138,0)</f>
        <v>3333.333333333333</v>
      </c>
      <c r="U138" s="5">
        <f>IF(Таблица1[[#This Row],[ТТН]]&gt;0,Таблица1[[#This Row],[Ставка за ТТН]]*Таблица1[[#This Row],[ТТН]],0)</f>
        <v>0</v>
      </c>
    </row>
    <row r="139" spans="1:21" x14ac:dyDescent="0.25">
      <c r="A139" t="s">
        <v>84</v>
      </c>
      <c r="B139" s="24">
        <v>12</v>
      </c>
      <c r="C139" t="s">
        <v>104</v>
      </c>
      <c r="D139" t="s">
        <v>12</v>
      </c>
      <c r="E139" t="s">
        <v>214</v>
      </c>
      <c r="F139" t="s">
        <v>13</v>
      </c>
      <c r="H139" t="s">
        <v>70</v>
      </c>
      <c r="I139" t="s">
        <v>220</v>
      </c>
      <c r="J139">
        <v>11</v>
      </c>
      <c r="L139">
        <v>11</v>
      </c>
      <c r="N139">
        <f>Таблица1[[#This Row],[Часов на заказчика  в работе]]+Таблица1[[#This Row],[Часов на заказчика  дежурство]]</f>
        <v>11</v>
      </c>
      <c r="O1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" s="9">
        <v>100000</v>
      </c>
      <c r="R139" s="9"/>
      <c r="S139" s="5">
        <v>1</v>
      </c>
      <c r="T1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табеле]])*S139,0)</f>
        <v>3333.333333333333</v>
      </c>
      <c r="U139" s="5">
        <f>IF(Таблица1[[#This Row],[ТТН]]&gt;0,Таблица1[[#This Row],[Ставка за ТТН]]*Таблица1[[#This Row],[ТТН]],0)</f>
        <v>0</v>
      </c>
    </row>
    <row r="140" spans="1:21" x14ac:dyDescent="0.25">
      <c r="A140" t="s">
        <v>84</v>
      </c>
      <c r="B140" s="24">
        <v>13</v>
      </c>
      <c r="C140" t="s">
        <v>104</v>
      </c>
      <c r="D140" t="s">
        <v>12</v>
      </c>
      <c r="E140" t="s">
        <v>214</v>
      </c>
      <c r="F140" t="s">
        <v>13</v>
      </c>
      <c r="H140" t="s">
        <v>10</v>
      </c>
      <c r="I140" t="s">
        <v>220</v>
      </c>
      <c r="J140">
        <v>11</v>
      </c>
      <c r="L140">
        <v>11</v>
      </c>
      <c r="N140">
        <f>Таблица1[[#This Row],[Часов на заказчика  в работе]]+Таблица1[[#This Row],[Часов на заказчика  дежурство]]</f>
        <v>11</v>
      </c>
      <c r="O1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" s="9">
        <v>100000</v>
      </c>
      <c r="R140" s="9"/>
      <c r="S140" s="5">
        <v>1</v>
      </c>
      <c r="T1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табеле]])*S140,0)</f>
        <v>3333.333333333333</v>
      </c>
      <c r="U140" s="5">
        <f>IF(Таблица1[[#This Row],[ТТН]]&gt;0,Таблица1[[#This Row],[Ставка за ТТН]]*Таблица1[[#This Row],[ТТН]],0)</f>
        <v>0</v>
      </c>
    </row>
    <row r="141" spans="1:21" x14ac:dyDescent="0.25">
      <c r="A141" t="s">
        <v>84</v>
      </c>
      <c r="B141" s="24">
        <v>13</v>
      </c>
      <c r="C141" t="s">
        <v>104</v>
      </c>
      <c r="D141" t="s">
        <v>12</v>
      </c>
      <c r="E141" t="s">
        <v>214</v>
      </c>
      <c r="F141" t="s">
        <v>13</v>
      </c>
      <c r="H141" t="s">
        <v>70</v>
      </c>
      <c r="I141" t="s">
        <v>220</v>
      </c>
      <c r="J141">
        <v>11</v>
      </c>
      <c r="L141">
        <v>11</v>
      </c>
      <c r="N141">
        <f>Таблица1[[#This Row],[Часов на заказчика  в работе]]+Таблица1[[#This Row],[Часов на заказчика  дежурство]]</f>
        <v>11</v>
      </c>
      <c r="O1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" s="9">
        <v>100000</v>
      </c>
      <c r="R141" s="9"/>
      <c r="S141" s="5">
        <v>1</v>
      </c>
      <c r="T1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табеле]])*S141,0)</f>
        <v>3333.333333333333</v>
      </c>
      <c r="U141" s="5">
        <f>IF(Таблица1[[#This Row],[ТТН]]&gt;0,Таблица1[[#This Row],[Ставка за ТТН]]*Таблица1[[#This Row],[ТТН]],0)</f>
        <v>0</v>
      </c>
    </row>
    <row r="142" spans="1:21" x14ac:dyDescent="0.25">
      <c r="A142" t="s">
        <v>84</v>
      </c>
      <c r="B142" s="24">
        <v>14</v>
      </c>
      <c r="C142" t="s">
        <v>104</v>
      </c>
      <c r="D142" t="s">
        <v>12</v>
      </c>
      <c r="E142" t="s">
        <v>214</v>
      </c>
      <c r="F142" t="s">
        <v>13</v>
      </c>
      <c r="H142" t="s">
        <v>10</v>
      </c>
      <c r="I142" t="s">
        <v>220</v>
      </c>
      <c r="J142">
        <v>11</v>
      </c>
      <c r="L142">
        <v>11</v>
      </c>
      <c r="N142">
        <f>Таблица1[[#This Row],[Часов на заказчика  в работе]]+Таблица1[[#This Row],[Часов на заказчика  дежурство]]</f>
        <v>11</v>
      </c>
      <c r="O1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" s="9">
        <v>100000</v>
      </c>
      <c r="R142" s="9"/>
      <c r="S142" s="5">
        <v>1</v>
      </c>
      <c r="T1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табеле]])*S142,0)</f>
        <v>3333.333333333333</v>
      </c>
      <c r="U142" s="5">
        <f>IF(Таблица1[[#This Row],[ТТН]]&gt;0,Таблица1[[#This Row],[Ставка за ТТН]]*Таблица1[[#This Row],[ТТН]],0)</f>
        <v>0</v>
      </c>
    </row>
    <row r="143" spans="1:21" x14ac:dyDescent="0.25">
      <c r="A143" t="s">
        <v>84</v>
      </c>
      <c r="B143" s="24">
        <v>14</v>
      </c>
      <c r="C143" t="s">
        <v>104</v>
      </c>
      <c r="D143" t="s">
        <v>12</v>
      </c>
      <c r="E143" t="s">
        <v>214</v>
      </c>
      <c r="F143" t="s">
        <v>13</v>
      </c>
      <c r="H143" t="s">
        <v>70</v>
      </c>
      <c r="I143" t="s">
        <v>220</v>
      </c>
      <c r="J143">
        <v>11</v>
      </c>
      <c r="L143">
        <v>11</v>
      </c>
      <c r="N143">
        <f>Таблица1[[#This Row],[Часов на заказчика  в работе]]+Таблица1[[#This Row],[Часов на заказчика  дежурство]]</f>
        <v>11</v>
      </c>
      <c r="O1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" s="9">
        <v>100000</v>
      </c>
      <c r="R143" s="9"/>
      <c r="S143" s="5">
        <v>1</v>
      </c>
      <c r="T1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табеле]])*S143,0)</f>
        <v>3333.333333333333</v>
      </c>
      <c r="U143" s="5">
        <f>IF(Таблица1[[#This Row],[ТТН]]&gt;0,Таблица1[[#This Row],[Ставка за ТТН]]*Таблица1[[#This Row],[ТТН]],0)</f>
        <v>0</v>
      </c>
    </row>
    <row r="144" spans="1:21" x14ac:dyDescent="0.25">
      <c r="A144" t="s">
        <v>84</v>
      </c>
      <c r="B144" s="24">
        <v>15</v>
      </c>
      <c r="C144" t="s">
        <v>104</v>
      </c>
      <c r="D144" t="s">
        <v>12</v>
      </c>
      <c r="E144" t="s">
        <v>214</v>
      </c>
      <c r="F144" t="s">
        <v>13</v>
      </c>
      <c r="H144" t="s">
        <v>10</v>
      </c>
      <c r="I144" t="s">
        <v>220</v>
      </c>
      <c r="J144">
        <v>11</v>
      </c>
      <c r="L144">
        <v>11</v>
      </c>
      <c r="N144">
        <f>Таблица1[[#This Row],[Часов на заказчика  в работе]]+Таблица1[[#This Row],[Часов на заказчика  дежурство]]</f>
        <v>11</v>
      </c>
      <c r="O1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" s="9">
        <v>100000</v>
      </c>
      <c r="R144" s="9"/>
      <c r="S144" s="5">
        <v>1</v>
      </c>
      <c r="T1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табеле]])*S144,0)</f>
        <v>3333.333333333333</v>
      </c>
      <c r="U144" s="5">
        <f>IF(Таблица1[[#This Row],[ТТН]]&gt;0,Таблица1[[#This Row],[Ставка за ТТН]]*Таблица1[[#This Row],[ТТН]],0)</f>
        <v>0</v>
      </c>
    </row>
    <row r="145" spans="1:21" x14ac:dyDescent="0.25">
      <c r="A145" t="s">
        <v>84</v>
      </c>
      <c r="B145" s="24">
        <v>15</v>
      </c>
      <c r="C145" t="s">
        <v>104</v>
      </c>
      <c r="D145" t="s">
        <v>12</v>
      </c>
      <c r="E145" t="s">
        <v>214</v>
      </c>
      <c r="F145" t="s">
        <v>13</v>
      </c>
      <c r="H145" t="s">
        <v>70</v>
      </c>
      <c r="I145" t="s">
        <v>220</v>
      </c>
      <c r="J145">
        <v>11</v>
      </c>
      <c r="L145">
        <v>11</v>
      </c>
      <c r="N145">
        <f>Таблица1[[#This Row],[Часов на заказчика  в работе]]+Таблица1[[#This Row],[Часов на заказчика  дежурство]]</f>
        <v>11</v>
      </c>
      <c r="O1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" s="9">
        <v>100000</v>
      </c>
      <c r="R145" s="9"/>
      <c r="S145" s="5">
        <v>1</v>
      </c>
      <c r="T1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табеле]])*S145,0)</f>
        <v>3333.333333333333</v>
      </c>
      <c r="U145" s="5">
        <f>IF(Таблица1[[#This Row],[ТТН]]&gt;0,Таблица1[[#This Row],[Ставка за ТТН]]*Таблица1[[#This Row],[ТТН]],0)</f>
        <v>0</v>
      </c>
    </row>
    <row r="146" spans="1:21" x14ac:dyDescent="0.25">
      <c r="A146" t="s">
        <v>84</v>
      </c>
      <c r="B146" s="24">
        <v>16</v>
      </c>
      <c r="C146" t="s">
        <v>104</v>
      </c>
      <c r="D146" t="s">
        <v>12</v>
      </c>
      <c r="E146" t="s">
        <v>214</v>
      </c>
      <c r="F146" t="s">
        <v>13</v>
      </c>
      <c r="H146" t="s">
        <v>10</v>
      </c>
      <c r="I146" t="s">
        <v>220</v>
      </c>
      <c r="J146">
        <v>11</v>
      </c>
      <c r="L146">
        <v>11</v>
      </c>
      <c r="N146">
        <f>Таблица1[[#This Row],[Часов на заказчика  в работе]]+Таблица1[[#This Row],[Часов на заказчика  дежурство]]</f>
        <v>11</v>
      </c>
      <c r="O1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" s="9">
        <v>100000</v>
      </c>
      <c r="R146" s="9"/>
      <c r="S146" s="5">
        <v>1</v>
      </c>
      <c r="T1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табеле]])*S146,0)</f>
        <v>3333.333333333333</v>
      </c>
      <c r="U146" s="5">
        <f>IF(Таблица1[[#This Row],[ТТН]]&gt;0,Таблица1[[#This Row],[Ставка за ТТН]]*Таблица1[[#This Row],[ТТН]],0)</f>
        <v>0</v>
      </c>
    </row>
    <row r="147" spans="1:21" x14ac:dyDescent="0.25">
      <c r="A147" t="s">
        <v>84</v>
      </c>
      <c r="B147" s="24">
        <v>16</v>
      </c>
      <c r="C147" t="s">
        <v>104</v>
      </c>
      <c r="D147" t="s">
        <v>12</v>
      </c>
      <c r="E147" t="s">
        <v>214</v>
      </c>
      <c r="F147" t="s">
        <v>13</v>
      </c>
      <c r="H147" t="s">
        <v>70</v>
      </c>
      <c r="I147" t="s">
        <v>220</v>
      </c>
      <c r="J147">
        <v>11</v>
      </c>
      <c r="L147">
        <v>11</v>
      </c>
      <c r="N147">
        <f>Таблица1[[#This Row],[Часов на заказчика  в работе]]+Таблица1[[#This Row],[Часов на заказчика  дежурство]]</f>
        <v>11</v>
      </c>
      <c r="O1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" s="9">
        <v>100000</v>
      </c>
      <c r="R147" s="9"/>
      <c r="S147" s="5">
        <v>1</v>
      </c>
      <c r="T1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табеле]])*S147,0)</f>
        <v>3333.333333333333</v>
      </c>
      <c r="U147" s="5">
        <f>IF(Таблица1[[#This Row],[ТТН]]&gt;0,Таблица1[[#This Row],[Ставка за ТТН]]*Таблица1[[#This Row],[ТТН]],0)</f>
        <v>0</v>
      </c>
    </row>
    <row r="148" spans="1:21" x14ac:dyDescent="0.25">
      <c r="A148" t="s">
        <v>84</v>
      </c>
      <c r="B148" s="24">
        <v>17</v>
      </c>
      <c r="C148" t="s">
        <v>104</v>
      </c>
      <c r="D148" t="s">
        <v>12</v>
      </c>
      <c r="E148" t="s">
        <v>214</v>
      </c>
      <c r="F148" t="s">
        <v>13</v>
      </c>
      <c r="H148" t="s">
        <v>10</v>
      </c>
      <c r="I148" t="s">
        <v>220</v>
      </c>
      <c r="J148">
        <v>11</v>
      </c>
      <c r="L148">
        <v>11</v>
      </c>
      <c r="N148">
        <f>Таблица1[[#This Row],[Часов на заказчика  в работе]]+Таблица1[[#This Row],[Часов на заказчика  дежурство]]</f>
        <v>11</v>
      </c>
      <c r="O1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" s="9">
        <v>100000</v>
      </c>
      <c r="R148" s="9"/>
      <c r="S148" s="5">
        <v>1</v>
      </c>
      <c r="T1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табеле]])*S148,0)</f>
        <v>3333.333333333333</v>
      </c>
      <c r="U148" s="5">
        <f>IF(Таблица1[[#This Row],[ТТН]]&gt;0,Таблица1[[#This Row],[Ставка за ТТН]]*Таблица1[[#This Row],[ТТН]],0)</f>
        <v>0</v>
      </c>
    </row>
    <row r="149" spans="1:21" x14ac:dyDescent="0.25">
      <c r="A149" t="s">
        <v>84</v>
      </c>
      <c r="B149" s="24">
        <v>17</v>
      </c>
      <c r="C149" t="s">
        <v>104</v>
      </c>
      <c r="D149" t="s">
        <v>12</v>
      </c>
      <c r="E149" t="s">
        <v>214</v>
      </c>
      <c r="F149" t="s">
        <v>13</v>
      </c>
      <c r="H149" t="s">
        <v>70</v>
      </c>
      <c r="I149" t="s">
        <v>220</v>
      </c>
      <c r="J149">
        <v>11</v>
      </c>
      <c r="L149">
        <v>11</v>
      </c>
      <c r="N149">
        <f>Таблица1[[#This Row],[Часов на заказчика  в работе]]+Таблица1[[#This Row],[Часов на заказчика  дежурство]]</f>
        <v>11</v>
      </c>
      <c r="O1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" s="9">
        <v>100000</v>
      </c>
      <c r="R149" s="9"/>
      <c r="S149" s="5">
        <v>1</v>
      </c>
      <c r="T1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табеле]])*S149,0)</f>
        <v>3333.333333333333</v>
      </c>
      <c r="U149" s="5">
        <f>IF(Таблица1[[#This Row],[ТТН]]&gt;0,Таблица1[[#This Row],[Ставка за ТТН]]*Таблица1[[#This Row],[ТТН]],0)</f>
        <v>0</v>
      </c>
    </row>
    <row r="150" spans="1:21" x14ac:dyDescent="0.25">
      <c r="A150" t="s">
        <v>84</v>
      </c>
      <c r="B150" s="24">
        <v>18</v>
      </c>
      <c r="C150" t="s">
        <v>104</v>
      </c>
      <c r="D150" t="s">
        <v>12</v>
      </c>
      <c r="E150" t="s">
        <v>214</v>
      </c>
      <c r="F150" t="s">
        <v>13</v>
      </c>
      <c r="H150" t="s">
        <v>10</v>
      </c>
      <c r="I150" t="s">
        <v>220</v>
      </c>
      <c r="J150">
        <v>11</v>
      </c>
      <c r="L150">
        <v>11</v>
      </c>
      <c r="N150">
        <f>Таблица1[[#This Row],[Часов на заказчика  в работе]]+Таблица1[[#This Row],[Часов на заказчика  дежурство]]</f>
        <v>11</v>
      </c>
      <c r="O1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" s="9">
        <v>100000</v>
      </c>
      <c r="R150" s="9"/>
      <c r="S150" s="5">
        <v>1</v>
      </c>
      <c r="T1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табеле]])*S150,0)</f>
        <v>3333.333333333333</v>
      </c>
      <c r="U150" s="5">
        <f>IF(Таблица1[[#This Row],[ТТН]]&gt;0,Таблица1[[#This Row],[Ставка за ТТН]]*Таблица1[[#This Row],[ТТН]],0)</f>
        <v>0</v>
      </c>
    </row>
    <row r="151" spans="1:21" x14ac:dyDescent="0.25">
      <c r="A151" t="s">
        <v>84</v>
      </c>
      <c r="B151" s="24">
        <v>18</v>
      </c>
      <c r="C151" t="s">
        <v>104</v>
      </c>
      <c r="D151" t="s">
        <v>12</v>
      </c>
      <c r="E151" t="s">
        <v>214</v>
      </c>
      <c r="F151" t="s">
        <v>13</v>
      </c>
      <c r="H151" t="s">
        <v>70</v>
      </c>
      <c r="I151" t="s">
        <v>220</v>
      </c>
      <c r="J151">
        <v>11</v>
      </c>
      <c r="L151">
        <v>11</v>
      </c>
      <c r="N151">
        <f>Таблица1[[#This Row],[Часов на заказчика  в работе]]+Таблица1[[#This Row],[Часов на заказчика  дежурство]]</f>
        <v>11</v>
      </c>
      <c r="O1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" s="9">
        <v>100000</v>
      </c>
      <c r="R151" s="9"/>
      <c r="S151" s="5">
        <v>1</v>
      </c>
      <c r="T1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табеле]])*S151,0)</f>
        <v>3333.333333333333</v>
      </c>
      <c r="U151" s="5">
        <f>IF(Таблица1[[#This Row],[ТТН]]&gt;0,Таблица1[[#This Row],[Ставка за ТТН]]*Таблица1[[#This Row],[ТТН]],0)</f>
        <v>0</v>
      </c>
    </row>
    <row r="152" spans="1:21" x14ac:dyDescent="0.25">
      <c r="A152" t="s">
        <v>84</v>
      </c>
      <c r="B152" s="24">
        <v>19</v>
      </c>
      <c r="C152" t="s">
        <v>104</v>
      </c>
      <c r="D152" t="s">
        <v>12</v>
      </c>
      <c r="E152" t="s">
        <v>214</v>
      </c>
      <c r="F152" t="s">
        <v>13</v>
      </c>
      <c r="H152" t="s">
        <v>10</v>
      </c>
      <c r="I152" t="s">
        <v>220</v>
      </c>
      <c r="J152">
        <v>11</v>
      </c>
      <c r="L152">
        <v>11</v>
      </c>
      <c r="N152">
        <f>Таблица1[[#This Row],[Часов на заказчика  в работе]]+Таблица1[[#This Row],[Часов на заказчика  дежурство]]</f>
        <v>11</v>
      </c>
      <c r="O1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" s="9">
        <v>100000</v>
      </c>
      <c r="R152" s="9"/>
      <c r="S152" s="5">
        <v>1</v>
      </c>
      <c r="T1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табеле]])*S152,0)</f>
        <v>3333.333333333333</v>
      </c>
      <c r="U152" s="5">
        <f>IF(Таблица1[[#This Row],[ТТН]]&gt;0,Таблица1[[#This Row],[Ставка за ТТН]]*Таблица1[[#This Row],[ТТН]],0)</f>
        <v>0</v>
      </c>
    </row>
    <row r="153" spans="1:21" x14ac:dyDescent="0.25">
      <c r="A153" t="s">
        <v>84</v>
      </c>
      <c r="B153" s="24">
        <v>20</v>
      </c>
      <c r="C153" t="s">
        <v>104</v>
      </c>
      <c r="D153" t="s">
        <v>12</v>
      </c>
      <c r="E153" t="s">
        <v>214</v>
      </c>
      <c r="F153" t="s">
        <v>13</v>
      </c>
      <c r="H153" t="s">
        <v>70</v>
      </c>
      <c r="I153" t="s">
        <v>220</v>
      </c>
      <c r="J153">
        <v>6</v>
      </c>
      <c r="L153">
        <v>6</v>
      </c>
      <c r="N153">
        <f>Таблица1[[#This Row],[Часов на заказчика  в работе]]+Таблица1[[#This Row],[Часов на заказчика  дежурство]]</f>
        <v>6</v>
      </c>
      <c r="O1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" s="9">
        <v>100000</v>
      </c>
      <c r="R153" s="9"/>
      <c r="S153" s="5">
        <v>1</v>
      </c>
      <c r="T1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табеле]])*S153,0)</f>
        <v>1818.181818181818</v>
      </c>
      <c r="U153" s="5">
        <f>IF(Таблица1[[#This Row],[ТТН]]&gt;0,Таблица1[[#This Row],[Ставка за ТТН]]*Таблица1[[#This Row],[ТТН]],0)</f>
        <v>0</v>
      </c>
    </row>
    <row r="154" spans="1:21" x14ac:dyDescent="0.25">
      <c r="A154" t="s">
        <v>84</v>
      </c>
      <c r="B154" s="24">
        <v>20</v>
      </c>
      <c r="C154" t="s">
        <v>104</v>
      </c>
      <c r="D154" t="s">
        <v>12</v>
      </c>
      <c r="E154" t="s">
        <v>214</v>
      </c>
      <c r="F154" t="s">
        <v>13</v>
      </c>
      <c r="H154" t="s">
        <v>10</v>
      </c>
      <c r="I154" t="s">
        <v>220</v>
      </c>
      <c r="J154">
        <v>5</v>
      </c>
      <c r="L154">
        <v>5</v>
      </c>
      <c r="N154">
        <f>Таблица1[[#This Row],[Часов на заказчика  в работе]]+Таблица1[[#This Row],[Часов на заказчика  дежурство]]</f>
        <v>5</v>
      </c>
      <c r="O1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" s="9">
        <v>100000</v>
      </c>
      <c r="R154" s="9"/>
      <c r="S154" s="5">
        <v>1</v>
      </c>
      <c r="T1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табеле]])*S154,0)</f>
        <v>1515.151515151515</v>
      </c>
      <c r="U154" s="5">
        <f>IF(Таблица1[[#This Row],[ТТН]]&gt;0,Таблица1[[#This Row],[Ставка за ТТН]]*Таблица1[[#This Row],[ТТН]],0)</f>
        <v>0</v>
      </c>
    </row>
    <row r="155" spans="1:21" x14ac:dyDescent="0.25">
      <c r="A155" t="s">
        <v>84</v>
      </c>
      <c r="B155" s="24">
        <v>21</v>
      </c>
      <c r="C155" t="s">
        <v>104</v>
      </c>
      <c r="D155" t="s">
        <v>12</v>
      </c>
      <c r="E155" t="s">
        <v>214</v>
      </c>
      <c r="F155" t="s">
        <v>13</v>
      </c>
      <c r="H155" t="s">
        <v>10</v>
      </c>
      <c r="I155" t="s">
        <v>220</v>
      </c>
      <c r="J155">
        <v>11</v>
      </c>
      <c r="L155">
        <v>11</v>
      </c>
      <c r="N155">
        <f>Таблица1[[#This Row],[Часов на заказчика  в работе]]+Таблица1[[#This Row],[Часов на заказчика  дежурство]]</f>
        <v>11</v>
      </c>
      <c r="O1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" s="9">
        <v>100000</v>
      </c>
      <c r="R155" s="9"/>
      <c r="S155" s="5">
        <v>1</v>
      </c>
      <c r="T1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табеле]])*S155,0)</f>
        <v>3333.333333333333</v>
      </c>
      <c r="U155" s="5">
        <f>IF(Таблица1[[#This Row],[ТТН]]&gt;0,Таблица1[[#This Row],[Ставка за ТТН]]*Таблица1[[#This Row],[ТТН]],0)</f>
        <v>0</v>
      </c>
    </row>
    <row r="156" spans="1:21" x14ac:dyDescent="0.25">
      <c r="A156" t="s">
        <v>84</v>
      </c>
      <c r="B156" s="24">
        <v>22</v>
      </c>
      <c r="C156" t="s">
        <v>104</v>
      </c>
      <c r="D156" t="s">
        <v>12</v>
      </c>
      <c r="E156" t="s">
        <v>214</v>
      </c>
      <c r="F156" t="s">
        <v>13</v>
      </c>
      <c r="H156" t="s">
        <v>10</v>
      </c>
      <c r="I156" t="s">
        <v>220</v>
      </c>
      <c r="J156">
        <v>6</v>
      </c>
      <c r="L156">
        <v>6</v>
      </c>
      <c r="N156">
        <f>Таблица1[[#This Row],[Часов на заказчика  в работе]]+Таблица1[[#This Row],[Часов на заказчика  дежурство]]</f>
        <v>6</v>
      </c>
      <c r="O1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" s="9">
        <v>100000</v>
      </c>
      <c r="R156" s="9"/>
      <c r="S156" s="5">
        <v>1</v>
      </c>
      <c r="T1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табеле]])*S156,0)</f>
        <v>1818.181818181818</v>
      </c>
      <c r="U156" s="5">
        <f>IF(Таблица1[[#This Row],[ТТН]]&gt;0,Таблица1[[#This Row],[Ставка за ТТН]]*Таблица1[[#This Row],[ТТН]],0)</f>
        <v>0</v>
      </c>
    </row>
    <row r="157" spans="1:21" x14ac:dyDescent="0.25">
      <c r="A157" t="s">
        <v>84</v>
      </c>
      <c r="B157" s="24">
        <v>22</v>
      </c>
      <c r="C157" t="s">
        <v>104</v>
      </c>
      <c r="D157" t="s">
        <v>12</v>
      </c>
      <c r="E157" t="s">
        <v>214</v>
      </c>
      <c r="F157" t="s">
        <v>13</v>
      </c>
      <c r="H157" t="s">
        <v>70</v>
      </c>
      <c r="I157" t="s">
        <v>220</v>
      </c>
      <c r="J157">
        <v>5</v>
      </c>
      <c r="L157">
        <v>5</v>
      </c>
      <c r="N157">
        <f>Таблица1[[#This Row],[Часов на заказчика  в работе]]+Таблица1[[#This Row],[Часов на заказчика  дежурство]]</f>
        <v>5</v>
      </c>
      <c r="O1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" s="9">
        <v>100000</v>
      </c>
      <c r="R157" s="9"/>
      <c r="S157" s="5">
        <v>1</v>
      </c>
      <c r="T1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табеле]])*S157,0)</f>
        <v>1515.151515151515</v>
      </c>
      <c r="U157" s="5">
        <f>IF(Таблица1[[#This Row],[ТТН]]&gt;0,Таблица1[[#This Row],[Ставка за ТТН]]*Таблица1[[#This Row],[ТТН]],0)</f>
        <v>0</v>
      </c>
    </row>
    <row r="158" spans="1:21" x14ac:dyDescent="0.25">
      <c r="A158" t="s">
        <v>84</v>
      </c>
      <c r="B158" s="24">
        <v>23</v>
      </c>
      <c r="C158" t="s">
        <v>104</v>
      </c>
      <c r="D158" t="s">
        <v>12</v>
      </c>
      <c r="E158" t="s">
        <v>214</v>
      </c>
      <c r="F158" t="s">
        <v>13</v>
      </c>
      <c r="H158" t="s">
        <v>10</v>
      </c>
      <c r="I158" t="s">
        <v>220</v>
      </c>
      <c r="J158">
        <v>6</v>
      </c>
      <c r="L158">
        <v>6</v>
      </c>
      <c r="N158">
        <f>Таблица1[[#This Row],[Часов на заказчика  в работе]]+Таблица1[[#This Row],[Часов на заказчика  дежурство]]</f>
        <v>6</v>
      </c>
      <c r="O1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" s="9">
        <v>100000</v>
      </c>
      <c r="R158" s="9"/>
      <c r="S158" s="5">
        <v>1</v>
      </c>
      <c r="T1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табеле]])*S158,0)</f>
        <v>1818.181818181818</v>
      </c>
      <c r="U158" s="5">
        <f>IF(Таблица1[[#This Row],[ТТН]]&gt;0,Таблица1[[#This Row],[Ставка за ТТН]]*Таблица1[[#This Row],[ТТН]],0)</f>
        <v>0</v>
      </c>
    </row>
    <row r="159" spans="1:21" x14ac:dyDescent="0.25">
      <c r="A159" t="s">
        <v>84</v>
      </c>
      <c r="B159" s="24">
        <v>23</v>
      </c>
      <c r="C159" t="s">
        <v>104</v>
      </c>
      <c r="D159" t="s">
        <v>12</v>
      </c>
      <c r="E159" t="s">
        <v>214</v>
      </c>
      <c r="F159" t="s">
        <v>13</v>
      </c>
      <c r="H159" t="s">
        <v>70</v>
      </c>
      <c r="I159" t="s">
        <v>220</v>
      </c>
      <c r="J159">
        <v>5</v>
      </c>
      <c r="L159">
        <v>5</v>
      </c>
      <c r="N159">
        <f>Таблица1[[#This Row],[Часов на заказчика  в работе]]+Таблица1[[#This Row],[Часов на заказчика  дежурство]]</f>
        <v>5</v>
      </c>
      <c r="O1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" s="9">
        <v>100000</v>
      </c>
      <c r="R159" s="9"/>
      <c r="S159" s="5">
        <v>1</v>
      </c>
      <c r="T1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табеле]])*S159,0)</f>
        <v>1515.151515151515</v>
      </c>
      <c r="U159" s="5">
        <f>IF(Таблица1[[#This Row],[ТТН]]&gt;0,Таблица1[[#This Row],[Ставка за ТТН]]*Таблица1[[#This Row],[ТТН]],0)</f>
        <v>0</v>
      </c>
    </row>
    <row r="160" spans="1:21" x14ac:dyDescent="0.25">
      <c r="A160" t="s">
        <v>84</v>
      </c>
      <c r="B160" s="24">
        <v>24</v>
      </c>
      <c r="C160" t="s">
        <v>104</v>
      </c>
      <c r="D160" t="s">
        <v>12</v>
      </c>
      <c r="E160" t="s">
        <v>214</v>
      </c>
      <c r="F160" t="s">
        <v>13</v>
      </c>
      <c r="H160" t="s">
        <v>10</v>
      </c>
      <c r="I160" t="s">
        <v>220</v>
      </c>
      <c r="J160">
        <v>11</v>
      </c>
      <c r="L160">
        <v>11</v>
      </c>
      <c r="N160">
        <f>Таблица1[[#This Row],[Часов на заказчика  в работе]]+Таблица1[[#This Row],[Часов на заказчика  дежурство]]</f>
        <v>11</v>
      </c>
      <c r="O1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" s="9">
        <v>100000</v>
      </c>
      <c r="R160" s="9"/>
      <c r="S160" s="5">
        <v>1</v>
      </c>
      <c r="T1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табеле]])*S160,0)</f>
        <v>3333.333333333333</v>
      </c>
      <c r="U160" s="5">
        <f>IF(Таблица1[[#This Row],[ТТН]]&gt;0,Таблица1[[#This Row],[Ставка за ТТН]]*Таблица1[[#This Row],[ТТН]],0)</f>
        <v>0</v>
      </c>
    </row>
    <row r="161" spans="1:21" ht="16.5" customHeight="1" x14ac:dyDescent="0.25">
      <c r="A161" t="s">
        <v>84</v>
      </c>
      <c r="B161" s="24">
        <v>25</v>
      </c>
      <c r="C161" t="s">
        <v>104</v>
      </c>
      <c r="D161" t="s">
        <v>12</v>
      </c>
      <c r="E161" t="s">
        <v>214</v>
      </c>
      <c r="F161" t="s">
        <v>13</v>
      </c>
      <c r="H161" t="s">
        <v>10</v>
      </c>
      <c r="I161" t="s">
        <v>220</v>
      </c>
      <c r="J161">
        <v>6</v>
      </c>
      <c r="L161">
        <v>6</v>
      </c>
      <c r="N161">
        <f>Таблица1[[#This Row],[Часов на заказчика  в работе]]+Таблица1[[#This Row],[Часов на заказчика  дежурство]]</f>
        <v>6</v>
      </c>
      <c r="O1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" s="9">
        <v>100000</v>
      </c>
      <c r="R161" s="9"/>
      <c r="S161" s="5">
        <v>1</v>
      </c>
      <c r="T1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табеле]])*S161,0)</f>
        <v>1818.181818181818</v>
      </c>
      <c r="U161" s="5">
        <f>IF(Таблица1[[#This Row],[ТТН]]&gt;0,Таблица1[[#This Row],[Ставка за ТТН]]*Таблица1[[#This Row],[ТТН]],0)</f>
        <v>0</v>
      </c>
    </row>
    <row r="162" spans="1:21" ht="16.5" customHeight="1" x14ac:dyDescent="0.25">
      <c r="A162" t="s">
        <v>84</v>
      </c>
      <c r="B162" s="24">
        <v>25</v>
      </c>
      <c r="C162" t="s">
        <v>104</v>
      </c>
      <c r="D162" t="s">
        <v>12</v>
      </c>
      <c r="E162" t="s">
        <v>214</v>
      </c>
      <c r="F162" t="s">
        <v>13</v>
      </c>
      <c r="H162" t="s">
        <v>70</v>
      </c>
      <c r="I162" t="s">
        <v>220</v>
      </c>
      <c r="J162">
        <v>5</v>
      </c>
      <c r="L162">
        <v>5</v>
      </c>
      <c r="N162">
        <f>Таблица1[[#This Row],[Часов на заказчика  в работе]]+Таблица1[[#This Row],[Часов на заказчика  дежурство]]</f>
        <v>5</v>
      </c>
      <c r="O1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" s="9">
        <v>100000</v>
      </c>
      <c r="R162" s="9"/>
      <c r="S162" s="5">
        <v>1</v>
      </c>
      <c r="T1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табеле]])*S162,0)</f>
        <v>1515.151515151515</v>
      </c>
      <c r="U162" s="5">
        <f>IF(Таблица1[[#This Row],[ТТН]]&gt;0,Таблица1[[#This Row],[Ставка за ТТН]]*Таблица1[[#This Row],[ТТН]],0)</f>
        <v>0</v>
      </c>
    </row>
    <row r="163" spans="1:21" x14ac:dyDescent="0.25">
      <c r="A163" t="s">
        <v>84</v>
      </c>
      <c r="B163" s="24">
        <v>26</v>
      </c>
      <c r="C163" t="s">
        <v>104</v>
      </c>
      <c r="D163" t="s">
        <v>12</v>
      </c>
      <c r="E163" t="s">
        <v>214</v>
      </c>
      <c r="F163" t="s">
        <v>13</v>
      </c>
      <c r="H163" t="s">
        <v>10</v>
      </c>
      <c r="I163" t="s">
        <v>220</v>
      </c>
      <c r="J163">
        <v>6</v>
      </c>
      <c r="L163">
        <v>6</v>
      </c>
      <c r="N163">
        <f>Таблица1[[#This Row],[Часов на заказчика  в работе]]+Таблица1[[#This Row],[Часов на заказчика  дежурство]]</f>
        <v>6</v>
      </c>
      <c r="O1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" s="9">
        <v>100000</v>
      </c>
      <c r="R163" s="9"/>
      <c r="S163" s="5">
        <v>1</v>
      </c>
      <c r="T1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табеле]])*S163,0)</f>
        <v>1818.181818181818</v>
      </c>
      <c r="U163" s="5">
        <f>IF(Таблица1[[#This Row],[ТТН]]&gt;0,Таблица1[[#This Row],[Ставка за ТТН]]*Таблица1[[#This Row],[ТТН]],0)</f>
        <v>0</v>
      </c>
    </row>
    <row r="164" spans="1:21" x14ac:dyDescent="0.25">
      <c r="A164" t="s">
        <v>84</v>
      </c>
      <c r="B164" s="24">
        <v>26</v>
      </c>
      <c r="C164" t="s">
        <v>104</v>
      </c>
      <c r="D164" t="s">
        <v>12</v>
      </c>
      <c r="E164" t="s">
        <v>214</v>
      </c>
      <c r="F164" t="s">
        <v>13</v>
      </c>
      <c r="H164" t="s">
        <v>70</v>
      </c>
      <c r="I164" t="s">
        <v>220</v>
      </c>
      <c r="J164">
        <v>5</v>
      </c>
      <c r="L164">
        <v>5</v>
      </c>
      <c r="N164">
        <f>Таблица1[[#This Row],[Часов на заказчика  в работе]]+Таблица1[[#This Row],[Часов на заказчика  дежурство]]</f>
        <v>5</v>
      </c>
      <c r="O1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" s="9">
        <v>100000</v>
      </c>
      <c r="R164" s="9"/>
      <c r="S164" s="5">
        <v>1</v>
      </c>
      <c r="T1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табеле]])*S164,0)</f>
        <v>1515.151515151515</v>
      </c>
      <c r="U164" s="5">
        <f>IF(Таблица1[[#This Row],[ТТН]]&gt;0,Таблица1[[#This Row],[Ставка за ТТН]]*Таблица1[[#This Row],[ТТН]],0)</f>
        <v>0</v>
      </c>
    </row>
    <row r="165" spans="1:21" x14ac:dyDescent="0.25">
      <c r="A165" t="s">
        <v>84</v>
      </c>
      <c r="B165" s="24">
        <v>27</v>
      </c>
      <c r="C165" t="s">
        <v>104</v>
      </c>
      <c r="D165" t="s">
        <v>12</v>
      </c>
      <c r="E165" t="s">
        <v>214</v>
      </c>
      <c r="F165" t="s">
        <v>13</v>
      </c>
      <c r="H165" t="s">
        <v>10</v>
      </c>
      <c r="I165" t="s">
        <v>220</v>
      </c>
      <c r="J165">
        <v>6</v>
      </c>
      <c r="L165">
        <v>6</v>
      </c>
      <c r="N165">
        <f>Таблица1[[#This Row],[Часов на заказчика  в работе]]+Таблица1[[#This Row],[Часов на заказчика  дежурство]]</f>
        <v>6</v>
      </c>
      <c r="O1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" s="9">
        <v>100000</v>
      </c>
      <c r="R165" s="9"/>
      <c r="S165" s="5">
        <v>1</v>
      </c>
      <c r="T1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табеле]])*S165,0)</f>
        <v>1818.181818181818</v>
      </c>
      <c r="U165" s="5">
        <f>IF(Таблица1[[#This Row],[ТТН]]&gt;0,Таблица1[[#This Row],[Ставка за ТТН]]*Таблица1[[#This Row],[ТТН]],0)</f>
        <v>0</v>
      </c>
    </row>
    <row r="166" spans="1:21" x14ac:dyDescent="0.25">
      <c r="A166" t="s">
        <v>84</v>
      </c>
      <c r="B166" s="24">
        <v>27</v>
      </c>
      <c r="C166" t="s">
        <v>104</v>
      </c>
      <c r="D166" t="s">
        <v>12</v>
      </c>
      <c r="E166" t="s">
        <v>214</v>
      </c>
      <c r="F166" t="s">
        <v>13</v>
      </c>
      <c r="H166" t="s">
        <v>70</v>
      </c>
      <c r="I166" t="s">
        <v>220</v>
      </c>
      <c r="J166">
        <v>5</v>
      </c>
      <c r="L166">
        <v>5</v>
      </c>
      <c r="N166">
        <f>Таблица1[[#This Row],[Часов на заказчика  в работе]]+Таблица1[[#This Row],[Часов на заказчика  дежурство]]</f>
        <v>5</v>
      </c>
      <c r="O1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" s="9">
        <v>100000</v>
      </c>
      <c r="R166" s="9"/>
      <c r="S166" s="5">
        <v>1</v>
      </c>
      <c r="T1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табеле]])*S166,0)</f>
        <v>1515.151515151515</v>
      </c>
      <c r="U166" s="5">
        <f>IF(Таблица1[[#This Row],[ТТН]]&gt;0,Таблица1[[#This Row],[Ставка за ТТН]]*Таблица1[[#This Row],[ТТН]],0)</f>
        <v>0</v>
      </c>
    </row>
    <row r="167" spans="1:21" x14ac:dyDescent="0.25">
      <c r="A167" t="s">
        <v>84</v>
      </c>
      <c r="B167" s="24">
        <v>28</v>
      </c>
      <c r="C167" t="s">
        <v>104</v>
      </c>
      <c r="D167" t="s">
        <v>12</v>
      </c>
      <c r="E167" t="s">
        <v>214</v>
      </c>
      <c r="F167" t="s">
        <v>13</v>
      </c>
      <c r="H167" t="s">
        <v>10</v>
      </c>
      <c r="I167" t="s">
        <v>220</v>
      </c>
      <c r="J167">
        <v>6</v>
      </c>
      <c r="L167">
        <v>6</v>
      </c>
      <c r="N167">
        <f>Таблица1[[#This Row],[Часов на заказчика  в работе]]+Таблица1[[#This Row],[Часов на заказчика  дежурство]]</f>
        <v>6</v>
      </c>
      <c r="O1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" s="9">
        <v>100000</v>
      </c>
      <c r="R167" s="9"/>
      <c r="S167" s="5">
        <v>1</v>
      </c>
      <c r="T1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табеле]])*S167,0)</f>
        <v>1818.181818181818</v>
      </c>
      <c r="U167" s="5">
        <f>IF(Таблица1[[#This Row],[ТТН]]&gt;0,Таблица1[[#This Row],[Ставка за ТТН]]*Таблица1[[#This Row],[ТТН]],0)</f>
        <v>0</v>
      </c>
    </row>
    <row r="168" spans="1:21" x14ac:dyDescent="0.25">
      <c r="A168" t="s">
        <v>84</v>
      </c>
      <c r="B168" s="24">
        <v>28</v>
      </c>
      <c r="C168" t="s">
        <v>104</v>
      </c>
      <c r="D168" t="s">
        <v>12</v>
      </c>
      <c r="E168" t="s">
        <v>214</v>
      </c>
      <c r="F168" t="s">
        <v>13</v>
      </c>
      <c r="H168" t="s">
        <v>70</v>
      </c>
      <c r="I168" t="s">
        <v>220</v>
      </c>
      <c r="J168">
        <v>5</v>
      </c>
      <c r="L168">
        <v>5</v>
      </c>
      <c r="N168">
        <f>Таблица1[[#This Row],[Часов на заказчика  в работе]]+Таблица1[[#This Row],[Часов на заказчика  дежурство]]</f>
        <v>5</v>
      </c>
      <c r="O1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" s="9">
        <v>100000</v>
      </c>
      <c r="R168" s="9"/>
      <c r="S168" s="5">
        <v>1</v>
      </c>
      <c r="T1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табеле]])*S168,0)</f>
        <v>1515.151515151515</v>
      </c>
      <c r="U168" s="5">
        <f>IF(Таблица1[[#This Row],[ТТН]]&gt;0,Таблица1[[#This Row],[Ставка за ТТН]]*Таблица1[[#This Row],[ТТН]],0)</f>
        <v>0</v>
      </c>
    </row>
    <row r="169" spans="1:21" x14ac:dyDescent="0.25">
      <c r="A169" t="s">
        <v>84</v>
      </c>
      <c r="B169" s="24">
        <v>29</v>
      </c>
      <c r="C169" t="s">
        <v>104</v>
      </c>
      <c r="D169" t="s">
        <v>12</v>
      </c>
      <c r="E169" t="s">
        <v>214</v>
      </c>
      <c r="F169" t="s">
        <v>13</v>
      </c>
      <c r="H169" t="s">
        <v>10</v>
      </c>
      <c r="I169" t="s">
        <v>220</v>
      </c>
      <c r="J169">
        <v>6</v>
      </c>
      <c r="L169">
        <v>6</v>
      </c>
      <c r="N169">
        <f>Таблица1[[#This Row],[Часов на заказчика  в работе]]+Таблица1[[#This Row],[Часов на заказчика  дежурство]]</f>
        <v>6</v>
      </c>
      <c r="O1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" s="9">
        <v>100000</v>
      </c>
      <c r="R169" s="9"/>
      <c r="S169" s="5">
        <v>1</v>
      </c>
      <c r="T1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табеле]])*S169,0)</f>
        <v>1818.181818181818</v>
      </c>
      <c r="U169" s="5">
        <f>IF(Таблица1[[#This Row],[ТТН]]&gt;0,Таблица1[[#This Row],[Ставка за ТТН]]*Таблица1[[#This Row],[ТТН]],0)</f>
        <v>0</v>
      </c>
    </row>
    <row r="170" spans="1:21" x14ac:dyDescent="0.25">
      <c r="A170" t="s">
        <v>84</v>
      </c>
      <c r="B170" s="24">
        <v>29</v>
      </c>
      <c r="C170" t="s">
        <v>104</v>
      </c>
      <c r="D170" t="s">
        <v>12</v>
      </c>
      <c r="E170" t="s">
        <v>214</v>
      </c>
      <c r="F170" t="s">
        <v>13</v>
      </c>
      <c r="H170" t="s">
        <v>70</v>
      </c>
      <c r="I170" t="s">
        <v>220</v>
      </c>
      <c r="J170">
        <v>5</v>
      </c>
      <c r="L170">
        <v>5</v>
      </c>
      <c r="N170">
        <f>Таблица1[[#This Row],[Часов на заказчика  в работе]]+Таблица1[[#This Row],[Часов на заказчика  дежурство]]</f>
        <v>5</v>
      </c>
      <c r="O1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" s="9">
        <v>100000</v>
      </c>
      <c r="R170" s="9"/>
      <c r="S170" s="5">
        <v>1</v>
      </c>
      <c r="T1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табеле]])*S170,0)</f>
        <v>1515.151515151515</v>
      </c>
      <c r="U170" s="5">
        <f>IF(Таблица1[[#This Row],[ТТН]]&gt;0,Таблица1[[#This Row],[Ставка за ТТН]]*Таблица1[[#This Row],[ТТН]],0)</f>
        <v>0</v>
      </c>
    </row>
    <row r="171" spans="1:21" x14ac:dyDescent="0.25">
      <c r="A171" t="s">
        <v>84</v>
      </c>
      <c r="B171" s="24">
        <v>30</v>
      </c>
      <c r="C171" t="s">
        <v>104</v>
      </c>
      <c r="D171" t="s">
        <v>12</v>
      </c>
      <c r="E171" t="s">
        <v>214</v>
      </c>
      <c r="F171" t="s">
        <v>13</v>
      </c>
      <c r="H171" t="s">
        <v>10</v>
      </c>
      <c r="I171" t="s">
        <v>220</v>
      </c>
      <c r="J171">
        <v>16</v>
      </c>
      <c r="L171">
        <v>16</v>
      </c>
      <c r="N171">
        <f>Таблица1[[#This Row],[Часов на заказчика  в работе]]+Таблица1[[#This Row],[Часов на заказчика  дежурство]]</f>
        <v>16</v>
      </c>
      <c r="O1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" s="9">
        <v>100000</v>
      </c>
      <c r="R171" s="9"/>
      <c r="S171" s="5">
        <v>1</v>
      </c>
      <c r="T1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табеле]])*S171,0)</f>
        <v>4848.484848484848</v>
      </c>
      <c r="U171" s="5">
        <f>IF(Таблица1[[#This Row],[ТТН]]&gt;0,Таблица1[[#This Row],[Ставка за ТТН]]*Таблица1[[#This Row],[ТТН]],0)</f>
        <v>0</v>
      </c>
    </row>
    <row r="172" spans="1:21" x14ac:dyDescent="0.25">
      <c r="A172" t="s">
        <v>84</v>
      </c>
      <c r="B172" s="24">
        <v>30</v>
      </c>
      <c r="C172" t="s">
        <v>105</v>
      </c>
      <c r="D172" t="s">
        <v>12</v>
      </c>
      <c r="E172" t="s">
        <v>214</v>
      </c>
      <c r="F172" t="s">
        <v>13</v>
      </c>
      <c r="H172" t="s">
        <v>70</v>
      </c>
      <c r="I172" t="s">
        <v>220</v>
      </c>
      <c r="J172">
        <v>6</v>
      </c>
      <c r="L172">
        <v>6</v>
      </c>
      <c r="N172">
        <f>Таблица1[[#This Row],[Часов на заказчика  в работе]]+Таблица1[[#This Row],[Часов на заказчика  дежурство]]</f>
        <v>6</v>
      </c>
      <c r="O1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" s="9">
        <v>100000</v>
      </c>
      <c r="R172" s="9"/>
      <c r="S172" s="5">
        <v>1</v>
      </c>
      <c r="T1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табеле]])*S172,0)</f>
        <v>1818.181818181818</v>
      </c>
      <c r="U172" s="5">
        <f>IF(Таблица1[[#This Row],[ТТН]]&gt;0,Таблица1[[#This Row],[Ставка за ТТН]]*Таблица1[[#This Row],[ТТН]],0)</f>
        <v>0</v>
      </c>
    </row>
    <row r="173" spans="1:21" x14ac:dyDescent="0.25">
      <c r="A173" t="s">
        <v>84</v>
      </c>
      <c r="B173" s="24">
        <v>1</v>
      </c>
      <c r="C173" t="s">
        <v>105</v>
      </c>
      <c r="D173" t="s">
        <v>26</v>
      </c>
      <c r="E173" t="s">
        <v>216</v>
      </c>
      <c r="F173" t="s">
        <v>26</v>
      </c>
      <c r="H173" t="s">
        <v>10</v>
      </c>
      <c r="I173" t="s">
        <v>217</v>
      </c>
      <c r="J173">
        <v>11</v>
      </c>
      <c r="N173">
        <f>Таблица1[[#This Row],[Часов на заказчика  в работе]]+Таблица1[[#This Row],[Часов на заказчика  дежурство]]</f>
        <v>0</v>
      </c>
      <c r="O1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" s="9">
        <v>100000</v>
      </c>
      <c r="R173" s="9"/>
      <c r="S173" s="5">
        <v>1</v>
      </c>
      <c r="T1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табеле]])*S173,0)</f>
        <v>3333.333333333333</v>
      </c>
      <c r="U173" s="5">
        <f>IF(Таблица1[[#This Row],[ТТН]]&gt;0,Таблица1[[#This Row],[Ставка за ТТН]]*Таблица1[[#This Row],[ТТН]],0)</f>
        <v>0</v>
      </c>
    </row>
    <row r="174" spans="1:21" x14ac:dyDescent="0.25">
      <c r="A174" t="s">
        <v>84</v>
      </c>
      <c r="B174" s="24">
        <v>2</v>
      </c>
      <c r="C174" t="s">
        <v>105</v>
      </c>
      <c r="D174" t="s">
        <v>26</v>
      </c>
      <c r="E174" t="s">
        <v>216</v>
      </c>
      <c r="F174" t="s">
        <v>26</v>
      </c>
      <c r="H174" t="s">
        <v>10</v>
      </c>
      <c r="I174" t="s">
        <v>217</v>
      </c>
      <c r="J174">
        <v>11</v>
      </c>
      <c r="N174">
        <f>Таблица1[[#This Row],[Часов на заказчика  в работе]]+Таблица1[[#This Row],[Часов на заказчика  дежурство]]</f>
        <v>0</v>
      </c>
      <c r="O1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" s="9">
        <v>100000</v>
      </c>
      <c r="R174" s="9"/>
      <c r="S174" s="5">
        <v>1</v>
      </c>
      <c r="T1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табеле]])*S174,0)</f>
        <v>3333.333333333333</v>
      </c>
      <c r="U174" s="5">
        <f>IF(Таблица1[[#This Row],[ТТН]]&gt;0,Таблица1[[#This Row],[Ставка за ТТН]]*Таблица1[[#This Row],[ТТН]],0)</f>
        <v>0</v>
      </c>
    </row>
    <row r="175" spans="1:21" x14ac:dyDescent="0.25">
      <c r="A175" t="s">
        <v>84</v>
      </c>
      <c r="B175" s="24">
        <v>3</v>
      </c>
      <c r="C175" t="s">
        <v>105</v>
      </c>
      <c r="D175" t="s">
        <v>26</v>
      </c>
      <c r="E175" t="s">
        <v>216</v>
      </c>
      <c r="F175" t="s">
        <v>26</v>
      </c>
      <c r="H175" t="s">
        <v>10</v>
      </c>
      <c r="I175" t="s">
        <v>217</v>
      </c>
      <c r="J175">
        <v>11</v>
      </c>
      <c r="N175">
        <f>Таблица1[[#This Row],[Часов на заказчика  в работе]]+Таблица1[[#This Row],[Часов на заказчика  дежурство]]</f>
        <v>0</v>
      </c>
      <c r="O1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" s="9">
        <v>100000</v>
      </c>
      <c r="R175" s="9"/>
      <c r="S175" s="5">
        <v>1</v>
      </c>
      <c r="T1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табеле]])*S175,0)</f>
        <v>3333.333333333333</v>
      </c>
      <c r="U175" s="5">
        <f>IF(Таблица1[[#This Row],[ТТН]]&gt;0,Таблица1[[#This Row],[Ставка за ТТН]]*Таблица1[[#This Row],[ТТН]],0)</f>
        <v>0</v>
      </c>
    </row>
    <row r="176" spans="1:21" x14ac:dyDescent="0.25">
      <c r="A176" t="s">
        <v>84</v>
      </c>
      <c r="B176" s="24">
        <v>4</v>
      </c>
      <c r="C176" t="s">
        <v>105</v>
      </c>
      <c r="D176" t="s">
        <v>26</v>
      </c>
      <c r="E176" t="s">
        <v>216</v>
      </c>
      <c r="F176" t="s">
        <v>26</v>
      </c>
      <c r="H176" t="s">
        <v>10</v>
      </c>
      <c r="I176" t="s">
        <v>217</v>
      </c>
      <c r="J176">
        <v>11</v>
      </c>
      <c r="N176">
        <f>Таблица1[[#This Row],[Часов на заказчика  в работе]]+Таблица1[[#This Row],[Часов на заказчика  дежурство]]</f>
        <v>0</v>
      </c>
      <c r="O1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" s="9">
        <v>100000</v>
      </c>
      <c r="R176" s="9"/>
      <c r="S176" s="5">
        <v>1</v>
      </c>
      <c r="T1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табеле]])*S176,0)</f>
        <v>3333.333333333333</v>
      </c>
      <c r="U176" s="5">
        <f>IF(Таблица1[[#This Row],[ТТН]]&gt;0,Таблица1[[#This Row],[Ставка за ТТН]]*Таблица1[[#This Row],[ТТН]],0)</f>
        <v>0</v>
      </c>
    </row>
    <row r="177" spans="1:21" x14ac:dyDescent="0.25">
      <c r="A177" t="s">
        <v>84</v>
      </c>
      <c r="B177" s="24">
        <v>5</v>
      </c>
      <c r="C177" t="s">
        <v>105</v>
      </c>
      <c r="D177" t="s">
        <v>26</v>
      </c>
      <c r="E177" t="s">
        <v>216</v>
      </c>
      <c r="F177" t="s">
        <v>26</v>
      </c>
      <c r="H177" t="s">
        <v>10</v>
      </c>
      <c r="I177" t="s">
        <v>217</v>
      </c>
      <c r="J177">
        <v>11</v>
      </c>
      <c r="N177">
        <f>Таблица1[[#This Row],[Часов на заказчика  в работе]]+Таблица1[[#This Row],[Часов на заказчика  дежурство]]</f>
        <v>0</v>
      </c>
      <c r="O1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" s="9">
        <v>100000</v>
      </c>
      <c r="R177" s="9"/>
      <c r="S177" s="5">
        <v>1</v>
      </c>
      <c r="T1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табеле]])*S177,0)</f>
        <v>3333.333333333333</v>
      </c>
      <c r="U177" s="5">
        <f>IF(Таблица1[[#This Row],[ТТН]]&gt;0,Таблица1[[#This Row],[Ставка за ТТН]]*Таблица1[[#This Row],[ТТН]],0)</f>
        <v>0</v>
      </c>
    </row>
    <row r="178" spans="1:21" x14ac:dyDescent="0.25">
      <c r="A178" t="s">
        <v>84</v>
      </c>
      <c r="B178" s="24">
        <v>6</v>
      </c>
      <c r="C178" t="s">
        <v>105</v>
      </c>
      <c r="D178" t="s">
        <v>26</v>
      </c>
      <c r="E178" t="s">
        <v>216</v>
      </c>
      <c r="F178" t="s">
        <v>26</v>
      </c>
      <c r="H178" t="s">
        <v>10</v>
      </c>
      <c r="I178" t="s">
        <v>217</v>
      </c>
      <c r="J178">
        <v>11</v>
      </c>
      <c r="N178">
        <f>Таблица1[[#This Row],[Часов на заказчика  в работе]]+Таблица1[[#This Row],[Часов на заказчика  дежурство]]</f>
        <v>0</v>
      </c>
      <c r="O1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" s="9">
        <v>100000</v>
      </c>
      <c r="R178" s="9"/>
      <c r="S178" s="5">
        <v>1</v>
      </c>
      <c r="T1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табеле]])*S178,0)</f>
        <v>3333.333333333333</v>
      </c>
      <c r="U178" s="5">
        <f>IF(Таблица1[[#This Row],[ТТН]]&gt;0,Таблица1[[#This Row],[Ставка за ТТН]]*Таблица1[[#This Row],[ТТН]],0)</f>
        <v>0</v>
      </c>
    </row>
    <row r="179" spans="1:21" x14ac:dyDescent="0.25">
      <c r="A179" t="s">
        <v>84</v>
      </c>
      <c r="B179" s="24">
        <v>7</v>
      </c>
      <c r="C179" t="s">
        <v>105</v>
      </c>
      <c r="D179" t="s">
        <v>26</v>
      </c>
      <c r="E179" t="s">
        <v>216</v>
      </c>
      <c r="F179" t="s">
        <v>26</v>
      </c>
      <c r="H179" t="s">
        <v>10</v>
      </c>
      <c r="I179" t="s">
        <v>217</v>
      </c>
      <c r="J179">
        <v>11</v>
      </c>
      <c r="N179">
        <f>Таблица1[[#This Row],[Часов на заказчика  в работе]]+Таблица1[[#This Row],[Часов на заказчика  дежурство]]</f>
        <v>0</v>
      </c>
      <c r="O1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" s="9">
        <v>100000</v>
      </c>
      <c r="R179" s="9"/>
      <c r="S179" s="5">
        <v>1</v>
      </c>
      <c r="T1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табеле]])*S179,0)</f>
        <v>3333.333333333333</v>
      </c>
      <c r="U179" s="5">
        <f>IF(Таблица1[[#This Row],[ТТН]]&gt;0,Таблица1[[#This Row],[Ставка за ТТН]]*Таблица1[[#This Row],[ТТН]],0)</f>
        <v>0</v>
      </c>
    </row>
    <row r="180" spans="1:21" x14ac:dyDescent="0.25">
      <c r="A180" t="s">
        <v>84</v>
      </c>
      <c r="B180" s="24">
        <v>8</v>
      </c>
      <c r="C180" t="s">
        <v>105</v>
      </c>
      <c r="D180" t="s">
        <v>26</v>
      </c>
      <c r="E180" t="s">
        <v>216</v>
      </c>
      <c r="F180" t="s">
        <v>26</v>
      </c>
      <c r="H180" t="s">
        <v>10</v>
      </c>
      <c r="I180" t="s">
        <v>217</v>
      </c>
      <c r="J180">
        <v>11</v>
      </c>
      <c r="N180">
        <f>Таблица1[[#This Row],[Часов на заказчика  в работе]]+Таблица1[[#This Row],[Часов на заказчика  дежурство]]</f>
        <v>0</v>
      </c>
      <c r="O1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" s="9">
        <v>100000</v>
      </c>
      <c r="R180" s="9"/>
      <c r="S180" s="5">
        <v>1</v>
      </c>
      <c r="T1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табеле]])*S180,0)</f>
        <v>3333.333333333333</v>
      </c>
      <c r="U180" s="5">
        <f>IF(Таблица1[[#This Row],[ТТН]]&gt;0,Таблица1[[#This Row],[Ставка за ТТН]]*Таблица1[[#This Row],[ТТН]],0)</f>
        <v>0</v>
      </c>
    </row>
    <row r="181" spans="1:21" x14ac:dyDescent="0.25">
      <c r="A181" t="s">
        <v>84</v>
      </c>
      <c r="B181" s="24">
        <v>9</v>
      </c>
      <c r="C181" t="s">
        <v>105</v>
      </c>
      <c r="D181" t="s">
        <v>26</v>
      </c>
      <c r="E181" t="s">
        <v>216</v>
      </c>
      <c r="F181" t="s">
        <v>26</v>
      </c>
      <c r="H181" t="s">
        <v>10</v>
      </c>
      <c r="I181" t="s">
        <v>217</v>
      </c>
      <c r="J181">
        <v>11</v>
      </c>
      <c r="N181">
        <f>Таблица1[[#This Row],[Часов на заказчика  в работе]]+Таблица1[[#This Row],[Часов на заказчика  дежурство]]</f>
        <v>0</v>
      </c>
      <c r="O1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" s="9">
        <v>100000</v>
      </c>
      <c r="R181" s="9"/>
      <c r="S181" s="5">
        <v>1</v>
      </c>
      <c r="T1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табеле]])*S181,0)</f>
        <v>3333.333333333333</v>
      </c>
      <c r="U181" s="5">
        <f>IF(Таблица1[[#This Row],[ТТН]]&gt;0,Таблица1[[#This Row],[Ставка за ТТН]]*Таблица1[[#This Row],[ТТН]],0)</f>
        <v>0</v>
      </c>
    </row>
    <row r="182" spans="1:21" x14ac:dyDescent="0.25">
      <c r="A182" t="s">
        <v>84</v>
      </c>
      <c r="B182" s="24">
        <v>10</v>
      </c>
      <c r="C182" t="s">
        <v>105</v>
      </c>
      <c r="D182" t="s">
        <v>26</v>
      </c>
      <c r="E182" t="s">
        <v>216</v>
      </c>
      <c r="F182" t="s">
        <v>26</v>
      </c>
      <c r="H182" t="s">
        <v>10</v>
      </c>
      <c r="I182" t="s">
        <v>217</v>
      </c>
      <c r="J182">
        <v>11</v>
      </c>
      <c r="N182">
        <f>Таблица1[[#This Row],[Часов на заказчика  в работе]]+Таблица1[[#This Row],[Часов на заказчика  дежурство]]</f>
        <v>0</v>
      </c>
      <c r="O1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" s="9">
        <v>100000</v>
      </c>
      <c r="R182" s="9"/>
      <c r="S182" s="5">
        <v>1</v>
      </c>
      <c r="T1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табеле]])*S182,0)</f>
        <v>3333.333333333333</v>
      </c>
      <c r="U182" s="5">
        <f>IF(Таблица1[[#This Row],[ТТН]]&gt;0,Таблица1[[#This Row],[Ставка за ТТН]]*Таблица1[[#This Row],[ТТН]],0)</f>
        <v>0</v>
      </c>
    </row>
    <row r="183" spans="1:21" x14ac:dyDescent="0.25">
      <c r="A183" t="s">
        <v>84</v>
      </c>
      <c r="B183" s="24">
        <v>11</v>
      </c>
      <c r="C183" t="s">
        <v>105</v>
      </c>
      <c r="D183" t="s">
        <v>26</v>
      </c>
      <c r="E183" t="s">
        <v>216</v>
      </c>
      <c r="F183" t="s">
        <v>26</v>
      </c>
      <c r="H183" t="s">
        <v>10</v>
      </c>
      <c r="I183" t="s">
        <v>217</v>
      </c>
      <c r="J183">
        <v>11</v>
      </c>
      <c r="N183">
        <f>Таблица1[[#This Row],[Часов на заказчика  в работе]]+Таблица1[[#This Row],[Часов на заказчика  дежурство]]</f>
        <v>0</v>
      </c>
      <c r="O1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" s="9">
        <v>100000</v>
      </c>
      <c r="R183" s="9"/>
      <c r="S183" s="5">
        <v>1</v>
      </c>
      <c r="T1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табеле]])*S183,0)</f>
        <v>3333.333333333333</v>
      </c>
      <c r="U183" s="5">
        <f>IF(Таблица1[[#This Row],[ТТН]]&gt;0,Таблица1[[#This Row],[Ставка за ТТН]]*Таблица1[[#This Row],[ТТН]],0)</f>
        <v>0</v>
      </c>
    </row>
    <row r="184" spans="1:21" x14ac:dyDescent="0.25">
      <c r="A184" t="s">
        <v>84</v>
      </c>
      <c r="B184" s="24">
        <v>12</v>
      </c>
      <c r="C184" t="s">
        <v>105</v>
      </c>
      <c r="D184" t="s">
        <v>26</v>
      </c>
      <c r="E184" t="s">
        <v>216</v>
      </c>
      <c r="F184" t="s">
        <v>26</v>
      </c>
      <c r="H184" t="s">
        <v>10</v>
      </c>
      <c r="I184" t="s">
        <v>217</v>
      </c>
      <c r="J184">
        <v>11</v>
      </c>
      <c r="N184">
        <f>Таблица1[[#This Row],[Часов на заказчика  в работе]]+Таблица1[[#This Row],[Часов на заказчика  дежурство]]</f>
        <v>0</v>
      </c>
      <c r="O1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" s="9">
        <v>100000</v>
      </c>
      <c r="R184" s="9"/>
      <c r="S184" s="5">
        <v>1</v>
      </c>
      <c r="T1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табеле]])*S184,0)</f>
        <v>3333.333333333333</v>
      </c>
      <c r="U184" s="5">
        <f>IF(Таблица1[[#This Row],[ТТН]]&gt;0,Таблица1[[#This Row],[Ставка за ТТН]]*Таблица1[[#This Row],[ТТН]],0)</f>
        <v>0</v>
      </c>
    </row>
    <row r="185" spans="1:21" x14ac:dyDescent="0.25">
      <c r="A185" t="s">
        <v>84</v>
      </c>
      <c r="B185" s="24">
        <v>13</v>
      </c>
      <c r="C185" t="s">
        <v>105</v>
      </c>
      <c r="D185" t="s">
        <v>26</v>
      </c>
      <c r="E185" t="s">
        <v>216</v>
      </c>
      <c r="F185" t="s">
        <v>26</v>
      </c>
      <c r="H185" t="s">
        <v>10</v>
      </c>
      <c r="I185" t="s">
        <v>217</v>
      </c>
      <c r="J185">
        <v>11</v>
      </c>
      <c r="N185">
        <f>Таблица1[[#This Row],[Часов на заказчика  в работе]]+Таблица1[[#This Row],[Часов на заказчика  дежурство]]</f>
        <v>0</v>
      </c>
      <c r="O1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" s="9">
        <v>100000</v>
      </c>
      <c r="R185" s="9"/>
      <c r="S185" s="5">
        <v>1</v>
      </c>
      <c r="T1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табеле]])*S185,0)</f>
        <v>3333.333333333333</v>
      </c>
      <c r="U185" s="5">
        <f>IF(Таблица1[[#This Row],[ТТН]]&gt;0,Таблица1[[#This Row],[Ставка за ТТН]]*Таблица1[[#This Row],[ТТН]],0)</f>
        <v>0</v>
      </c>
    </row>
    <row r="186" spans="1:21" x14ac:dyDescent="0.25">
      <c r="A186" t="s">
        <v>84</v>
      </c>
      <c r="B186" s="24">
        <v>14</v>
      </c>
      <c r="C186" t="s">
        <v>105</v>
      </c>
      <c r="D186" t="s">
        <v>26</v>
      </c>
      <c r="E186" t="s">
        <v>216</v>
      </c>
      <c r="F186" t="s">
        <v>26</v>
      </c>
      <c r="H186" t="s">
        <v>10</v>
      </c>
      <c r="I186" t="s">
        <v>217</v>
      </c>
      <c r="J186">
        <v>11</v>
      </c>
      <c r="N186">
        <f>Таблица1[[#This Row],[Часов на заказчика  в работе]]+Таблица1[[#This Row],[Часов на заказчика  дежурство]]</f>
        <v>0</v>
      </c>
      <c r="O1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" s="9">
        <v>100000</v>
      </c>
      <c r="R186" s="9"/>
      <c r="S186" s="5">
        <v>1</v>
      </c>
      <c r="T1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табеле]])*S186,0)</f>
        <v>3333.333333333333</v>
      </c>
      <c r="U186" s="5">
        <f>IF(Таблица1[[#This Row],[ТТН]]&gt;0,Таблица1[[#This Row],[Ставка за ТТН]]*Таблица1[[#This Row],[ТТН]],0)</f>
        <v>0</v>
      </c>
    </row>
    <row r="187" spans="1:21" x14ac:dyDescent="0.25">
      <c r="A187" t="s">
        <v>84</v>
      </c>
      <c r="B187" s="24">
        <v>15</v>
      </c>
      <c r="C187" t="s">
        <v>105</v>
      </c>
      <c r="D187" t="s">
        <v>26</v>
      </c>
      <c r="E187" t="s">
        <v>216</v>
      </c>
      <c r="F187" t="s">
        <v>26</v>
      </c>
      <c r="H187" t="s">
        <v>10</v>
      </c>
      <c r="I187" t="s">
        <v>217</v>
      </c>
      <c r="J187">
        <v>11</v>
      </c>
      <c r="N187">
        <f>Таблица1[[#This Row],[Часов на заказчика  в работе]]+Таблица1[[#This Row],[Часов на заказчика  дежурство]]</f>
        <v>0</v>
      </c>
      <c r="O1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" s="9">
        <v>100000</v>
      </c>
      <c r="R187" s="9"/>
      <c r="S187" s="5">
        <v>1</v>
      </c>
      <c r="T1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табеле]])*S187,0)</f>
        <v>3333.333333333333</v>
      </c>
      <c r="U187" s="5">
        <f>IF(Таблица1[[#This Row],[ТТН]]&gt;0,Таблица1[[#This Row],[Ставка за ТТН]]*Таблица1[[#This Row],[ТТН]],0)</f>
        <v>0</v>
      </c>
    </row>
    <row r="188" spans="1:21" x14ac:dyDescent="0.25">
      <c r="A188" t="s">
        <v>84</v>
      </c>
      <c r="B188" s="24">
        <v>16</v>
      </c>
      <c r="C188" t="s">
        <v>105</v>
      </c>
      <c r="D188" t="s">
        <v>26</v>
      </c>
      <c r="E188" t="s">
        <v>216</v>
      </c>
      <c r="F188" t="s">
        <v>26</v>
      </c>
      <c r="H188" t="s">
        <v>10</v>
      </c>
      <c r="I188" t="s">
        <v>217</v>
      </c>
      <c r="J188">
        <v>11</v>
      </c>
      <c r="N188">
        <f>Таблица1[[#This Row],[Часов на заказчика  в работе]]+Таблица1[[#This Row],[Часов на заказчика  дежурство]]</f>
        <v>0</v>
      </c>
      <c r="O1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" s="9">
        <v>100000</v>
      </c>
      <c r="R188" s="9"/>
      <c r="S188" s="5">
        <v>1</v>
      </c>
      <c r="T1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табеле]])*S188,0)</f>
        <v>3333.333333333333</v>
      </c>
      <c r="U188" s="5">
        <f>IF(Таблица1[[#This Row],[ТТН]]&gt;0,Таблица1[[#This Row],[Ставка за ТТН]]*Таблица1[[#This Row],[ТТН]],0)</f>
        <v>0</v>
      </c>
    </row>
    <row r="189" spans="1:21" x14ac:dyDescent="0.25">
      <c r="A189" t="s">
        <v>84</v>
      </c>
      <c r="B189" s="24">
        <v>17</v>
      </c>
      <c r="C189" t="s">
        <v>105</v>
      </c>
      <c r="D189" t="s">
        <v>26</v>
      </c>
      <c r="E189" t="s">
        <v>216</v>
      </c>
      <c r="F189" t="s">
        <v>26</v>
      </c>
      <c r="H189" t="s">
        <v>10</v>
      </c>
      <c r="I189" t="s">
        <v>217</v>
      </c>
      <c r="J189">
        <v>11</v>
      </c>
      <c r="N189">
        <f>Таблица1[[#This Row],[Часов на заказчика  в работе]]+Таблица1[[#This Row],[Часов на заказчика  дежурство]]</f>
        <v>0</v>
      </c>
      <c r="O1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" s="9">
        <v>100000</v>
      </c>
      <c r="R189" s="9"/>
      <c r="S189" s="5">
        <v>1</v>
      </c>
      <c r="T1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табеле]])*S189,0)</f>
        <v>3333.333333333333</v>
      </c>
      <c r="U189" s="5">
        <f>IF(Таблица1[[#This Row],[ТТН]]&gt;0,Таблица1[[#This Row],[Ставка за ТТН]]*Таблица1[[#This Row],[ТТН]],0)</f>
        <v>0</v>
      </c>
    </row>
    <row r="190" spans="1:21" x14ac:dyDescent="0.25">
      <c r="A190" t="s">
        <v>84</v>
      </c>
      <c r="B190" s="24">
        <v>18</v>
      </c>
      <c r="C190" t="s">
        <v>105</v>
      </c>
      <c r="D190" t="s">
        <v>26</v>
      </c>
      <c r="E190" t="s">
        <v>216</v>
      </c>
      <c r="F190" t="s">
        <v>26</v>
      </c>
      <c r="H190" t="s">
        <v>10</v>
      </c>
      <c r="I190" t="s">
        <v>217</v>
      </c>
      <c r="J190">
        <v>11</v>
      </c>
      <c r="N190">
        <f>Таблица1[[#This Row],[Часов на заказчика  в работе]]+Таблица1[[#This Row],[Часов на заказчика  дежурство]]</f>
        <v>0</v>
      </c>
      <c r="O1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" s="9">
        <v>100000</v>
      </c>
      <c r="R190" s="9"/>
      <c r="S190" s="5">
        <v>1</v>
      </c>
      <c r="T1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табеле]])*S190,0)</f>
        <v>3333.333333333333</v>
      </c>
      <c r="U190" s="5">
        <f>IF(Таблица1[[#This Row],[ТТН]]&gt;0,Таблица1[[#This Row],[Ставка за ТТН]]*Таблица1[[#This Row],[ТТН]],0)</f>
        <v>0</v>
      </c>
    </row>
    <row r="191" spans="1:21" x14ac:dyDescent="0.25">
      <c r="A191" t="s">
        <v>84</v>
      </c>
      <c r="B191" s="24">
        <v>19</v>
      </c>
      <c r="C191" t="s">
        <v>105</v>
      </c>
      <c r="D191" t="s">
        <v>26</v>
      </c>
      <c r="E191" t="s">
        <v>216</v>
      </c>
      <c r="F191" t="s">
        <v>26</v>
      </c>
      <c r="H191" t="s">
        <v>10</v>
      </c>
      <c r="I191" t="s">
        <v>217</v>
      </c>
      <c r="J191">
        <v>11</v>
      </c>
      <c r="N191">
        <f>Таблица1[[#This Row],[Часов на заказчика  в работе]]+Таблица1[[#This Row],[Часов на заказчика  дежурство]]</f>
        <v>0</v>
      </c>
      <c r="O1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" s="9">
        <v>100000</v>
      </c>
      <c r="R191" s="9"/>
      <c r="S191" s="5">
        <v>1</v>
      </c>
      <c r="T1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табеле]])*S191,0)</f>
        <v>3333.333333333333</v>
      </c>
      <c r="U191" s="5">
        <f>IF(Таблица1[[#This Row],[ТТН]]&gt;0,Таблица1[[#This Row],[Ставка за ТТН]]*Таблица1[[#This Row],[ТТН]],0)</f>
        <v>0</v>
      </c>
    </row>
    <row r="192" spans="1:21" x14ac:dyDescent="0.25">
      <c r="A192" t="s">
        <v>84</v>
      </c>
      <c r="B192" s="24">
        <v>20</v>
      </c>
      <c r="C192" t="s">
        <v>105</v>
      </c>
      <c r="D192" t="s">
        <v>26</v>
      </c>
      <c r="E192" t="s">
        <v>216</v>
      </c>
      <c r="F192" t="s">
        <v>26</v>
      </c>
      <c r="H192" t="s">
        <v>10</v>
      </c>
      <c r="I192" t="s">
        <v>217</v>
      </c>
      <c r="J192">
        <v>11</v>
      </c>
      <c r="N192">
        <f>Таблица1[[#This Row],[Часов на заказчика  в работе]]+Таблица1[[#This Row],[Часов на заказчика  дежурство]]</f>
        <v>0</v>
      </c>
      <c r="O1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" s="9">
        <v>100000</v>
      </c>
      <c r="R192" s="9"/>
      <c r="S192" s="5">
        <v>1</v>
      </c>
      <c r="T1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табеле]])*S192,0)</f>
        <v>3333.333333333333</v>
      </c>
      <c r="U192" s="5">
        <f>IF(Таблица1[[#This Row],[ТТН]]&gt;0,Таблица1[[#This Row],[Ставка за ТТН]]*Таблица1[[#This Row],[ТТН]],0)</f>
        <v>0</v>
      </c>
    </row>
    <row r="193" spans="1:21" x14ac:dyDescent="0.25">
      <c r="A193" t="s">
        <v>84</v>
      </c>
      <c r="B193" s="24">
        <v>21</v>
      </c>
      <c r="C193" t="s">
        <v>105</v>
      </c>
      <c r="D193" t="s">
        <v>26</v>
      </c>
      <c r="E193" t="s">
        <v>216</v>
      </c>
      <c r="F193" t="s">
        <v>26</v>
      </c>
      <c r="H193" t="s">
        <v>10</v>
      </c>
      <c r="I193" t="s">
        <v>217</v>
      </c>
      <c r="J193">
        <v>11</v>
      </c>
      <c r="N193">
        <f>Таблица1[[#This Row],[Часов на заказчика  в работе]]+Таблица1[[#This Row],[Часов на заказчика  дежурство]]</f>
        <v>0</v>
      </c>
      <c r="O1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" s="9">
        <v>100000</v>
      </c>
      <c r="R193" s="9"/>
      <c r="S193" s="5">
        <v>1</v>
      </c>
      <c r="T1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табеле]])*S193,0)</f>
        <v>3333.333333333333</v>
      </c>
      <c r="U193" s="5">
        <f>IF(Таблица1[[#This Row],[ТТН]]&gt;0,Таблица1[[#This Row],[Ставка за ТТН]]*Таблица1[[#This Row],[ТТН]],0)</f>
        <v>0</v>
      </c>
    </row>
    <row r="194" spans="1:21" x14ac:dyDescent="0.25">
      <c r="A194" t="s">
        <v>84</v>
      </c>
      <c r="B194" s="24">
        <v>22</v>
      </c>
      <c r="C194" t="s">
        <v>105</v>
      </c>
      <c r="D194" t="s">
        <v>26</v>
      </c>
      <c r="E194" t="s">
        <v>216</v>
      </c>
      <c r="F194" t="s">
        <v>26</v>
      </c>
      <c r="H194" t="s">
        <v>10</v>
      </c>
      <c r="I194" t="s">
        <v>217</v>
      </c>
      <c r="J194">
        <v>11</v>
      </c>
      <c r="N194">
        <f>Таблица1[[#This Row],[Часов на заказчика  в работе]]+Таблица1[[#This Row],[Часов на заказчика  дежурство]]</f>
        <v>0</v>
      </c>
      <c r="O1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" s="9">
        <v>100000</v>
      </c>
      <c r="R194" s="9"/>
      <c r="S194" s="5">
        <v>1</v>
      </c>
      <c r="T1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табеле]])*S194,0)</f>
        <v>3333.333333333333</v>
      </c>
      <c r="U194" s="5">
        <f>IF(Таблица1[[#This Row],[ТТН]]&gt;0,Таблица1[[#This Row],[Ставка за ТТН]]*Таблица1[[#This Row],[ТТН]],0)</f>
        <v>0</v>
      </c>
    </row>
    <row r="195" spans="1:21" x14ac:dyDescent="0.25">
      <c r="A195" t="s">
        <v>84</v>
      </c>
      <c r="B195" s="24">
        <v>23</v>
      </c>
      <c r="C195" t="s">
        <v>105</v>
      </c>
      <c r="D195" t="s">
        <v>26</v>
      </c>
      <c r="E195" t="s">
        <v>216</v>
      </c>
      <c r="F195" t="s">
        <v>26</v>
      </c>
      <c r="H195" t="s">
        <v>24</v>
      </c>
      <c r="I195" t="s">
        <v>217</v>
      </c>
      <c r="J195">
        <v>8</v>
      </c>
      <c r="N195">
        <f>Таблица1[[#This Row],[Часов на заказчика  в работе]]+Таблица1[[#This Row],[Часов на заказчика  дежурство]]</f>
        <v>0</v>
      </c>
      <c r="O1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" s="9">
        <v>100000</v>
      </c>
      <c r="R195" s="9"/>
      <c r="S195" s="5">
        <v>1</v>
      </c>
      <c r="T1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табеле]])*S195,0)</f>
        <v>0</v>
      </c>
      <c r="U195" s="5">
        <f>IF(Таблица1[[#This Row],[ТТН]]&gt;0,Таблица1[[#This Row],[Ставка за ТТН]]*Таблица1[[#This Row],[ТТН]],0)</f>
        <v>0</v>
      </c>
    </row>
    <row r="196" spans="1:21" x14ac:dyDescent="0.25">
      <c r="A196" t="s">
        <v>84</v>
      </c>
      <c r="B196" s="24">
        <v>24</v>
      </c>
      <c r="C196" t="s">
        <v>105</v>
      </c>
      <c r="D196" t="s">
        <v>26</v>
      </c>
      <c r="E196" t="s">
        <v>216</v>
      </c>
      <c r="F196" t="s">
        <v>26</v>
      </c>
      <c r="H196" t="s">
        <v>24</v>
      </c>
      <c r="I196" t="s">
        <v>217</v>
      </c>
      <c r="J196">
        <v>8</v>
      </c>
      <c r="N196">
        <f>Таблица1[[#This Row],[Часов на заказчика  в работе]]+Таблица1[[#This Row],[Часов на заказчика  дежурство]]</f>
        <v>0</v>
      </c>
      <c r="O1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" s="9">
        <v>100000</v>
      </c>
      <c r="R196" s="9"/>
      <c r="S196" s="5">
        <v>1</v>
      </c>
      <c r="T1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табеле]])*S196,0)</f>
        <v>0</v>
      </c>
      <c r="U196" s="5">
        <f>IF(Таблица1[[#This Row],[ТТН]]&gt;0,Таблица1[[#This Row],[Ставка за ТТН]]*Таблица1[[#This Row],[ТТН]],0)</f>
        <v>0</v>
      </c>
    </row>
    <row r="197" spans="1:21" x14ac:dyDescent="0.25">
      <c r="A197" t="s">
        <v>84</v>
      </c>
      <c r="B197" s="24">
        <v>25</v>
      </c>
      <c r="C197" t="s">
        <v>105</v>
      </c>
      <c r="D197" t="s">
        <v>26</v>
      </c>
      <c r="E197" t="s">
        <v>216</v>
      </c>
      <c r="F197" t="s">
        <v>26</v>
      </c>
      <c r="H197" t="s">
        <v>24</v>
      </c>
      <c r="I197" t="s">
        <v>217</v>
      </c>
      <c r="J197">
        <v>8</v>
      </c>
      <c r="N197">
        <f>Таблица1[[#This Row],[Часов на заказчика  в работе]]+Таблица1[[#This Row],[Часов на заказчика  дежурство]]</f>
        <v>0</v>
      </c>
      <c r="O1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" s="9">
        <v>100000</v>
      </c>
      <c r="R197" s="9"/>
      <c r="S197" s="5">
        <v>1</v>
      </c>
      <c r="T1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табеле]])*S197,0)</f>
        <v>0</v>
      </c>
      <c r="U197" s="5">
        <f>IF(Таблица1[[#This Row],[ТТН]]&gt;0,Таблица1[[#This Row],[Ставка за ТТН]]*Таблица1[[#This Row],[ТТН]],0)</f>
        <v>0</v>
      </c>
    </row>
    <row r="198" spans="1:21" x14ac:dyDescent="0.25">
      <c r="A198" t="s">
        <v>84</v>
      </c>
      <c r="B198" s="24">
        <v>26</v>
      </c>
      <c r="C198" t="s">
        <v>105</v>
      </c>
      <c r="D198" t="s">
        <v>26</v>
      </c>
      <c r="E198" t="s">
        <v>216</v>
      </c>
      <c r="F198" t="s">
        <v>26</v>
      </c>
      <c r="H198" t="s">
        <v>24</v>
      </c>
      <c r="I198" t="s">
        <v>217</v>
      </c>
      <c r="J198">
        <v>8</v>
      </c>
      <c r="N198">
        <f>Таблица1[[#This Row],[Часов на заказчика  в работе]]+Таблица1[[#This Row],[Часов на заказчика  дежурство]]</f>
        <v>0</v>
      </c>
      <c r="O1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" s="9">
        <v>100000</v>
      </c>
      <c r="R198" s="9"/>
      <c r="S198" s="5">
        <v>1</v>
      </c>
      <c r="T1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табеле]])*S198,0)</f>
        <v>0</v>
      </c>
      <c r="U198" s="5">
        <f>IF(Таблица1[[#This Row],[ТТН]]&gt;0,Таблица1[[#This Row],[Ставка за ТТН]]*Таблица1[[#This Row],[ТТН]],0)</f>
        <v>0</v>
      </c>
    </row>
    <row r="199" spans="1:21" x14ac:dyDescent="0.25">
      <c r="A199" t="s">
        <v>84</v>
      </c>
      <c r="B199" s="24">
        <v>27</v>
      </c>
      <c r="C199" t="s">
        <v>105</v>
      </c>
      <c r="D199" t="s">
        <v>26</v>
      </c>
      <c r="E199" t="s">
        <v>216</v>
      </c>
      <c r="F199" t="s">
        <v>26</v>
      </c>
      <c r="H199" t="s">
        <v>30</v>
      </c>
      <c r="I199" t="s">
        <v>217</v>
      </c>
      <c r="J199">
        <v>1</v>
      </c>
      <c r="N199">
        <f>Таблица1[[#This Row],[Часов на заказчика  в работе]]+Таблица1[[#This Row],[Часов на заказчика  дежурство]]</f>
        <v>0</v>
      </c>
      <c r="O1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" s="9">
        <v>100000</v>
      </c>
      <c r="R199" s="9"/>
      <c r="S199" s="5">
        <v>1</v>
      </c>
      <c r="T1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табеле]])*S199,0)</f>
        <v>0</v>
      </c>
      <c r="U199" s="5">
        <f>IF(Таблица1[[#This Row],[ТТН]]&gt;0,Таблица1[[#This Row],[Ставка за ТТН]]*Таблица1[[#This Row],[ТТН]],0)</f>
        <v>0</v>
      </c>
    </row>
    <row r="200" spans="1:21" x14ac:dyDescent="0.25">
      <c r="A200" t="s">
        <v>84</v>
      </c>
      <c r="B200" s="24">
        <v>28</v>
      </c>
      <c r="C200" t="s">
        <v>105</v>
      </c>
      <c r="D200" t="s">
        <v>26</v>
      </c>
      <c r="E200" t="s">
        <v>216</v>
      </c>
      <c r="F200" t="s">
        <v>26</v>
      </c>
      <c r="H200" t="s">
        <v>30</v>
      </c>
      <c r="I200" t="s">
        <v>217</v>
      </c>
      <c r="J200">
        <v>1</v>
      </c>
      <c r="N200">
        <f>Таблица1[[#This Row],[Часов на заказчика  в работе]]+Таблица1[[#This Row],[Часов на заказчика  дежурство]]</f>
        <v>0</v>
      </c>
      <c r="O2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" s="9">
        <v>100000</v>
      </c>
      <c r="R200" s="9"/>
      <c r="S200" s="5">
        <v>1</v>
      </c>
      <c r="T2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табеле]])*S200,0)</f>
        <v>0</v>
      </c>
      <c r="U200" s="5">
        <f>IF(Таблица1[[#This Row],[ТТН]]&gt;0,Таблица1[[#This Row],[Ставка за ТТН]]*Таблица1[[#This Row],[ТТН]],0)</f>
        <v>0</v>
      </c>
    </row>
    <row r="201" spans="1:21" x14ac:dyDescent="0.25">
      <c r="A201" t="s">
        <v>84</v>
      </c>
      <c r="B201" s="24">
        <v>29</v>
      </c>
      <c r="C201" t="s">
        <v>105</v>
      </c>
      <c r="D201" t="s">
        <v>26</v>
      </c>
      <c r="E201" t="s">
        <v>216</v>
      </c>
      <c r="F201" t="s">
        <v>26</v>
      </c>
      <c r="H201" t="s">
        <v>29</v>
      </c>
      <c r="I201" t="s">
        <v>217</v>
      </c>
      <c r="J201">
        <v>8</v>
      </c>
      <c r="N201">
        <f>Таблица1[[#This Row],[Часов на заказчика  в работе]]+Таблица1[[#This Row],[Часов на заказчика  дежурство]]</f>
        <v>0</v>
      </c>
      <c r="O2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" s="9">
        <v>100000</v>
      </c>
      <c r="R201" s="9"/>
      <c r="S201" s="5">
        <v>1</v>
      </c>
      <c r="T2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табеле]])*S201,0)</f>
        <v>0</v>
      </c>
      <c r="U201" s="5">
        <f>IF(Таблица1[[#This Row],[ТТН]]&gt;0,Таблица1[[#This Row],[Ставка за ТТН]]*Таблица1[[#This Row],[ТТН]],0)</f>
        <v>0</v>
      </c>
    </row>
    <row r="202" spans="1:21" x14ac:dyDescent="0.25">
      <c r="A202" t="s">
        <v>84</v>
      </c>
      <c r="B202" s="24">
        <v>30</v>
      </c>
      <c r="C202" t="s">
        <v>106</v>
      </c>
      <c r="D202" t="s">
        <v>26</v>
      </c>
      <c r="E202" t="s">
        <v>216</v>
      </c>
      <c r="F202" t="s">
        <v>26</v>
      </c>
      <c r="H202" t="s">
        <v>29</v>
      </c>
      <c r="I202" t="s">
        <v>217</v>
      </c>
      <c r="J202">
        <v>8</v>
      </c>
      <c r="N202">
        <f>Таблица1[[#This Row],[Часов на заказчика  в работе]]+Таблица1[[#This Row],[Часов на заказчика  дежурство]]</f>
        <v>0</v>
      </c>
      <c r="O2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" s="9">
        <v>100000</v>
      </c>
      <c r="R202" s="9"/>
      <c r="S202" s="5">
        <v>1</v>
      </c>
      <c r="T2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табеле]])*S202,0)</f>
        <v>0</v>
      </c>
      <c r="U202" s="5">
        <f>IF(Таблица1[[#This Row],[ТТН]]&gt;0,Таблица1[[#This Row],[Ставка за ТТН]]*Таблица1[[#This Row],[ТТН]],0)</f>
        <v>0</v>
      </c>
    </row>
    <row r="203" spans="1:21" x14ac:dyDescent="0.25">
      <c r="A203" t="s">
        <v>84</v>
      </c>
      <c r="B203" s="24">
        <v>1</v>
      </c>
      <c r="C203" t="s">
        <v>106</v>
      </c>
      <c r="D203" t="s">
        <v>28</v>
      </c>
      <c r="E203" t="s">
        <v>214</v>
      </c>
      <c r="F203" t="s">
        <v>28</v>
      </c>
      <c r="H203" t="s">
        <v>30</v>
      </c>
      <c r="I203" t="s">
        <v>217</v>
      </c>
      <c r="J203">
        <v>1</v>
      </c>
      <c r="N203">
        <f>Таблица1[[#This Row],[Часов на заказчика  в работе]]+Таблица1[[#This Row],[Часов на заказчика  дежурство]]</f>
        <v>0</v>
      </c>
      <c r="O2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" s="9">
        <v>100000</v>
      </c>
      <c r="R203" s="9"/>
      <c r="S203" s="5">
        <v>1</v>
      </c>
      <c r="T2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табеле]])*S203,0)</f>
        <v>0</v>
      </c>
      <c r="U203" s="5">
        <f>IF(Таблица1[[#This Row],[ТТН]]&gt;0,Таблица1[[#This Row],[Ставка за ТТН]]*Таблица1[[#This Row],[ТТН]],0)</f>
        <v>0</v>
      </c>
    </row>
    <row r="204" spans="1:21" x14ac:dyDescent="0.25">
      <c r="A204" t="s">
        <v>84</v>
      </c>
      <c r="B204" s="24">
        <v>2</v>
      </c>
      <c r="C204" t="s">
        <v>106</v>
      </c>
      <c r="D204" t="s">
        <v>28</v>
      </c>
      <c r="E204" t="s">
        <v>214</v>
      </c>
      <c r="F204" t="s">
        <v>28</v>
      </c>
      <c r="H204" t="s">
        <v>30</v>
      </c>
      <c r="I204" t="s">
        <v>217</v>
      </c>
      <c r="J204">
        <v>1</v>
      </c>
      <c r="N204">
        <f>Таблица1[[#This Row],[Часов на заказчика  в работе]]+Таблица1[[#This Row],[Часов на заказчика  дежурство]]</f>
        <v>0</v>
      </c>
      <c r="O2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" s="9">
        <v>100000</v>
      </c>
      <c r="R204" s="9"/>
      <c r="S204" s="5">
        <v>1</v>
      </c>
      <c r="T2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табеле]])*S204,0)</f>
        <v>0</v>
      </c>
      <c r="U204" s="5">
        <f>IF(Таблица1[[#This Row],[ТТН]]&gt;0,Таблица1[[#This Row],[Ставка за ТТН]]*Таблица1[[#This Row],[ТТН]],0)</f>
        <v>0</v>
      </c>
    </row>
    <row r="205" spans="1:21" x14ac:dyDescent="0.25">
      <c r="A205" t="s">
        <v>84</v>
      </c>
      <c r="B205" s="24">
        <v>3</v>
      </c>
      <c r="C205" t="s">
        <v>106</v>
      </c>
      <c r="D205" t="s">
        <v>28</v>
      </c>
      <c r="E205" t="s">
        <v>214</v>
      </c>
      <c r="F205" t="s">
        <v>28</v>
      </c>
      <c r="H205" t="s">
        <v>30</v>
      </c>
      <c r="I205" t="s">
        <v>217</v>
      </c>
      <c r="J205">
        <v>1</v>
      </c>
      <c r="N205">
        <f>Таблица1[[#This Row],[Часов на заказчика  в работе]]+Таблица1[[#This Row],[Часов на заказчика  дежурство]]</f>
        <v>0</v>
      </c>
      <c r="O2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" s="9">
        <v>100000</v>
      </c>
      <c r="R205" s="9"/>
      <c r="S205" s="5">
        <v>1</v>
      </c>
      <c r="T2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табеле]])*S205,0)</f>
        <v>0</v>
      </c>
      <c r="U205" s="5">
        <f>IF(Таблица1[[#This Row],[ТТН]]&gt;0,Таблица1[[#This Row],[Ставка за ТТН]]*Таблица1[[#This Row],[ТТН]],0)</f>
        <v>0</v>
      </c>
    </row>
    <row r="206" spans="1:21" x14ac:dyDescent="0.25">
      <c r="A206" t="s">
        <v>84</v>
      </c>
      <c r="B206" s="24">
        <v>4</v>
      </c>
      <c r="C206" t="s">
        <v>106</v>
      </c>
      <c r="D206" t="s">
        <v>28</v>
      </c>
      <c r="E206" t="s">
        <v>214</v>
      </c>
      <c r="F206" t="s">
        <v>28</v>
      </c>
      <c r="H206" t="s">
        <v>24</v>
      </c>
      <c r="I206" t="s">
        <v>217</v>
      </c>
      <c r="J206">
        <v>8</v>
      </c>
      <c r="N206">
        <f>Таблица1[[#This Row],[Часов на заказчика  в работе]]+Таблица1[[#This Row],[Часов на заказчика  дежурство]]</f>
        <v>0</v>
      </c>
      <c r="O2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" s="9">
        <v>100000</v>
      </c>
      <c r="R206" s="9"/>
      <c r="S206" s="5">
        <v>1</v>
      </c>
      <c r="T2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табеле]])*S206,0)</f>
        <v>0</v>
      </c>
      <c r="U206" s="5">
        <f>IF(Таблица1[[#This Row],[ТТН]]&gt;0,Таблица1[[#This Row],[Ставка за ТТН]]*Таблица1[[#This Row],[ТТН]],0)</f>
        <v>0</v>
      </c>
    </row>
    <row r="207" spans="1:21" x14ac:dyDescent="0.25">
      <c r="A207" t="s">
        <v>84</v>
      </c>
      <c r="B207" s="24">
        <v>5</v>
      </c>
      <c r="C207" t="s">
        <v>106</v>
      </c>
      <c r="D207" t="s">
        <v>28</v>
      </c>
      <c r="E207" t="s">
        <v>214</v>
      </c>
      <c r="F207" t="s">
        <v>28</v>
      </c>
      <c r="H207" t="s">
        <v>24</v>
      </c>
      <c r="I207" t="s">
        <v>217</v>
      </c>
      <c r="J207">
        <v>8</v>
      </c>
      <c r="N207">
        <f>Таблица1[[#This Row],[Часов на заказчика  в работе]]+Таблица1[[#This Row],[Часов на заказчика  дежурство]]</f>
        <v>0</v>
      </c>
      <c r="O2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" s="9">
        <v>100000</v>
      </c>
      <c r="R207" s="9"/>
      <c r="S207" s="5">
        <v>1</v>
      </c>
      <c r="T2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табеле]])*S207,0)</f>
        <v>0</v>
      </c>
      <c r="U207" s="5">
        <f>IF(Таблица1[[#This Row],[ТТН]]&gt;0,Таблица1[[#This Row],[Ставка за ТТН]]*Таблица1[[#This Row],[ТТН]],0)</f>
        <v>0</v>
      </c>
    </row>
    <row r="208" spans="1:21" x14ac:dyDescent="0.25">
      <c r="A208" t="s">
        <v>84</v>
      </c>
      <c r="B208" s="24">
        <v>6</v>
      </c>
      <c r="C208" t="s">
        <v>106</v>
      </c>
      <c r="D208" t="s">
        <v>28</v>
      </c>
      <c r="E208" t="s">
        <v>214</v>
      </c>
      <c r="F208" t="s">
        <v>28</v>
      </c>
      <c r="H208" t="s">
        <v>24</v>
      </c>
      <c r="I208" t="s">
        <v>217</v>
      </c>
      <c r="J208">
        <v>8</v>
      </c>
      <c r="N208">
        <f>Таблица1[[#This Row],[Часов на заказчика  в работе]]+Таблица1[[#This Row],[Часов на заказчика  дежурство]]</f>
        <v>0</v>
      </c>
      <c r="O2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" s="9">
        <v>100000</v>
      </c>
      <c r="R208" s="9"/>
      <c r="S208" s="5">
        <v>1</v>
      </c>
      <c r="T2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табеле]])*S208,0)</f>
        <v>0</v>
      </c>
      <c r="U208" s="5">
        <f>IF(Таблица1[[#This Row],[ТТН]]&gt;0,Таблица1[[#This Row],[Ставка за ТТН]]*Таблица1[[#This Row],[ТТН]],0)</f>
        <v>0</v>
      </c>
    </row>
    <row r="209" spans="1:21" x14ac:dyDescent="0.25">
      <c r="A209" t="s">
        <v>84</v>
      </c>
      <c r="B209" s="24">
        <v>7</v>
      </c>
      <c r="C209" t="s">
        <v>106</v>
      </c>
      <c r="D209" t="s">
        <v>28</v>
      </c>
      <c r="E209" t="s">
        <v>214</v>
      </c>
      <c r="F209" t="s">
        <v>28</v>
      </c>
      <c r="H209" t="s">
        <v>24</v>
      </c>
      <c r="I209" t="s">
        <v>217</v>
      </c>
      <c r="J209">
        <v>8</v>
      </c>
      <c r="N209">
        <f>Таблица1[[#This Row],[Часов на заказчика  в работе]]+Таблица1[[#This Row],[Часов на заказчика  дежурство]]</f>
        <v>0</v>
      </c>
      <c r="O2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" s="9">
        <v>100000</v>
      </c>
      <c r="R209" s="9"/>
      <c r="S209" s="5">
        <v>1</v>
      </c>
      <c r="T2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табеле]])*S209,0)</f>
        <v>0</v>
      </c>
      <c r="U209" s="5">
        <f>IF(Таблица1[[#This Row],[ТТН]]&gt;0,Таблица1[[#This Row],[Ставка за ТТН]]*Таблица1[[#This Row],[ТТН]],0)</f>
        <v>0</v>
      </c>
    </row>
    <row r="210" spans="1:21" x14ac:dyDescent="0.25">
      <c r="A210" t="s">
        <v>84</v>
      </c>
      <c r="B210" s="24">
        <v>8</v>
      </c>
      <c r="C210" t="s">
        <v>106</v>
      </c>
      <c r="D210" t="s">
        <v>28</v>
      </c>
      <c r="E210" t="s">
        <v>214</v>
      </c>
      <c r="F210" t="s">
        <v>28</v>
      </c>
      <c r="H210" t="s">
        <v>29</v>
      </c>
      <c r="I210" t="s">
        <v>217</v>
      </c>
      <c r="J210">
        <v>8</v>
      </c>
      <c r="N210">
        <f>Таблица1[[#This Row],[Часов на заказчика  в работе]]+Таблица1[[#This Row],[Часов на заказчика  дежурство]]</f>
        <v>0</v>
      </c>
      <c r="O2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" s="9">
        <v>100000</v>
      </c>
      <c r="R210" s="9"/>
      <c r="S210" s="5">
        <v>1</v>
      </c>
      <c r="T2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табеле]])*S210,0)</f>
        <v>0</v>
      </c>
      <c r="U210" s="5">
        <f>IF(Таблица1[[#This Row],[ТТН]]&gt;0,Таблица1[[#This Row],[Ставка за ТТН]]*Таблица1[[#This Row],[ТТН]],0)</f>
        <v>0</v>
      </c>
    </row>
    <row r="211" spans="1:21" x14ac:dyDescent="0.25">
      <c r="A211" t="s">
        <v>84</v>
      </c>
      <c r="B211" s="24">
        <v>9</v>
      </c>
      <c r="C211" t="s">
        <v>106</v>
      </c>
      <c r="D211" t="s">
        <v>28</v>
      </c>
      <c r="E211" t="s">
        <v>214</v>
      </c>
      <c r="F211" t="s">
        <v>28</v>
      </c>
      <c r="H211" t="s">
        <v>29</v>
      </c>
      <c r="I211" t="s">
        <v>217</v>
      </c>
      <c r="J211">
        <v>8</v>
      </c>
      <c r="N211">
        <f>Таблица1[[#This Row],[Часов на заказчика  в работе]]+Таблица1[[#This Row],[Часов на заказчика  дежурство]]</f>
        <v>0</v>
      </c>
      <c r="O2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" s="9">
        <v>100000</v>
      </c>
      <c r="R211" s="9"/>
      <c r="S211" s="5">
        <v>1</v>
      </c>
      <c r="T2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табеле]])*S211,0)</f>
        <v>0</v>
      </c>
      <c r="U211" s="5">
        <f>IF(Таблица1[[#This Row],[ТТН]]&gt;0,Таблица1[[#This Row],[Ставка за ТТН]]*Таблица1[[#This Row],[ТТН]],0)</f>
        <v>0</v>
      </c>
    </row>
    <row r="212" spans="1:21" x14ac:dyDescent="0.25">
      <c r="A212" t="s">
        <v>84</v>
      </c>
      <c r="B212" s="24">
        <v>10</v>
      </c>
      <c r="C212" t="s">
        <v>106</v>
      </c>
      <c r="D212" t="s">
        <v>28</v>
      </c>
      <c r="E212" t="s">
        <v>214</v>
      </c>
      <c r="F212" t="s">
        <v>28</v>
      </c>
      <c r="H212" t="s">
        <v>29</v>
      </c>
      <c r="I212" t="s">
        <v>217</v>
      </c>
      <c r="J212">
        <v>8</v>
      </c>
      <c r="N212">
        <f>Таблица1[[#This Row],[Часов на заказчика  в работе]]+Таблица1[[#This Row],[Часов на заказчика  дежурство]]</f>
        <v>0</v>
      </c>
      <c r="O2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" s="9">
        <v>100000</v>
      </c>
      <c r="R212" s="9"/>
      <c r="S212" s="5">
        <v>1</v>
      </c>
      <c r="T2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табеле]])*S212,0)</f>
        <v>0</v>
      </c>
      <c r="U212" s="5">
        <f>IF(Таблица1[[#This Row],[ТТН]]&gt;0,Таблица1[[#This Row],[Ставка за ТТН]]*Таблица1[[#This Row],[ТТН]],0)</f>
        <v>0</v>
      </c>
    </row>
    <row r="213" spans="1:21" x14ac:dyDescent="0.25">
      <c r="A213" t="s">
        <v>84</v>
      </c>
      <c r="B213" s="24">
        <v>11</v>
      </c>
      <c r="C213" t="s">
        <v>106</v>
      </c>
      <c r="D213" t="s">
        <v>28</v>
      </c>
      <c r="E213" t="s">
        <v>214</v>
      </c>
      <c r="F213" t="s">
        <v>28</v>
      </c>
      <c r="H213" t="s">
        <v>29</v>
      </c>
      <c r="I213" t="s">
        <v>217</v>
      </c>
      <c r="J213">
        <v>8</v>
      </c>
      <c r="N213">
        <f>Таблица1[[#This Row],[Часов на заказчика  в работе]]+Таблица1[[#This Row],[Часов на заказчика  дежурство]]</f>
        <v>0</v>
      </c>
      <c r="O2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" s="9">
        <v>100000</v>
      </c>
      <c r="R213" s="9"/>
      <c r="S213" s="5">
        <v>1</v>
      </c>
      <c r="T2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табеле]])*S213,0)</f>
        <v>0</v>
      </c>
      <c r="U213" s="5">
        <f>IF(Таблица1[[#This Row],[ТТН]]&gt;0,Таблица1[[#This Row],[Ставка за ТТН]]*Таблица1[[#This Row],[ТТН]],0)</f>
        <v>0</v>
      </c>
    </row>
    <row r="214" spans="1:21" x14ac:dyDescent="0.25">
      <c r="A214" t="s">
        <v>84</v>
      </c>
      <c r="B214" s="24">
        <v>12</v>
      </c>
      <c r="C214" t="s">
        <v>106</v>
      </c>
      <c r="D214" t="s">
        <v>28</v>
      </c>
      <c r="E214" t="s">
        <v>214</v>
      </c>
      <c r="F214" t="s">
        <v>28</v>
      </c>
      <c r="H214" t="s">
        <v>29</v>
      </c>
      <c r="I214" t="s">
        <v>217</v>
      </c>
      <c r="J214">
        <v>8</v>
      </c>
      <c r="N214">
        <f>Таблица1[[#This Row],[Часов на заказчика  в работе]]+Таблица1[[#This Row],[Часов на заказчика  дежурство]]</f>
        <v>0</v>
      </c>
      <c r="O2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" s="9">
        <v>100000</v>
      </c>
      <c r="R214" s="9"/>
      <c r="S214" s="5">
        <v>1</v>
      </c>
      <c r="T2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табеле]])*S214,0)</f>
        <v>0</v>
      </c>
      <c r="U214" s="5">
        <f>IF(Таблица1[[#This Row],[ТТН]]&gt;0,Таблица1[[#This Row],[Ставка за ТТН]]*Таблица1[[#This Row],[ТТН]],0)</f>
        <v>0</v>
      </c>
    </row>
    <row r="215" spans="1:21" x14ac:dyDescent="0.25">
      <c r="A215" t="s">
        <v>84</v>
      </c>
      <c r="B215" s="24">
        <v>13</v>
      </c>
      <c r="C215" t="s">
        <v>106</v>
      </c>
      <c r="D215" t="s">
        <v>28</v>
      </c>
      <c r="E215" t="s">
        <v>214</v>
      </c>
      <c r="F215" t="s">
        <v>28</v>
      </c>
      <c r="H215" t="s">
        <v>30</v>
      </c>
      <c r="I215" t="s">
        <v>217</v>
      </c>
      <c r="J215">
        <v>1</v>
      </c>
      <c r="N215">
        <f>Таблица1[[#This Row],[Часов на заказчика  в работе]]+Таблица1[[#This Row],[Часов на заказчика  дежурство]]</f>
        <v>0</v>
      </c>
      <c r="O2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" s="9">
        <v>100000</v>
      </c>
      <c r="R215" s="9"/>
      <c r="S215" s="5">
        <v>1</v>
      </c>
      <c r="T2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табеле]])*S215,0)</f>
        <v>0</v>
      </c>
      <c r="U215" s="5">
        <f>IF(Таблица1[[#This Row],[ТТН]]&gt;0,Таблица1[[#This Row],[Ставка за ТТН]]*Таблица1[[#This Row],[ТТН]],0)</f>
        <v>0</v>
      </c>
    </row>
    <row r="216" spans="1:21" x14ac:dyDescent="0.25">
      <c r="A216" t="s">
        <v>84</v>
      </c>
      <c r="B216" s="24">
        <v>14</v>
      </c>
      <c r="C216" t="s">
        <v>106</v>
      </c>
      <c r="D216" t="s">
        <v>28</v>
      </c>
      <c r="E216" t="s">
        <v>214</v>
      </c>
      <c r="F216" t="s">
        <v>28</v>
      </c>
      <c r="H216" t="s">
        <v>30</v>
      </c>
      <c r="I216" t="s">
        <v>217</v>
      </c>
      <c r="J216">
        <v>1</v>
      </c>
      <c r="N216">
        <f>Таблица1[[#This Row],[Часов на заказчика  в работе]]+Таблица1[[#This Row],[Часов на заказчика  дежурство]]</f>
        <v>0</v>
      </c>
      <c r="O2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" s="9">
        <v>100000</v>
      </c>
      <c r="R216" s="9"/>
      <c r="S216" s="5">
        <v>1</v>
      </c>
      <c r="T2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табеле]])*S216,0)</f>
        <v>0</v>
      </c>
      <c r="U216" s="5">
        <f>IF(Таблица1[[#This Row],[ТТН]]&gt;0,Таблица1[[#This Row],[Ставка за ТТН]]*Таблица1[[#This Row],[ТТН]],0)</f>
        <v>0</v>
      </c>
    </row>
    <row r="217" spans="1:21" x14ac:dyDescent="0.25">
      <c r="A217" t="s">
        <v>84</v>
      </c>
      <c r="B217" s="24">
        <v>15</v>
      </c>
      <c r="C217" t="s">
        <v>106</v>
      </c>
      <c r="D217" t="s">
        <v>28</v>
      </c>
      <c r="E217" t="s">
        <v>214</v>
      </c>
      <c r="F217" t="s">
        <v>28</v>
      </c>
      <c r="H217" t="s">
        <v>29</v>
      </c>
      <c r="I217" t="s">
        <v>217</v>
      </c>
      <c r="J217">
        <v>8</v>
      </c>
      <c r="N217">
        <f>Таблица1[[#This Row],[Часов на заказчика  в работе]]+Таблица1[[#This Row],[Часов на заказчика  дежурство]]</f>
        <v>0</v>
      </c>
      <c r="O2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" s="9">
        <v>100000</v>
      </c>
      <c r="R217" s="9"/>
      <c r="S217" s="5">
        <v>1</v>
      </c>
      <c r="T2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табеле]])*S217,0)</f>
        <v>0</v>
      </c>
      <c r="U217" s="5">
        <f>IF(Таблица1[[#This Row],[ТТН]]&gt;0,Таблица1[[#This Row],[Ставка за ТТН]]*Таблица1[[#This Row],[ТТН]],0)</f>
        <v>0</v>
      </c>
    </row>
    <row r="218" spans="1:21" x14ac:dyDescent="0.25">
      <c r="A218" t="s">
        <v>84</v>
      </c>
      <c r="B218" s="24">
        <v>16</v>
      </c>
      <c r="C218" t="s">
        <v>106</v>
      </c>
      <c r="D218" t="s">
        <v>28</v>
      </c>
      <c r="E218" t="s">
        <v>214</v>
      </c>
      <c r="F218" t="s">
        <v>28</v>
      </c>
      <c r="H218" t="s">
        <v>29</v>
      </c>
      <c r="I218" t="s">
        <v>217</v>
      </c>
      <c r="J218">
        <v>8</v>
      </c>
      <c r="N218">
        <f>Таблица1[[#This Row],[Часов на заказчика  в работе]]+Таблица1[[#This Row],[Часов на заказчика  дежурство]]</f>
        <v>0</v>
      </c>
      <c r="O2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" s="9">
        <v>100000</v>
      </c>
      <c r="R218" s="9"/>
      <c r="S218" s="5">
        <v>1</v>
      </c>
      <c r="T2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табеле]])*S218,0)</f>
        <v>0</v>
      </c>
      <c r="U218" s="5">
        <f>IF(Таблица1[[#This Row],[ТТН]]&gt;0,Таблица1[[#This Row],[Ставка за ТТН]]*Таблица1[[#This Row],[ТТН]],0)</f>
        <v>0</v>
      </c>
    </row>
    <row r="219" spans="1:21" x14ac:dyDescent="0.25">
      <c r="A219" t="s">
        <v>84</v>
      </c>
      <c r="B219" s="24">
        <v>17</v>
      </c>
      <c r="C219" t="s">
        <v>106</v>
      </c>
      <c r="D219" t="s">
        <v>28</v>
      </c>
      <c r="E219" t="s">
        <v>214</v>
      </c>
      <c r="F219" t="s">
        <v>28</v>
      </c>
      <c r="H219" t="s">
        <v>29</v>
      </c>
      <c r="I219" t="s">
        <v>217</v>
      </c>
      <c r="J219">
        <v>8</v>
      </c>
      <c r="N219">
        <f>Таблица1[[#This Row],[Часов на заказчика  в работе]]+Таблица1[[#This Row],[Часов на заказчика  дежурство]]</f>
        <v>0</v>
      </c>
      <c r="O2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" s="9">
        <v>100000</v>
      </c>
      <c r="R219" s="9"/>
      <c r="S219" s="5">
        <v>1</v>
      </c>
      <c r="T2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табеле]])*S219,0)</f>
        <v>0</v>
      </c>
      <c r="U219" s="5">
        <f>IF(Таблица1[[#This Row],[ТТН]]&gt;0,Таблица1[[#This Row],[Ставка за ТТН]]*Таблица1[[#This Row],[ТТН]],0)</f>
        <v>0</v>
      </c>
    </row>
    <row r="220" spans="1:21" x14ac:dyDescent="0.25">
      <c r="A220" t="s">
        <v>84</v>
      </c>
      <c r="B220" s="24">
        <v>18</v>
      </c>
      <c r="C220" t="s">
        <v>106</v>
      </c>
      <c r="D220" t="s">
        <v>28</v>
      </c>
      <c r="E220" t="s">
        <v>214</v>
      </c>
      <c r="F220" t="s">
        <v>28</v>
      </c>
      <c r="H220" t="s">
        <v>29</v>
      </c>
      <c r="I220" t="s">
        <v>217</v>
      </c>
      <c r="J220">
        <v>8</v>
      </c>
      <c r="N220">
        <f>Таблица1[[#This Row],[Часов на заказчика  в работе]]+Таблица1[[#This Row],[Часов на заказчика  дежурство]]</f>
        <v>0</v>
      </c>
      <c r="O2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" s="9">
        <v>100000</v>
      </c>
      <c r="R220" s="9"/>
      <c r="S220" s="5">
        <v>1</v>
      </c>
      <c r="T2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табеле]])*S220,0)</f>
        <v>0</v>
      </c>
      <c r="U220" s="5">
        <f>IF(Таблица1[[#This Row],[ТТН]]&gt;0,Таблица1[[#This Row],[Ставка за ТТН]]*Таблица1[[#This Row],[ТТН]],0)</f>
        <v>0</v>
      </c>
    </row>
    <row r="221" spans="1:21" x14ac:dyDescent="0.25">
      <c r="A221" t="s">
        <v>84</v>
      </c>
      <c r="B221" s="24">
        <v>19</v>
      </c>
      <c r="C221" t="s">
        <v>106</v>
      </c>
      <c r="D221" t="s">
        <v>28</v>
      </c>
      <c r="E221" t="s">
        <v>214</v>
      </c>
      <c r="F221" t="s">
        <v>28</v>
      </c>
      <c r="H221" t="s">
        <v>29</v>
      </c>
      <c r="I221" t="s">
        <v>217</v>
      </c>
      <c r="J221">
        <v>8</v>
      </c>
      <c r="N221">
        <f>Таблица1[[#This Row],[Часов на заказчика  в работе]]+Таблица1[[#This Row],[Часов на заказчика  дежурство]]</f>
        <v>0</v>
      </c>
      <c r="O2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" s="9">
        <v>100000</v>
      </c>
      <c r="R221" s="9"/>
      <c r="S221" s="5">
        <v>1</v>
      </c>
      <c r="T2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табеле]])*S221,0)</f>
        <v>0</v>
      </c>
      <c r="U221" s="5">
        <f>IF(Таблица1[[#This Row],[ТТН]]&gt;0,Таблица1[[#This Row],[Ставка за ТТН]]*Таблица1[[#This Row],[ТТН]],0)</f>
        <v>0</v>
      </c>
    </row>
    <row r="222" spans="1:21" x14ac:dyDescent="0.25">
      <c r="A222" t="s">
        <v>84</v>
      </c>
      <c r="B222" s="24">
        <v>20</v>
      </c>
      <c r="C222" t="s">
        <v>106</v>
      </c>
      <c r="D222" t="s">
        <v>28</v>
      </c>
      <c r="E222" t="s">
        <v>214</v>
      </c>
      <c r="F222" t="s">
        <v>28</v>
      </c>
      <c r="H222" t="s">
        <v>30</v>
      </c>
      <c r="I222" t="s">
        <v>217</v>
      </c>
      <c r="J222">
        <v>1</v>
      </c>
      <c r="N222">
        <f>Таблица1[[#This Row],[Часов на заказчика  в работе]]+Таблица1[[#This Row],[Часов на заказчика  дежурство]]</f>
        <v>0</v>
      </c>
      <c r="O2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" s="9">
        <v>100000</v>
      </c>
      <c r="R222" s="9"/>
      <c r="S222" s="5">
        <v>1</v>
      </c>
      <c r="T2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табеле]])*S222,0)</f>
        <v>0</v>
      </c>
      <c r="U222" s="5">
        <f>IF(Таблица1[[#This Row],[ТТН]]&gt;0,Таблица1[[#This Row],[Ставка за ТТН]]*Таблица1[[#This Row],[ТТН]],0)</f>
        <v>0</v>
      </c>
    </row>
    <row r="223" spans="1:21" x14ac:dyDescent="0.25">
      <c r="A223" t="s">
        <v>84</v>
      </c>
      <c r="B223" s="24">
        <v>21</v>
      </c>
      <c r="C223" t="s">
        <v>106</v>
      </c>
      <c r="D223" t="s">
        <v>28</v>
      </c>
      <c r="E223" t="s">
        <v>214</v>
      </c>
      <c r="F223" t="s">
        <v>28</v>
      </c>
      <c r="H223" t="s">
        <v>30</v>
      </c>
      <c r="I223" t="s">
        <v>217</v>
      </c>
      <c r="J223">
        <v>1</v>
      </c>
      <c r="N223">
        <f>Таблица1[[#This Row],[Часов на заказчика  в работе]]+Таблица1[[#This Row],[Часов на заказчика  дежурство]]</f>
        <v>0</v>
      </c>
      <c r="O2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" s="9">
        <v>100000</v>
      </c>
      <c r="R223" s="9"/>
      <c r="S223" s="5">
        <v>1</v>
      </c>
      <c r="T2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табеле]])*S223,0)</f>
        <v>0</v>
      </c>
      <c r="U223" s="5">
        <f>IF(Таблица1[[#This Row],[ТТН]]&gt;0,Таблица1[[#This Row],[Ставка за ТТН]]*Таблица1[[#This Row],[ТТН]],0)</f>
        <v>0</v>
      </c>
    </row>
    <row r="224" spans="1:21" x14ac:dyDescent="0.25">
      <c r="A224" t="s">
        <v>84</v>
      </c>
      <c r="B224" s="24">
        <v>22</v>
      </c>
      <c r="C224" t="s">
        <v>106</v>
      </c>
      <c r="D224" t="s">
        <v>28</v>
      </c>
      <c r="E224" t="s">
        <v>214</v>
      </c>
      <c r="F224" t="s">
        <v>28</v>
      </c>
      <c r="H224" t="s">
        <v>29</v>
      </c>
      <c r="I224" t="s">
        <v>217</v>
      </c>
      <c r="J224">
        <v>8</v>
      </c>
      <c r="N224">
        <f>Таблица1[[#This Row],[Часов на заказчика  в работе]]+Таблица1[[#This Row],[Часов на заказчика  дежурство]]</f>
        <v>0</v>
      </c>
      <c r="O2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" s="9">
        <v>100000</v>
      </c>
      <c r="R224" s="9"/>
      <c r="S224" s="5">
        <v>1</v>
      </c>
      <c r="T2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табеле]])*S224,0)</f>
        <v>0</v>
      </c>
      <c r="U224" s="5">
        <f>IF(Таблица1[[#This Row],[ТТН]]&gt;0,Таблица1[[#This Row],[Ставка за ТТН]]*Таблица1[[#This Row],[ТТН]],0)</f>
        <v>0</v>
      </c>
    </row>
    <row r="225" spans="1:21" x14ac:dyDescent="0.25">
      <c r="A225" t="s">
        <v>84</v>
      </c>
      <c r="B225" s="24">
        <v>23</v>
      </c>
      <c r="C225" t="s">
        <v>106</v>
      </c>
      <c r="D225" t="s">
        <v>28</v>
      </c>
      <c r="E225" t="s">
        <v>214</v>
      </c>
      <c r="F225" t="s">
        <v>28</v>
      </c>
      <c r="H225" t="s">
        <v>29</v>
      </c>
      <c r="I225" t="s">
        <v>217</v>
      </c>
      <c r="J225">
        <v>8</v>
      </c>
      <c r="N225">
        <f>Таблица1[[#This Row],[Часов на заказчика  в работе]]+Таблица1[[#This Row],[Часов на заказчика  дежурство]]</f>
        <v>0</v>
      </c>
      <c r="O2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" s="9">
        <v>100000</v>
      </c>
      <c r="R225" s="9"/>
      <c r="S225" s="5">
        <v>1</v>
      </c>
      <c r="T2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табеле]])*S225,0)</f>
        <v>0</v>
      </c>
      <c r="U225" s="5">
        <f>IF(Таблица1[[#This Row],[ТТН]]&gt;0,Таблица1[[#This Row],[Ставка за ТТН]]*Таблица1[[#This Row],[ТТН]],0)</f>
        <v>0</v>
      </c>
    </row>
    <row r="226" spans="1:21" x14ac:dyDescent="0.25">
      <c r="A226" t="s">
        <v>84</v>
      </c>
      <c r="B226" s="24">
        <v>24</v>
      </c>
      <c r="C226" t="s">
        <v>106</v>
      </c>
      <c r="D226" t="s">
        <v>28</v>
      </c>
      <c r="E226" t="s">
        <v>214</v>
      </c>
      <c r="F226" t="s">
        <v>28</v>
      </c>
      <c r="H226" t="s">
        <v>29</v>
      </c>
      <c r="I226" t="s">
        <v>217</v>
      </c>
      <c r="J226">
        <v>8</v>
      </c>
      <c r="N226">
        <f>Таблица1[[#This Row],[Часов на заказчика  в работе]]+Таблица1[[#This Row],[Часов на заказчика  дежурство]]</f>
        <v>0</v>
      </c>
      <c r="O2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" s="9">
        <v>100000</v>
      </c>
      <c r="R226" s="9"/>
      <c r="S226" s="5">
        <v>1</v>
      </c>
      <c r="T2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табеле]])*S226,0)</f>
        <v>0</v>
      </c>
      <c r="U226" s="5">
        <f>IF(Таблица1[[#This Row],[ТТН]]&gt;0,Таблица1[[#This Row],[Ставка за ТТН]]*Таблица1[[#This Row],[ТТН]],0)</f>
        <v>0</v>
      </c>
    </row>
    <row r="227" spans="1:21" x14ac:dyDescent="0.25">
      <c r="A227" t="s">
        <v>84</v>
      </c>
      <c r="B227" s="24">
        <v>25</v>
      </c>
      <c r="C227" t="s">
        <v>106</v>
      </c>
      <c r="D227" t="s">
        <v>28</v>
      </c>
      <c r="E227" t="s">
        <v>214</v>
      </c>
      <c r="F227" t="s">
        <v>28</v>
      </c>
      <c r="H227" t="s">
        <v>29</v>
      </c>
      <c r="I227" t="s">
        <v>217</v>
      </c>
      <c r="J227">
        <v>8</v>
      </c>
      <c r="N227">
        <f>Таблица1[[#This Row],[Часов на заказчика  в работе]]+Таблица1[[#This Row],[Часов на заказчика  дежурство]]</f>
        <v>0</v>
      </c>
      <c r="O2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" s="9">
        <v>100000</v>
      </c>
      <c r="R227" s="9"/>
      <c r="S227" s="5">
        <v>1</v>
      </c>
      <c r="T2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табеле]])*S227,0)</f>
        <v>0</v>
      </c>
      <c r="U227" s="5">
        <f>IF(Таблица1[[#This Row],[ТТН]]&gt;0,Таблица1[[#This Row],[Ставка за ТТН]]*Таблица1[[#This Row],[ТТН]],0)</f>
        <v>0</v>
      </c>
    </row>
    <row r="228" spans="1:21" x14ac:dyDescent="0.25">
      <c r="A228" t="s">
        <v>84</v>
      </c>
      <c r="B228" s="24">
        <v>26</v>
      </c>
      <c r="C228" t="s">
        <v>106</v>
      </c>
      <c r="D228" t="s">
        <v>28</v>
      </c>
      <c r="E228" t="s">
        <v>214</v>
      </c>
      <c r="F228" t="s">
        <v>28</v>
      </c>
      <c r="H228" t="s">
        <v>29</v>
      </c>
      <c r="I228" t="s">
        <v>217</v>
      </c>
      <c r="J228">
        <v>8</v>
      </c>
      <c r="N228">
        <f>Таблица1[[#This Row],[Часов на заказчика  в работе]]+Таблица1[[#This Row],[Часов на заказчика  дежурство]]</f>
        <v>0</v>
      </c>
      <c r="O2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" s="9">
        <v>100000</v>
      </c>
      <c r="R228" s="9"/>
      <c r="S228" s="5">
        <v>1</v>
      </c>
      <c r="T2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табеле]])*S228,0)</f>
        <v>0</v>
      </c>
      <c r="U228" s="5">
        <f>IF(Таблица1[[#This Row],[ТТН]]&gt;0,Таблица1[[#This Row],[Ставка за ТТН]]*Таблица1[[#This Row],[ТТН]],0)</f>
        <v>0</v>
      </c>
    </row>
    <row r="229" spans="1:21" x14ac:dyDescent="0.25">
      <c r="A229" t="s">
        <v>84</v>
      </c>
      <c r="B229" s="24">
        <v>27</v>
      </c>
      <c r="C229" t="s">
        <v>106</v>
      </c>
      <c r="D229" t="s">
        <v>28</v>
      </c>
      <c r="E229" t="s">
        <v>214</v>
      </c>
      <c r="F229" t="s">
        <v>28</v>
      </c>
      <c r="H229" t="s">
        <v>30</v>
      </c>
      <c r="I229" t="s">
        <v>217</v>
      </c>
      <c r="J229">
        <v>1</v>
      </c>
      <c r="N229">
        <f>Таблица1[[#This Row],[Часов на заказчика  в работе]]+Таблица1[[#This Row],[Часов на заказчика  дежурство]]</f>
        <v>0</v>
      </c>
      <c r="O2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" s="9">
        <v>100000</v>
      </c>
      <c r="R229" s="9"/>
      <c r="S229" s="5">
        <v>1</v>
      </c>
      <c r="T2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табеле]])*S229,0)</f>
        <v>0</v>
      </c>
      <c r="U229" s="5">
        <f>IF(Таблица1[[#This Row],[ТТН]]&gt;0,Таблица1[[#This Row],[Ставка за ТТН]]*Таблица1[[#This Row],[ТТН]],0)</f>
        <v>0</v>
      </c>
    </row>
    <row r="230" spans="1:21" x14ac:dyDescent="0.25">
      <c r="A230" t="s">
        <v>84</v>
      </c>
      <c r="B230" s="24">
        <v>28</v>
      </c>
      <c r="C230" t="s">
        <v>106</v>
      </c>
      <c r="D230" t="s">
        <v>28</v>
      </c>
      <c r="E230" t="s">
        <v>214</v>
      </c>
      <c r="F230" t="s">
        <v>28</v>
      </c>
      <c r="H230" t="s">
        <v>30</v>
      </c>
      <c r="I230" t="s">
        <v>217</v>
      </c>
      <c r="J230">
        <v>1</v>
      </c>
      <c r="N230">
        <f>Таблица1[[#This Row],[Часов на заказчика  в работе]]+Таблица1[[#This Row],[Часов на заказчика  дежурство]]</f>
        <v>0</v>
      </c>
      <c r="O2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" s="9">
        <v>100000</v>
      </c>
      <c r="R230" s="9"/>
      <c r="S230" s="5">
        <v>1</v>
      </c>
      <c r="T2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табеле]])*S230,0)</f>
        <v>0</v>
      </c>
      <c r="U230" s="5">
        <f>IF(Таблица1[[#This Row],[ТТН]]&gt;0,Таблица1[[#This Row],[Ставка за ТТН]]*Таблица1[[#This Row],[ТТН]],0)</f>
        <v>0</v>
      </c>
    </row>
    <row r="231" spans="1:21" x14ac:dyDescent="0.25">
      <c r="A231" t="s">
        <v>84</v>
      </c>
      <c r="B231" s="24">
        <v>29</v>
      </c>
      <c r="C231" t="s">
        <v>106</v>
      </c>
      <c r="D231" t="s">
        <v>28</v>
      </c>
      <c r="E231" t="s">
        <v>214</v>
      </c>
      <c r="F231" t="s">
        <v>28</v>
      </c>
      <c r="H231" t="s">
        <v>29</v>
      </c>
      <c r="I231" t="s">
        <v>217</v>
      </c>
      <c r="J231">
        <v>8</v>
      </c>
      <c r="N231">
        <f>Таблица1[[#This Row],[Часов на заказчика  в работе]]+Таблица1[[#This Row],[Часов на заказчика  дежурство]]</f>
        <v>0</v>
      </c>
      <c r="O2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" s="9">
        <v>100000</v>
      </c>
      <c r="R231" s="9"/>
      <c r="S231" s="5">
        <v>1</v>
      </c>
      <c r="T2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табеле]])*S231,0)</f>
        <v>0</v>
      </c>
      <c r="U231" s="5">
        <f>IF(Таблица1[[#This Row],[ТТН]]&gt;0,Таблица1[[#This Row],[Ставка за ТТН]]*Таблица1[[#This Row],[ТТН]],0)</f>
        <v>0</v>
      </c>
    </row>
    <row r="232" spans="1:21" x14ac:dyDescent="0.25">
      <c r="A232" t="s">
        <v>84</v>
      </c>
      <c r="B232" s="24">
        <v>30</v>
      </c>
      <c r="C232" t="s">
        <v>107</v>
      </c>
      <c r="D232" t="s">
        <v>28</v>
      </c>
      <c r="E232" t="s">
        <v>214</v>
      </c>
      <c r="F232" t="s">
        <v>28</v>
      </c>
      <c r="H232" t="s">
        <v>29</v>
      </c>
      <c r="I232" t="s">
        <v>217</v>
      </c>
      <c r="J232">
        <v>8</v>
      </c>
      <c r="N232">
        <f>Таблица1[[#This Row],[Часов на заказчика  в работе]]+Таблица1[[#This Row],[Часов на заказчика  дежурство]]</f>
        <v>0</v>
      </c>
      <c r="O2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" s="9">
        <v>100000</v>
      </c>
      <c r="R232" s="9"/>
      <c r="S232" s="5">
        <v>1</v>
      </c>
      <c r="T2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табеле]])*S232,0)</f>
        <v>0</v>
      </c>
      <c r="U232" s="5">
        <f>IF(Таблица1[[#This Row],[ТТН]]&gt;0,Таблица1[[#This Row],[Ставка за ТТН]]*Таблица1[[#This Row],[ТТН]],0)</f>
        <v>0</v>
      </c>
    </row>
    <row r="233" spans="1:21" x14ac:dyDescent="0.25">
      <c r="A233" t="s">
        <v>84</v>
      </c>
      <c r="B233" s="24">
        <v>1</v>
      </c>
      <c r="C233" t="s">
        <v>107</v>
      </c>
      <c r="D233" t="s">
        <v>28</v>
      </c>
      <c r="E233" t="s">
        <v>214</v>
      </c>
      <c r="F233" t="s">
        <v>28</v>
      </c>
      <c r="H233" t="s">
        <v>10</v>
      </c>
      <c r="I233" t="s">
        <v>220</v>
      </c>
      <c r="J233">
        <v>11</v>
      </c>
      <c r="L233">
        <v>11</v>
      </c>
      <c r="N233">
        <f>Таблица1[[#This Row],[Часов на заказчика  в работе]]+Таблица1[[#This Row],[Часов на заказчика  дежурство]]</f>
        <v>11</v>
      </c>
      <c r="O2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" s="9">
        <v>100000</v>
      </c>
      <c r="R233" s="9"/>
      <c r="S233" s="5">
        <v>1</v>
      </c>
      <c r="T2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табеле]])*S233,0)</f>
        <v>3333.333333333333</v>
      </c>
      <c r="U233" s="5">
        <f>IF(Таблица1[[#This Row],[ТТН]]&gt;0,Таблица1[[#This Row],[Ставка за ТТН]]*Таблица1[[#This Row],[ТТН]],0)</f>
        <v>0</v>
      </c>
    </row>
    <row r="234" spans="1:21" x14ac:dyDescent="0.25">
      <c r="A234" t="s">
        <v>84</v>
      </c>
      <c r="B234" s="24">
        <v>2</v>
      </c>
      <c r="C234" t="s">
        <v>107</v>
      </c>
      <c r="D234" t="s">
        <v>28</v>
      </c>
      <c r="E234" t="s">
        <v>214</v>
      </c>
      <c r="F234" t="s">
        <v>28</v>
      </c>
      <c r="H234" t="s">
        <v>10</v>
      </c>
      <c r="I234" t="s">
        <v>220</v>
      </c>
      <c r="J234">
        <v>22</v>
      </c>
      <c r="L234">
        <v>22</v>
      </c>
      <c r="N234">
        <f>Таблица1[[#This Row],[Часов на заказчика  в работе]]+Таблица1[[#This Row],[Часов на заказчика  дежурство]]</f>
        <v>22</v>
      </c>
      <c r="O2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" s="9">
        <v>100000</v>
      </c>
      <c r="R234" s="9"/>
      <c r="S234" s="5">
        <v>1</v>
      </c>
      <c r="T2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табеле]])*S234,0)</f>
        <v>6666.6666666666661</v>
      </c>
      <c r="U234" s="5">
        <f>IF(Таблица1[[#This Row],[ТТН]]&gt;0,Таблица1[[#This Row],[Ставка за ТТН]]*Таблица1[[#This Row],[ТТН]],0)</f>
        <v>0</v>
      </c>
    </row>
    <row r="235" spans="1:21" x14ac:dyDescent="0.25">
      <c r="A235" t="s">
        <v>84</v>
      </c>
      <c r="B235" s="24">
        <v>3</v>
      </c>
      <c r="C235" t="s">
        <v>107</v>
      </c>
      <c r="D235" t="s">
        <v>28</v>
      </c>
      <c r="E235" t="s">
        <v>214</v>
      </c>
      <c r="F235" t="s">
        <v>28</v>
      </c>
      <c r="H235" t="s">
        <v>10</v>
      </c>
      <c r="I235" t="s">
        <v>220</v>
      </c>
      <c r="J235">
        <v>11</v>
      </c>
      <c r="L235">
        <v>11</v>
      </c>
      <c r="N235">
        <f>Таблица1[[#This Row],[Часов на заказчика  в работе]]+Таблица1[[#This Row],[Часов на заказчика  дежурство]]</f>
        <v>11</v>
      </c>
      <c r="O2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" s="9">
        <v>100000</v>
      </c>
      <c r="R235" s="9"/>
      <c r="S235" s="5">
        <v>1</v>
      </c>
      <c r="T2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табеле]])*S235,0)</f>
        <v>3333.333333333333</v>
      </c>
      <c r="U235" s="5">
        <f>IF(Таблица1[[#This Row],[ТТН]]&gt;0,Таблица1[[#This Row],[Ставка за ТТН]]*Таблица1[[#This Row],[ТТН]],0)</f>
        <v>0</v>
      </c>
    </row>
    <row r="236" spans="1:21" x14ac:dyDescent="0.25">
      <c r="A236" t="s">
        <v>84</v>
      </c>
      <c r="B236" s="24">
        <v>4</v>
      </c>
      <c r="C236" t="s">
        <v>107</v>
      </c>
      <c r="D236" t="s">
        <v>28</v>
      </c>
      <c r="E236" t="s">
        <v>214</v>
      </c>
      <c r="F236" t="s">
        <v>28</v>
      </c>
      <c r="H236" t="s">
        <v>10</v>
      </c>
      <c r="I236" t="s">
        <v>220</v>
      </c>
      <c r="J236">
        <v>11</v>
      </c>
      <c r="L236">
        <v>11</v>
      </c>
      <c r="N236">
        <f>Таблица1[[#This Row],[Часов на заказчика  в работе]]+Таблица1[[#This Row],[Часов на заказчика  дежурство]]</f>
        <v>11</v>
      </c>
      <c r="O2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" s="9">
        <v>100000</v>
      </c>
      <c r="R236" s="9"/>
      <c r="S236" s="5">
        <v>1</v>
      </c>
      <c r="T2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табеле]])*S236,0)</f>
        <v>3333.333333333333</v>
      </c>
      <c r="U236" s="5">
        <f>IF(Таблица1[[#This Row],[ТТН]]&gt;0,Таблица1[[#This Row],[Ставка за ТТН]]*Таблица1[[#This Row],[ТТН]],0)</f>
        <v>0</v>
      </c>
    </row>
    <row r="237" spans="1:21" x14ac:dyDescent="0.25">
      <c r="A237" t="s">
        <v>84</v>
      </c>
      <c r="B237" s="24">
        <v>5</v>
      </c>
      <c r="C237" t="s">
        <v>107</v>
      </c>
      <c r="D237" t="s">
        <v>28</v>
      </c>
      <c r="E237" t="s">
        <v>214</v>
      </c>
      <c r="F237" t="s">
        <v>28</v>
      </c>
      <c r="H237" t="s">
        <v>10</v>
      </c>
      <c r="I237" t="s">
        <v>220</v>
      </c>
      <c r="J237">
        <v>11</v>
      </c>
      <c r="L237">
        <v>11</v>
      </c>
      <c r="N237">
        <f>Таблица1[[#This Row],[Часов на заказчика  в работе]]+Таблица1[[#This Row],[Часов на заказчика  дежурство]]</f>
        <v>11</v>
      </c>
      <c r="O2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" s="9">
        <v>100000</v>
      </c>
      <c r="R237" s="9"/>
      <c r="S237" s="5">
        <v>1</v>
      </c>
      <c r="T2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табеле]])*S237,0)</f>
        <v>3333.333333333333</v>
      </c>
      <c r="U237" s="5">
        <f>IF(Таблица1[[#This Row],[ТТН]]&gt;0,Таблица1[[#This Row],[Ставка за ТТН]]*Таблица1[[#This Row],[ТТН]],0)</f>
        <v>0</v>
      </c>
    </row>
    <row r="238" spans="1:21" x14ac:dyDescent="0.25">
      <c r="A238" t="s">
        <v>84</v>
      </c>
      <c r="B238" s="24">
        <v>6</v>
      </c>
      <c r="C238" t="s">
        <v>107</v>
      </c>
      <c r="D238" t="s">
        <v>28</v>
      </c>
      <c r="E238" t="s">
        <v>214</v>
      </c>
      <c r="F238" t="s">
        <v>28</v>
      </c>
      <c r="H238" t="s">
        <v>10</v>
      </c>
      <c r="I238" t="s">
        <v>220</v>
      </c>
      <c r="J238">
        <v>11</v>
      </c>
      <c r="L238">
        <v>11</v>
      </c>
      <c r="N238">
        <f>Таблица1[[#This Row],[Часов на заказчика  в работе]]+Таблица1[[#This Row],[Часов на заказчика  дежурство]]</f>
        <v>11</v>
      </c>
      <c r="O2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" s="9">
        <v>100000</v>
      </c>
      <c r="R238" s="9"/>
      <c r="S238" s="5">
        <v>1</v>
      </c>
      <c r="T2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табеле]])*S238,0)</f>
        <v>3333.333333333333</v>
      </c>
      <c r="U238" s="5">
        <f>IF(Таблица1[[#This Row],[ТТН]]&gt;0,Таблица1[[#This Row],[Ставка за ТТН]]*Таблица1[[#This Row],[ТТН]],0)</f>
        <v>0</v>
      </c>
    </row>
    <row r="239" spans="1:21" x14ac:dyDescent="0.25">
      <c r="A239" t="s">
        <v>84</v>
      </c>
      <c r="B239" s="24">
        <v>7</v>
      </c>
      <c r="C239" t="s">
        <v>107</v>
      </c>
      <c r="D239" t="s">
        <v>28</v>
      </c>
      <c r="E239" t="s">
        <v>214</v>
      </c>
      <c r="F239" t="s">
        <v>28</v>
      </c>
      <c r="H239" t="s">
        <v>10</v>
      </c>
      <c r="I239" t="s">
        <v>220</v>
      </c>
      <c r="J239">
        <v>22</v>
      </c>
      <c r="L239">
        <v>22</v>
      </c>
      <c r="N239">
        <f>Таблица1[[#This Row],[Часов на заказчика  в работе]]+Таблица1[[#This Row],[Часов на заказчика  дежурство]]</f>
        <v>22</v>
      </c>
      <c r="O2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" s="9">
        <v>100000</v>
      </c>
      <c r="R239" s="9"/>
      <c r="S239" s="5">
        <v>1</v>
      </c>
      <c r="T2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табеле]])*S239,0)</f>
        <v>6666.6666666666661</v>
      </c>
      <c r="U239" s="5">
        <f>IF(Таблица1[[#This Row],[ТТН]]&gt;0,Таблица1[[#This Row],[Ставка за ТТН]]*Таблица1[[#This Row],[ТТН]],0)</f>
        <v>0</v>
      </c>
    </row>
    <row r="240" spans="1:21" x14ac:dyDescent="0.25">
      <c r="A240" t="s">
        <v>84</v>
      </c>
      <c r="B240" s="24">
        <v>8</v>
      </c>
      <c r="C240" t="s">
        <v>107</v>
      </c>
      <c r="D240" t="s">
        <v>28</v>
      </c>
      <c r="E240" t="s">
        <v>214</v>
      </c>
      <c r="F240" t="s">
        <v>28</v>
      </c>
      <c r="H240" t="s">
        <v>10</v>
      </c>
      <c r="I240" t="s">
        <v>220</v>
      </c>
      <c r="J240">
        <v>11</v>
      </c>
      <c r="L240">
        <v>11</v>
      </c>
      <c r="N240">
        <f>Таблица1[[#This Row],[Часов на заказчика  в работе]]+Таблица1[[#This Row],[Часов на заказчика  дежурство]]</f>
        <v>11</v>
      </c>
      <c r="O2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" s="9">
        <v>100000</v>
      </c>
      <c r="R240" s="9"/>
      <c r="S240" s="5">
        <v>1</v>
      </c>
      <c r="T2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табеле]])*S240,0)</f>
        <v>3333.333333333333</v>
      </c>
      <c r="U240" s="5">
        <f>IF(Таблица1[[#This Row],[ТТН]]&gt;0,Таблица1[[#This Row],[Ставка за ТТН]]*Таблица1[[#This Row],[ТТН]],0)</f>
        <v>0</v>
      </c>
    </row>
    <row r="241" spans="1:21" x14ac:dyDescent="0.25">
      <c r="A241" t="s">
        <v>84</v>
      </c>
      <c r="B241" s="24">
        <v>9</v>
      </c>
      <c r="C241" t="s">
        <v>107</v>
      </c>
      <c r="D241" t="s">
        <v>28</v>
      </c>
      <c r="E241" t="s">
        <v>214</v>
      </c>
      <c r="F241" t="s">
        <v>28</v>
      </c>
      <c r="H241" t="s">
        <v>10</v>
      </c>
      <c r="I241" t="s">
        <v>220</v>
      </c>
      <c r="J241">
        <v>22</v>
      </c>
      <c r="L241">
        <v>22</v>
      </c>
      <c r="N241">
        <f>Таблица1[[#This Row],[Часов на заказчика  в работе]]+Таблица1[[#This Row],[Часов на заказчика  дежурство]]</f>
        <v>22</v>
      </c>
      <c r="O2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" s="9">
        <v>100000</v>
      </c>
      <c r="R241" s="9"/>
      <c r="S241" s="5">
        <v>1</v>
      </c>
      <c r="T2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табеле]])*S241,0)</f>
        <v>6666.6666666666661</v>
      </c>
      <c r="U241" s="5">
        <f>IF(Таблица1[[#This Row],[ТТН]]&gt;0,Таблица1[[#This Row],[Ставка за ТТН]]*Таблица1[[#This Row],[ТТН]],0)</f>
        <v>0</v>
      </c>
    </row>
    <row r="242" spans="1:21" x14ac:dyDescent="0.25">
      <c r="A242" t="s">
        <v>84</v>
      </c>
      <c r="B242" s="24">
        <v>10</v>
      </c>
      <c r="C242" t="s">
        <v>107</v>
      </c>
      <c r="D242" t="s">
        <v>28</v>
      </c>
      <c r="E242" t="s">
        <v>214</v>
      </c>
      <c r="F242" t="s">
        <v>28</v>
      </c>
      <c r="H242" t="s">
        <v>10</v>
      </c>
      <c r="I242" t="s">
        <v>220</v>
      </c>
      <c r="J242">
        <v>22</v>
      </c>
      <c r="L242">
        <v>22</v>
      </c>
      <c r="N242">
        <f>Таблица1[[#This Row],[Часов на заказчика  в работе]]+Таблица1[[#This Row],[Часов на заказчика  дежурство]]</f>
        <v>22</v>
      </c>
      <c r="O2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" s="9">
        <v>100000</v>
      </c>
      <c r="R242" s="9"/>
      <c r="S242" s="5">
        <v>1</v>
      </c>
      <c r="T2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табеле]])*S242,0)</f>
        <v>6666.6666666666661</v>
      </c>
      <c r="U242" s="5">
        <f>IF(Таблица1[[#This Row],[ТТН]]&gt;0,Таблица1[[#This Row],[Ставка за ТТН]]*Таблица1[[#This Row],[ТТН]],0)</f>
        <v>0</v>
      </c>
    </row>
    <row r="243" spans="1:21" x14ac:dyDescent="0.25">
      <c r="A243" t="s">
        <v>84</v>
      </c>
      <c r="B243" s="24">
        <v>11</v>
      </c>
      <c r="C243" t="s">
        <v>107</v>
      </c>
      <c r="D243" t="s">
        <v>28</v>
      </c>
      <c r="E243" t="s">
        <v>214</v>
      </c>
      <c r="F243" t="s">
        <v>28</v>
      </c>
      <c r="H243" t="s">
        <v>10</v>
      </c>
      <c r="I243" t="s">
        <v>220</v>
      </c>
      <c r="J243">
        <v>22</v>
      </c>
      <c r="L243">
        <v>22</v>
      </c>
      <c r="N243">
        <f>Таблица1[[#This Row],[Часов на заказчика  в работе]]+Таблица1[[#This Row],[Часов на заказчика  дежурство]]</f>
        <v>22</v>
      </c>
      <c r="O2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" s="9">
        <v>100000</v>
      </c>
      <c r="R243" s="9"/>
      <c r="S243" s="5">
        <v>1</v>
      </c>
      <c r="T2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табеле]])*S243,0)</f>
        <v>6666.6666666666661</v>
      </c>
      <c r="U243" s="5">
        <f>IF(Таблица1[[#This Row],[ТТН]]&gt;0,Таблица1[[#This Row],[Ставка за ТТН]]*Таблица1[[#This Row],[ТТН]],0)</f>
        <v>0</v>
      </c>
    </row>
    <row r="244" spans="1:21" x14ac:dyDescent="0.25">
      <c r="A244" t="s">
        <v>84</v>
      </c>
      <c r="B244" s="24">
        <v>12</v>
      </c>
      <c r="C244" t="s">
        <v>107</v>
      </c>
      <c r="D244" t="s">
        <v>28</v>
      </c>
      <c r="E244" t="s">
        <v>214</v>
      </c>
      <c r="F244" t="s">
        <v>28</v>
      </c>
      <c r="H244" t="s">
        <v>10</v>
      </c>
      <c r="I244" t="s">
        <v>220</v>
      </c>
      <c r="J244">
        <v>22</v>
      </c>
      <c r="L244">
        <v>22</v>
      </c>
      <c r="N244">
        <f>Таблица1[[#This Row],[Часов на заказчика  в работе]]+Таблица1[[#This Row],[Часов на заказчика  дежурство]]</f>
        <v>22</v>
      </c>
      <c r="O2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" s="9">
        <v>100000</v>
      </c>
      <c r="R244" s="9"/>
      <c r="S244" s="5">
        <v>1</v>
      </c>
      <c r="T2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табеле]])*S244,0)</f>
        <v>6666.6666666666661</v>
      </c>
      <c r="U244" s="5">
        <f>IF(Таблица1[[#This Row],[ТТН]]&gt;0,Таблица1[[#This Row],[Ставка за ТТН]]*Таблица1[[#This Row],[ТТН]],0)</f>
        <v>0</v>
      </c>
    </row>
    <row r="245" spans="1:21" x14ac:dyDescent="0.25">
      <c r="A245" t="s">
        <v>84</v>
      </c>
      <c r="B245" s="24">
        <v>13</v>
      </c>
      <c r="C245" t="s">
        <v>107</v>
      </c>
      <c r="D245" t="s">
        <v>28</v>
      </c>
      <c r="E245" t="s">
        <v>214</v>
      </c>
      <c r="F245" t="s">
        <v>28</v>
      </c>
      <c r="H245" t="s">
        <v>10</v>
      </c>
      <c r="I245" t="s">
        <v>220</v>
      </c>
      <c r="J245">
        <v>11</v>
      </c>
      <c r="L245">
        <v>11</v>
      </c>
      <c r="N245">
        <f>Таблица1[[#This Row],[Часов на заказчика  в работе]]+Таблица1[[#This Row],[Часов на заказчика  дежурство]]</f>
        <v>11</v>
      </c>
      <c r="O2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" s="9">
        <v>100000</v>
      </c>
      <c r="R245" s="9"/>
      <c r="S245" s="5">
        <v>1</v>
      </c>
      <c r="T2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табеле]])*S245,0)</f>
        <v>3333.333333333333</v>
      </c>
      <c r="U245" s="5">
        <f>IF(Таблица1[[#This Row],[ТТН]]&gt;0,Таблица1[[#This Row],[Ставка за ТТН]]*Таблица1[[#This Row],[ТТН]],0)</f>
        <v>0</v>
      </c>
    </row>
    <row r="246" spans="1:21" x14ac:dyDescent="0.25">
      <c r="A246" t="s">
        <v>84</v>
      </c>
      <c r="B246" s="24">
        <v>14</v>
      </c>
      <c r="C246" t="s">
        <v>107</v>
      </c>
      <c r="D246" t="s">
        <v>28</v>
      </c>
      <c r="E246" t="s">
        <v>214</v>
      </c>
      <c r="F246" t="s">
        <v>28</v>
      </c>
      <c r="H246" t="s">
        <v>10</v>
      </c>
      <c r="I246" t="s">
        <v>220</v>
      </c>
      <c r="J246">
        <v>11</v>
      </c>
      <c r="L246">
        <v>11</v>
      </c>
      <c r="N246">
        <f>Таблица1[[#This Row],[Часов на заказчика  в работе]]+Таблица1[[#This Row],[Часов на заказчика  дежурство]]</f>
        <v>11</v>
      </c>
      <c r="O2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" s="9">
        <v>100000</v>
      </c>
      <c r="R246" s="9"/>
      <c r="S246" s="5">
        <v>1</v>
      </c>
      <c r="T2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табеле]])*S246,0)</f>
        <v>3333.333333333333</v>
      </c>
      <c r="U246" s="5">
        <f>IF(Таблица1[[#This Row],[ТТН]]&gt;0,Таблица1[[#This Row],[Ставка за ТТН]]*Таблица1[[#This Row],[ТТН]],0)</f>
        <v>0</v>
      </c>
    </row>
    <row r="247" spans="1:21" x14ac:dyDescent="0.25">
      <c r="A247" t="s">
        <v>84</v>
      </c>
      <c r="B247" s="24">
        <v>15</v>
      </c>
      <c r="C247" t="s">
        <v>107</v>
      </c>
      <c r="D247" t="s">
        <v>28</v>
      </c>
      <c r="E247" t="s">
        <v>214</v>
      </c>
      <c r="F247" t="s">
        <v>28</v>
      </c>
      <c r="H247" t="s">
        <v>10</v>
      </c>
      <c r="I247" t="s">
        <v>220</v>
      </c>
      <c r="J247">
        <v>11</v>
      </c>
      <c r="L247">
        <v>11</v>
      </c>
      <c r="N247">
        <f>Таблица1[[#This Row],[Часов на заказчика  в работе]]+Таблица1[[#This Row],[Часов на заказчика  дежурство]]</f>
        <v>11</v>
      </c>
      <c r="O2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" s="9">
        <v>100000</v>
      </c>
      <c r="R247" s="9"/>
      <c r="S247" s="5">
        <v>1</v>
      </c>
      <c r="T2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табеле]])*S247,0)</f>
        <v>3333.333333333333</v>
      </c>
      <c r="U247" s="5">
        <f>IF(Таблица1[[#This Row],[ТТН]]&gt;0,Таблица1[[#This Row],[Ставка за ТТН]]*Таблица1[[#This Row],[ТТН]],0)</f>
        <v>0</v>
      </c>
    </row>
    <row r="248" spans="1:21" x14ac:dyDescent="0.25">
      <c r="A248" t="s">
        <v>84</v>
      </c>
      <c r="B248" s="24">
        <v>16</v>
      </c>
      <c r="C248" t="s">
        <v>107</v>
      </c>
      <c r="D248" t="s">
        <v>28</v>
      </c>
      <c r="E248" t="s">
        <v>214</v>
      </c>
      <c r="F248" t="s">
        <v>28</v>
      </c>
      <c r="H248" t="s">
        <v>10</v>
      </c>
      <c r="I248" t="s">
        <v>220</v>
      </c>
      <c r="J248">
        <v>11</v>
      </c>
      <c r="L248">
        <v>11</v>
      </c>
      <c r="N248">
        <f>Таблица1[[#This Row],[Часов на заказчика  в работе]]+Таблица1[[#This Row],[Часов на заказчика  дежурство]]</f>
        <v>11</v>
      </c>
      <c r="O2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" s="9">
        <v>100000</v>
      </c>
      <c r="R248" s="9"/>
      <c r="S248" s="5">
        <v>1</v>
      </c>
      <c r="T2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табеле]])*S248,0)</f>
        <v>3333.333333333333</v>
      </c>
      <c r="U248" s="5">
        <f>IF(Таблица1[[#This Row],[ТТН]]&gt;0,Таблица1[[#This Row],[Ставка за ТТН]]*Таблица1[[#This Row],[ТТН]],0)</f>
        <v>0</v>
      </c>
    </row>
    <row r="249" spans="1:21" x14ac:dyDescent="0.25">
      <c r="A249" t="s">
        <v>84</v>
      </c>
      <c r="B249" s="24">
        <v>17</v>
      </c>
      <c r="C249" t="s">
        <v>107</v>
      </c>
      <c r="D249" t="s">
        <v>28</v>
      </c>
      <c r="E249" t="s">
        <v>214</v>
      </c>
      <c r="F249" t="s">
        <v>28</v>
      </c>
      <c r="H249" t="s">
        <v>10</v>
      </c>
      <c r="I249" t="s">
        <v>220</v>
      </c>
      <c r="J249">
        <v>11</v>
      </c>
      <c r="L249">
        <v>11</v>
      </c>
      <c r="N249">
        <f>Таблица1[[#This Row],[Часов на заказчика  в работе]]+Таблица1[[#This Row],[Часов на заказчика  дежурство]]</f>
        <v>11</v>
      </c>
      <c r="O2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" s="9">
        <v>100000</v>
      </c>
      <c r="R249" s="9"/>
      <c r="S249" s="5">
        <v>1</v>
      </c>
      <c r="T2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табеле]])*S249,0)</f>
        <v>3333.333333333333</v>
      </c>
      <c r="U249" s="5">
        <f>IF(Таблица1[[#This Row],[ТТН]]&gt;0,Таблица1[[#This Row],[Ставка за ТТН]]*Таблица1[[#This Row],[ТТН]],0)</f>
        <v>0</v>
      </c>
    </row>
    <row r="250" spans="1:21" x14ac:dyDescent="0.25">
      <c r="A250" t="s">
        <v>84</v>
      </c>
      <c r="B250" s="24">
        <v>18</v>
      </c>
      <c r="C250" t="s">
        <v>107</v>
      </c>
      <c r="D250" t="s">
        <v>28</v>
      </c>
      <c r="E250" t="s">
        <v>214</v>
      </c>
      <c r="F250" t="s">
        <v>28</v>
      </c>
      <c r="H250" t="s">
        <v>10</v>
      </c>
      <c r="I250" t="s">
        <v>220</v>
      </c>
      <c r="J250">
        <v>11</v>
      </c>
      <c r="L250">
        <v>11</v>
      </c>
      <c r="N250">
        <f>Таблица1[[#This Row],[Часов на заказчика  в работе]]+Таблица1[[#This Row],[Часов на заказчика  дежурство]]</f>
        <v>11</v>
      </c>
      <c r="O2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" s="9">
        <v>100000</v>
      </c>
      <c r="R250" s="9"/>
      <c r="S250" s="5">
        <v>1</v>
      </c>
      <c r="T2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табеле]])*S250,0)</f>
        <v>3333.333333333333</v>
      </c>
      <c r="U250" s="5">
        <f>IF(Таблица1[[#This Row],[ТТН]]&gt;0,Таблица1[[#This Row],[Ставка за ТТН]]*Таблица1[[#This Row],[ТТН]],0)</f>
        <v>0</v>
      </c>
    </row>
    <row r="251" spans="1:21" x14ac:dyDescent="0.25">
      <c r="A251" t="s">
        <v>84</v>
      </c>
      <c r="B251" s="24">
        <v>19</v>
      </c>
      <c r="C251" t="s">
        <v>107</v>
      </c>
      <c r="D251" t="s">
        <v>28</v>
      </c>
      <c r="E251" t="s">
        <v>214</v>
      </c>
      <c r="F251" t="s">
        <v>28</v>
      </c>
      <c r="H251" t="s">
        <v>24</v>
      </c>
      <c r="I251" t="s">
        <v>217</v>
      </c>
      <c r="J251">
        <v>8</v>
      </c>
      <c r="N251">
        <f>Таблица1[[#This Row],[Часов на заказчика  в работе]]+Таблица1[[#This Row],[Часов на заказчика  дежурство]]</f>
        <v>0</v>
      </c>
      <c r="O2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" s="9">
        <v>100000</v>
      </c>
      <c r="R251" s="9"/>
      <c r="S251" s="5">
        <v>1</v>
      </c>
      <c r="T2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табеле]])*S251,0)</f>
        <v>0</v>
      </c>
      <c r="U251" s="5">
        <f>IF(Таблица1[[#This Row],[ТТН]]&gt;0,Таблица1[[#This Row],[Ставка за ТТН]]*Таблица1[[#This Row],[ТТН]],0)</f>
        <v>0</v>
      </c>
    </row>
    <row r="252" spans="1:21" x14ac:dyDescent="0.25">
      <c r="A252" t="s">
        <v>84</v>
      </c>
      <c r="B252" s="24">
        <v>20</v>
      </c>
      <c r="C252" t="s">
        <v>107</v>
      </c>
      <c r="D252" t="s">
        <v>28</v>
      </c>
      <c r="E252" t="s">
        <v>214</v>
      </c>
      <c r="F252" t="s">
        <v>28</v>
      </c>
      <c r="H252" t="s">
        <v>24</v>
      </c>
      <c r="I252" t="s">
        <v>217</v>
      </c>
      <c r="J252">
        <v>8</v>
      </c>
      <c r="N252">
        <f>Таблица1[[#This Row],[Часов на заказчика  в работе]]+Таблица1[[#This Row],[Часов на заказчика  дежурство]]</f>
        <v>0</v>
      </c>
      <c r="O2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" s="9">
        <v>100000</v>
      </c>
      <c r="R252" s="9"/>
      <c r="S252" s="5">
        <v>1</v>
      </c>
      <c r="T2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табеле]])*S252,0)</f>
        <v>0</v>
      </c>
      <c r="U252" s="5">
        <f>IF(Таблица1[[#This Row],[ТТН]]&gt;0,Таблица1[[#This Row],[Ставка за ТТН]]*Таблица1[[#This Row],[ТТН]],0)</f>
        <v>0</v>
      </c>
    </row>
    <row r="253" spans="1:21" x14ac:dyDescent="0.25">
      <c r="A253" t="s">
        <v>84</v>
      </c>
      <c r="B253" s="24">
        <v>21</v>
      </c>
      <c r="C253" t="s">
        <v>107</v>
      </c>
      <c r="D253" t="s">
        <v>28</v>
      </c>
      <c r="E253" t="s">
        <v>214</v>
      </c>
      <c r="F253" t="s">
        <v>28</v>
      </c>
      <c r="H253" t="s">
        <v>24</v>
      </c>
      <c r="I253" t="s">
        <v>217</v>
      </c>
      <c r="J253">
        <v>8</v>
      </c>
      <c r="N253">
        <f>Таблица1[[#This Row],[Часов на заказчика  в работе]]+Таблица1[[#This Row],[Часов на заказчика  дежурство]]</f>
        <v>0</v>
      </c>
      <c r="O2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" s="9">
        <v>100000</v>
      </c>
      <c r="R253" s="9"/>
      <c r="S253" s="5">
        <v>1</v>
      </c>
      <c r="T2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табеле]])*S253,0)</f>
        <v>0</v>
      </c>
      <c r="U253" s="5">
        <f>IF(Таблица1[[#This Row],[ТТН]]&gt;0,Таблица1[[#This Row],[Ставка за ТТН]]*Таблица1[[#This Row],[ТТН]],0)</f>
        <v>0</v>
      </c>
    </row>
    <row r="254" spans="1:21" x14ac:dyDescent="0.25">
      <c r="A254" t="s">
        <v>84</v>
      </c>
      <c r="B254" s="24">
        <v>22</v>
      </c>
      <c r="C254" t="s">
        <v>107</v>
      </c>
      <c r="D254" t="s">
        <v>28</v>
      </c>
      <c r="E254" t="s">
        <v>214</v>
      </c>
      <c r="F254" t="s">
        <v>28</v>
      </c>
      <c r="H254" t="s">
        <v>24</v>
      </c>
      <c r="I254" t="s">
        <v>217</v>
      </c>
      <c r="J254">
        <v>8</v>
      </c>
      <c r="N254">
        <f>Таблица1[[#This Row],[Часов на заказчика  в работе]]+Таблица1[[#This Row],[Часов на заказчика  дежурство]]</f>
        <v>0</v>
      </c>
      <c r="O2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" s="9">
        <v>100000</v>
      </c>
      <c r="R254" s="9"/>
      <c r="S254" s="5">
        <v>1</v>
      </c>
      <c r="T2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табеле]])*S254,0)</f>
        <v>0</v>
      </c>
      <c r="U254" s="5">
        <f>IF(Таблица1[[#This Row],[ТТН]]&gt;0,Таблица1[[#This Row],[Ставка за ТТН]]*Таблица1[[#This Row],[ТТН]],0)</f>
        <v>0</v>
      </c>
    </row>
    <row r="255" spans="1:21" x14ac:dyDescent="0.25">
      <c r="A255" t="s">
        <v>84</v>
      </c>
      <c r="B255" s="24">
        <v>23</v>
      </c>
      <c r="C255" t="s">
        <v>107</v>
      </c>
      <c r="D255" t="s">
        <v>28</v>
      </c>
      <c r="E255" t="s">
        <v>214</v>
      </c>
      <c r="F255" t="s">
        <v>28</v>
      </c>
      <c r="H255" t="s">
        <v>29</v>
      </c>
      <c r="I255" t="s">
        <v>217</v>
      </c>
      <c r="J255">
        <v>8</v>
      </c>
      <c r="N255">
        <f>Таблица1[[#This Row],[Часов на заказчика  в работе]]+Таблица1[[#This Row],[Часов на заказчика  дежурство]]</f>
        <v>0</v>
      </c>
      <c r="O2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" s="9">
        <v>100000</v>
      </c>
      <c r="R255" s="9"/>
      <c r="S255" s="5">
        <v>1</v>
      </c>
      <c r="T2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табеле]])*S255,0)</f>
        <v>0</v>
      </c>
      <c r="U255" s="5">
        <f>IF(Таблица1[[#This Row],[ТТН]]&gt;0,Таблица1[[#This Row],[Ставка за ТТН]]*Таблица1[[#This Row],[ТТН]],0)</f>
        <v>0</v>
      </c>
    </row>
    <row r="256" spans="1:21" x14ac:dyDescent="0.25">
      <c r="A256" t="s">
        <v>84</v>
      </c>
      <c r="B256" s="24">
        <v>24</v>
      </c>
      <c r="C256" t="s">
        <v>107</v>
      </c>
      <c r="D256" t="s">
        <v>28</v>
      </c>
      <c r="E256" t="s">
        <v>214</v>
      </c>
      <c r="F256" t="s">
        <v>28</v>
      </c>
      <c r="H256" t="s">
        <v>29</v>
      </c>
      <c r="I256" t="s">
        <v>217</v>
      </c>
      <c r="J256">
        <v>8</v>
      </c>
      <c r="N256">
        <f>Таблица1[[#This Row],[Часов на заказчика  в работе]]+Таблица1[[#This Row],[Часов на заказчика  дежурство]]</f>
        <v>0</v>
      </c>
      <c r="O2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" s="9">
        <v>100000</v>
      </c>
      <c r="R256" s="9"/>
      <c r="S256" s="5">
        <v>1</v>
      </c>
      <c r="T2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табеле]])*S256,0)</f>
        <v>0</v>
      </c>
      <c r="U256" s="5">
        <f>IF(Таблица1[[#This Row],[ТТН]]&gt;0,Таблица1[[#This Row],[Ставка за ТТН]]*Таблица1[[#This Row],[ТТН]],0)</f>
        <v>0</v>
      </c>
    </row>
    <row r="257" spans="1:21" x14ac:dyDescent="0.25">
      <c r="A257" t="s">
        <v>84</v>
      </c>
      <c r="B257" s="24">
        <v>25</v>
      </c>
      <c r="C257" t="s">
        <v>107</v>
      </c>
      <c r="D257" t="s">
        <v>28</v>
      </c>
      <c r="E257" t="s">
        <v>214</v>
      </c>
      <c r="F257" t="s">
        <v>28</v>
      </c>
      <c r="H257" t="s">
        <v>29</v>
      </c>
      <c r="I257" t="s">
        <v>217</v>
      </c>
      <c r="J257">
        <v>8</v>
      </c>
      <c r="N257">
        <f>Таблица1[[#This Row],[Часов на заказчика  в работе]]+Таблица1[[#This Row],[Часов на заказчика  дежурство]]</f>
        <v>0</v>
      </c>
      <c r="O2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" s="9">
        <v>100000</v>
      </c>
      <c r="R257" s="9"/>
      <c r="S257" s="5">
        <v>1</v>
      </c>
      <c r="T2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табеле]])*S257,0)</f>
        <v>0</v>
      </c>
      <c r="U257" s="5">
        <f>IF(Таблица1[[#This Row],[ТТН]]&gt;0,Таблица1[[#This Row],[Ставка за ТТН]]*Таблица1[[#This Row],[ТТН]],0)</f>
        <v>0</v>
      </c>
    </row>
    <row r="258" spans="1:21" x14ac:dyDescent="0.25">
      <c r="A258" t="s">
        <v>84</v>
      </c>
      <c r="B258" s="24">
        <v>26</v>
      </c>
      <c r="C258" t="s">
        <v>107</v>
      </c>
      <c r="D258" t="s">
        <v>28</v>
      </c>
      <c r="E258" t="s">
        <v>214</v>
      </c>
      <c r="F258" t="s">
        <v>28</v>
      </c>
      <c r="H258" t="s">
        <v>29</v>
      </c>
      <c r="I258" t="s">
        <v>217</v>
      </c>
      <c r="J258">
        <v>8</v>
      </c>
      <c r="N258">
        <f>Таблица1[[#This Row],[Часов на заказчика  в работе]]+Таблица1[[#This Row],[Часов на заказчика  дежурство]]</f>
        <v>0</v>
      </c>
      <c r="O2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" s="9">
        <v>100000</v>
      </c>
      <c r="R258" s="9"/>
      <c r="S258" s="5">
        <v>1</v>
      </c>
      <c r="T2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табеле]])*S258,0)</f>
        <v>0</v>
      </c>
      <c r="U258" s="5">
        <f>IF(Таблица1[[#This Row],[ТТН]]&gt;0,Таблица1[[#This Row],[Ставка за ТТН]]*Таблица1[[#This Row],[ТТН]],0)</f>
        <v>0</v>
      </c>
    </row>
    <row r="259" spans="1:21" x14ac:dyDescent="0.25">
      <c r="A259" t="s">
        <v>84</v>
      </c>
      <c r="B259" s="24">
        <v>27</v>
      </c>
      <c r="C259" t="s">
        <v>107</v>
      </c>
      <c r="D259" t="s">
        <v>28</v>
      </c>
      <c r="E259" t="s">
        <v>214</v>
      </c>
      <c r="F259" t="s">
        <v>28</v>
      </c>
      <c r="H259" t="s">
        <v>30</v>
      </c>
      <c r="I259" t="s">
        <v>217</v>
      </c>
      <c r="J259">
        <v>1</v>
      </c>
      <c r="N259">
        <f>Таблица1[[#This Row],[Часов на заказчика  в работе]]+Таблица1[[#This Row],[Часов на заказчика  дежурство]]</f>
        <v>0</v>
      </c>
      <c r="O2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" s="9">
        <v>100000</v>
      </c>
      <c r="R259" s="9"/>
      <c r="S259" s="5">
        <v>1</v>
      </c>
      <c r="T2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табеле]])*S259,0)</f>
        <v>0</v>
      </c>
      <c r="U259" s="5">
        <f>IF(Таблица1[[#This Row],[ТТН]]&gt;0,Таблица1[[#This Row],[Ставка за ТТН]]*Таблица1[[#This Row],[ТТН]],0)</f>
        <v>0</v>
      </c>
    </row>
    <row r="260" spans="1:21" x14ac:dyDescent="0.25">
      <c r="A260" t="s">
        <v>84</v>
      </c>
      <c r="B260" s="24">
        <v>28</v>
      </c>
      <c r="C260" t="s">
        <v>107</v>
      </c>
      <c r="D260" t="s">
        <v>28</v>
      </c>
      <c r="E260" t="s">
        <v>214</v>
      </c>
      <c r="F260" t="s">
        <v>28</v>
      </c>
      <c r="H260" t="s">
        <v>30</v>
      </c>
      <c r="I260" t="s">
        <v>217</v>
      </c>
      <c r="J260">
        <v>1</v>
      </c>
      <c r="N260">
        <f>Таблица1[[#This Row],[Часов на заказчика  в работе]]+Таблица1[[#This Row],[Часов на заказчика  дежурство]]</f>
        <v>0</v>
      </c>
      <c r="O2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" s="9">
        <v>100000</v>
      </c>
      <c r="R260" s="9"/>
      <c r="S260" s="5">
        <v>1</v>
      </c>
      <c r="T2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табеле]])*S260,0)</f>
        <v>0</v>
      </c>
      <c r="U260" s="5">
        <f>IF(Таблица1[[#This Row],[ТТН]]&gt;0,Таблица1[[#This Row],[Ставка за ТТН]]*Таблица1[[#This Row],[ТТН]],0)</f>
        <v>0</v>
      </c>
    </row>
    <row r="261" spans="1:21" x14ac:dyDescent="0.25">
      <c r="A261" t="s">
        <v>84</v>
      </c>
      <c r="B261" s="24">
        <v>29</v>
      </c>
      <c r="C261" t="s">
        <v>107</v>
      </c>
      <c r="D261" t="s">
        <v>28</v>
      </c>
      <c r="E261" t="s">
        <v>214</v>
      </c>
      <c r="F261" t="s">
        <v>28</v>
      </c>
      <c r="H261" t="s">
        <v>29</v>
      </c>
      <c r="I261" t="s">
        <v>217</v>
      </c>
      <c r="J261">
        <v>8</v>
      </c>
      <c r="N261">
        <f>Таблица1[[#This Row],[Часов на заказчика  в работе]]+Таблица1[[#This Row],[Часов на заказчика  дежурство]]</f>
        <v>0</v>
      </c>
      <c r="O2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" s="9">
        <v>100000</v>
      </c>
      <c r="R261" s="9"/>
      <c r="S261" s="5">
        <v>1</v>
      </c>
      <c r="T2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табеле]])*S261,0)</f>
        <v>0</v>
      </c>
      <c r="U261" s="5">
        <f>IF(Таблица1[[#This Row],[ТТН]]&gt;0,Таблица1[[#This Row],[Ставка за ТТН]]*Таблица1[[#This Row],[ТТН]],0)</f>
        <v>0</v>
      </c>
    </row>
    <row r="262" spans="1:21" x14ac:dyDescent="0.25">
      <c r="A262" t="s">
        <v>84</v>
      </c>
      <c r="B262" s="24">
        <v>30</v>
      </c>
      <c r="C262" t="s">
        <v>108</v>
      </c>
      <c r="D262" t="s">
        <v>28</v>
      </c>
      <c r="E262" t="s">
        <v>214</v>
      </c>
      <c r="F262" t="s">
        <v>28</v>
      </c>
      <c r="H262" t="s">
        <v>29</v>
      </c>
      <c r="I262" t="s">
        <v>217</v>
      </c>
      <c r="J262">
        <v>8</v>
      </c>
      <c r="N262">
        <f>Таблица1[[#This Row],[Часов на заказчика  в работе]]+Таблица1[[#This Row],[Часов на заказчика  дежурство]]</f>
        <v>0</v>
      </c>
      <c r="O2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" s="9">
        <v>100000</v>
      </c>
      <c r="R262" s="9"/>
      <c r="S262" s="5">
        <v>1</v>
      </c>
      <c r="T2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табеле]])*S262,0)</f>
        <v>0</v>
      </c>
      <c r="U262" s="5">
        <f>IF(Таблица1[[#This Row],[ТТН]]&gt;0,Таблица1[[#This Row],[Ставка за ТТН]]*Таблица1[[#This Row],[ТТН]],0)</f>
        <v>0</v>
      </c>
    </row>
    <row r="263" spans="1:21" x14ac:dyDescent="0.25">
      <c r="A263" t="s">
        <v>84</v>
      </c>
      <c r="B263" s="24">
        <v>1</v>
      </c>
      <c r="C263" t="s">
        <v>108</v>
      </c>
      <c r="D263" t="s">
        <v>28</v>
      </c>
      <c r="E263" t="s">
        <v>214</v>
      </c>
      <c r="F263" t="s">
        <v>28</v>
      </c>
      <c r="H263" t="s">
        <v>10</v>
      </c>
      <c r="I263" t="s">
        <v>220</v>
      </c>
      <c r="J263">
        <v>22</v>
      </c>
      <c r="L263">
        <v>22</v>
      </c>
      <c r="N263">
        <f>Таблица1[[#This Row],[Часов на заказчика  в работе]]+Таблица1[[#This Row],[Часов на заказчика  дежурство]]</f>
        <v>22</v>
      </c>
      <c r="O2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" s="9">
        <v>100000</v>
      </c>
      <c r="R263" s="9"/>
      <c r="S263" s="5">
        <v>1</v>
      </c>
      <c r="T2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табеле]])*S263,0)</f>
        <v>6666.6666666666661</v>
      </c>
      <c r="U263" s="5">
        <f>IF(Таблица1[[#This Row],[ТТН]]&gt;0,Таблица1[[#This Row],[Ставка за ТТН]]*Таблица1[[#This Row],[ТТН]],0)</f>
        <v>0</v>
      </c>
    </row>
    <row r="264" spans="1:21" x14ac:dyDescent="0.25">
      <c r="A264" t="s">
        <v>84</v>
      </c>
      <c r="B264" s="24">
        <v>2</v>
      </c>
      <c r="C264" t="s">
        <v>108</v>
      </c>
      <c r="D264" t="s">
        <v>28</v>
      </c>
      <c r="E264" t="s">
        <v>215</v>
      </c>
      <c r="F264" t="s">
        <v>28</v>
      </c>
      <c r="H264" t="s">
        <v>30</v>
      </c>
      <c r="I264" t="s">
        <v>217</v>
      </c>
      <c r="J264">
        <v>1</v>
      </c>
      <c r="N264">
        <f>Таблица1[[#This Row],[Часов на заказчика  в работе]]+Таблица1[[#This Row],[Часов на заказчика  дежурство]]</f>
        <v>0</v>
      </c>
      <c r="O2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" s="9">
        <v>100000</v>
      </c>
      <c r="R264" s="9"/>
      <c r="S264" s="5">
        <v>1</v>
      </c>
      <c r="T2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табеле]])*S264,0)</f>
        <v>0</v>
      </c>
      <c r="U264" s="5">
        <f>IF(Таблица1[[#This Row],[ТТН]]&gt;0,Таблица1[[#This Row],[Ставка за ТТН]]*Таблица1[[#This Row],[ТТН]],0)</f>
        <v>0</v>
      </c>
    </row>
    <row r="265" spans="1:21" x14ac:dyDescent="0.25">
      <c r="A265" t="s">
        <v>84</v>
      </c>
      <c r="B265" s="24">
        <v>3</v>
      </c>
      <c r="C265" t="s">
        <v>108</v>
      </c>
      <c r="D265" t="s">
        <v>28</v>
      </c>
      <c r="E265" t="s">
        <v>215</v>
      </c>
      <c r="F265" t="s">
        <v>28</v>
      </c>
      <c r="H265" t="s">
        <v>30</v>
      </c>
      <c r="I265" t="s">
        <v>217</v>
      </c>
      <c r="J265">
        <v>1</v>
      </c>
      <c r="N265">
        <f>Таблица1[[#This Row],[Часов на заказчика  в работе]]+Таблица1[[#This Row],[Часов на заказчика  дежурство]]</f>
        <v>0</v>
      </c>
      <c r="O2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" s="9">
        <v>100000</v>
      </c>
      <c r="R265" s="9"/>
      <c r="S265" s="5">
        <v>1</v>
      </c>
      <c r="T2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табеле]])*S265,0)</f>
        <v>0</v>
      </c>
      <c r="U265" s="5">
        <f>IF(Таблица1[[#This Row],[ТТН]]&gt;0,Таблица1[[#This Row],[Ставка за ТТН]]*Таблица1[[#This Row],[ТТН]],0)</f>
        <v>0</v>
      </c>
    </row>
    <row r="266" spans="1:21" x14ac:dyDescent="0.25">
      <c r="A266" t="s">
        <v>84</v>
      </c>
      <c r="B266" s="24">
        <v>4</v>
      </c>
      <c r="C266" t="s">
        <v>108</v>
      </c>
      <c r="D266" t="s">
        <v>28</v>
      </c>
      <c r="E266" t="s">
        <v>215</v>
      </c>
      <c r="F266" t="s">
        <v>28</v>
      </c>
      <c r="H266" t="s">
        <v>10</v>
      </c>
      <c r="I266" t="s">
        <v>217</v>
      </c>
      <c r="J266">
        <v>11</v>
      </c>
      <c r="N266">
        <f>Таблица1[[#This Row],[Часов на заказчика  в работе]]+Таблица1[[#This Row],[Часов на заказчика  дежурство]]</f>
        <v>0</v>
      </c>
      <c r="O2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" s="9">
        <v>100000</v>
      </c>
      <c r="R266" s="9"/>
      <c r="S266" s="5">
        <v>1</v>
      </c>
      <c r="T2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табеле]])*S266,0)</f>
        <v>3333.333333333333</v>
      </c>
      <c r="U266" s="5">
        <f>IF(Таблица1[[#This Row],[ТТН]]&gt;0,Таблица1[[#This Row],[Ставка за ТТН]]*Таблица1[[#This Row],[ТТН]],0)</f>
        <v>0</v>
      </c>
    </row>
    <row r="267" spans="1:21" x14ac:dyDescent="0.25">
      <c r="A267" t="s">
        <v>84</v>
      </c>
      <c r="B267" s="24">
        <v>5</v>
      </c>
      <c r="C267" t="s">
        <v>108</v>
      </c>
      <c r="D267" t="s">
        <v>28</v>
      </c>
      <c r="E267" t="s">
        <v>215</v>
      </c>
      <c r="F267" t="s">
        <v>28</v>
      </c>
      <c r="H267" t="s">
        <v>38</v>
      </c>
      <c r="I267" t="s">
        <v>217</v>
      </c>
      <c r="J267">
        <v>11</v>
      </c>
      <c r="N267">
        <f>Таблица1[[#This Row],[Часов на заказчика  в работе]]+Таблица1[[#This Row],[Часов на заказчика  дежурство]]</f>
        <v>0</v>
      </c>
      <c r="O2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" s="9">
        <v>100000</v>
      </c>
      <c r="R267" s="9"/>
      <c r="S267" s="5">
        <v>1</v>
      </c>
      <c r="T2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табеле]])*S267,0)</f>
        <v>3333.333333333333</v>
      </c>
      <c r="U267" s="5">
        <f>IF(Таблица1[[#This Row],[ТТН]]&gt;0,Таблица1[[#This Row],[Ставка за ТТН]]*Таблица1[[#This Row],[ТТН]],0)</f>
        <v>0</v>
      </c>
    </row>
    <row r="268" spans="1:21" x14ac:dyDescent="0.25">
      <c r="A268" t="s">
        <v>84</v>
      </c>
      <c r="B268" s="24">
        <v>6</v>
      </c>
      <c r="C268" t="s">
        <v>108</v>
      </c>
      <c r="D268" t="s">
        <v>28</v>
      </c>
      <c r="E268" t="s">
        <v>215</v>
      </c>
      <c r="F268" t="s">
        <v>28</v>
      </c>
      <c r="H268" t="s">
        <v>38</v>
      </c>
      <c r="I268" t="s">
        <v>217</v>
      </c>
      <c r="J268">
        <v>11</v>
      </c>
      <c r="N268">
        <f>Таблица1[[#This Row],[Часов на заказчика  в работе]]+Таблица1[[#This Row],[Часов на заказчика  дежурство]]</f>
        <v>0</v>
      </c>
      <c r="O2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" s="9">
        <v>100000</v>
      </c>
      <c r="R268" s="9"/>
      <c r="S268" s="5">
        <v>1</v>
      </c>
      <c r="T2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табеле]])*S268,0)</f>
        <v>3333.333333333333</v>
      </c>
      <c r="U268" s="5">
        <f>IF(Таблица1[[#This Row],[ТТН]]&gt;0,Таблица1[[#This Row],[Ставка за ТТН]]*Таблица1[[#This Row],[ТТН]],0)</f>
        <v>0</v>
      </c>
    </row>
    <row r="269" spans="1:21" x14ac:dyDescent="0.25">
      <c r="A269" t="s">
        <v>84</v>
      </c>
      <c r="B269" s="24">
        <v>7</v>
      </c>
      <c r="C269" t="s">
        <v>108</v>
      </c>
      <c r="D269" t="s">
        <v>28</v>
      </c>
      <c r="E269" t="s">
        <v>215</v>
      </c>
      <c r="F269" t="s">
        <v>28</v>
      </c>
      <c r="H269" t="s">
        <v>38</v>
      </c>
      <c r="I269" t="s">
        <v>217</v>
      </c>
      <c r="J269">
        <v>11</v>
      </c>
      <c r="N269">
        <f>Таблица1[[#This Row],[Часов на заказчика  в работе]]+Таблица1[[#This Row],[Часов на заказчика  дежурство]]</f>
        <v>0</v>
      </c>
      <c r="O2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" s="9">
        <v>100000</v>
      </c>
      <c r="R269" s="9"/>
      <c r="S269" s="5">
        <v>1</v>
      </c>
      <c r="T2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табеле]])*S269,0)</f>
        <v>3333.333333333333</v>
      </c>
      <c r="U269" s="5">
        <f>IF(Таблица1[[#This Row],[ТТН]]&gt;0,Таблица1[[#This Row],[Ставка за ТТН]]*Таблица1[[#This Row],[ТТН]],0)</f>
        <v>0</v>
      </c>
    </row>
    <row r="270" spans="1:21" x14ac:dyDescent="0.25">
      <c r="A270" t="s">
        <v>84</v>
      </c>
      <c r="B270" s="24">
        <v>8</v>
      </c>
      <c r="C270" t="s">
        <v>108</v>
      </c>
      <c r="D270" t="s">
        <v>28</v>
      </c>
      <c r="E270" t="s">
        <v>215</v>
      </c>
      <c r="F270" t="s">
        <v>28</v>
      </c>
      <c r="H270" t="s">
        <v>10</v>
      </c>
      <c r="I270" t="s">
        <v>219</v>
      </c>
      <c r="J270">
        <v>11</v>
      </c>
      <c r="N270">
        <f>Таблица1[[#This Row],[Часов на заказчика  в работе]]+Таблица1[[#This Row],[Часов на заказчика  дежурство]]</f>
        <v>0</v>
      </c>
      <c r="O2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" s="9">
        <v>100000</v>
      </c>
      <c r="R270" s="9"/>
      <c r="S270" s="5">
        <v>1</v>
      </c>
      <c r="T2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табеле]])*S270,0)</f>
        <v>3333.333333333333</v>
      </c>
      <c r="U270" s="5">
        <f>IF(Таблица1[[#This Row],[ТТН]]&gt;0,Таблица1[[#This Row],[Ставка за ТТН]]*Таблица1[[#This Row],[ТТН]],0)</f>
        <v>0</v>
      </c>
    </row>
    <row r="271" spans="1:21" x14ac:dyDescent="0.25">
      <c r="A271" t="s">
        <v>84</v>
      </c>
      <c r="B271" s="24">
        <v>9</v>
      </c>
      <c r="C271" t="s">
        <v>108</v>
      </c>
      <c r="D271" t="s">
        <v>28</v>
      </c>
      <c r="E271" t="s">
        <v>215</v>
      </c>
      <c r="F271" t="s">
        <v>28</v>
      </c>
      <c r="H271" t="s">
        <v>10</v>
      </c>
      <c r="I271" t="s">
        <v>219</v>
      </c>
      <c r="J271">
        <v>11</v>
      </c>
      <c r="N271">
        <f>Таблица1[[#This Row],[Часов на заказчика  в работе]]+Таблица1[[#This Row],[Часов на заказчика  дежурство]]</f>
        <v>0</v>
      </c>
      <c r="O2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" s="9">
        <v>100000</v>
      </c>
      <c r="R271" s="9"/>
      <c r="S271" s="5">
        <v>1</v>
      </c>
      <c r="T2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табеле]])*S271,0)</f>
        <v>3333.333333333333</v>
      </c>
      <c r="U271" s="5">
        <f>IF(Таблица1[[#This Row],[ТТН]]&gt;0,Таблица1[[#This Row],[Ставка за ТТН]]*Таблица1[[#This Row],[ТТН]],0)</f>
        <v>0</v>
      </c>
    </row>
    <row r="272" spans="1:21" x14ac:dyDescent="0.25">
      <c r="A272" t="s">
        <v>84</v>
      </c>
      <c r="B272" s="24">
        <v>10</v>
      </c>
      <c r="C272" t="s">
        <v>108</v>
      </c>
      <c r="D272" t="s">
        <v>28</v>
      </c>
      <c r="E272" t="s">
        <v>215</v>
      </c>
      <c r="F272" t="s">
        <v>28</v>
      </c>
      <c r="H272" t="s">
        <v>10</v>
      </c>
      <c r="I272" t="s">
        <v>219</v>
      </c>
      <c r="J272">
        <v>11</v>
      </c>
      <c r="N272">
        <f>Таблица1[[#This Row],[Часов на заказчика  в работе]]+Таблица1[[#This Row],[Часов на заказчика  дежурство]]</f>
        <v>0</v>
      </c>
      <c r="O2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" s="9">
        <v>100000</v>
      </c>
      <c r="R272" s="9"/>
      <c r="S272" s="5">
        <v>1</v>
      </c>
      <c r="T2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табеле]])*S272,0)</f>
        <v>3333.333333333333</v>
      </c>
      <c r="U272" s="5">
        <f>IF(Таблица1[[#This Row],[ТТН]]&gt;0,Таблица1[[#This Row],[Ставка за ТТН]]*Таблица1[[#This Row],[ТТН]],0)</f>
        <v>0</v>
      </c>
    </row>
    <row r="273" spans="1:21" x14ac:dyDescent="0.25">
      <c r="A273" t="s">
        <v>84</v>
      </c>
      <c r="B273" s="24">
        <v>11</v>
      </c>
      <c r="C273" t="s">
        <v>108</v>
      </c>
      <c r="D273" t="s">
        <v>28</v>
      </c>
      <c r="E273" t="s">
        <v>215</v>
      </c>
      <c r="F273" t="s">
        <v>28</v>
      </c>
      <c r="H273" t="s">
        <v>10</v>
      </c>
      <c r="I273" t="s">
        <v>219</v>
      </c>
      <c r="J273">
        <v>11</v>
      </c>
      <c r="N273">
        <f>Таблица1[[#This Row],[Часов на заказчика  в работе]]+Таблица1[[#This Row],[Часов на заказчика  дежурство]]</f>
        <v>0</v>
      </c>
      <c r="O2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" s="9">
        <v>100000</v>
      </c>
      <c r="R273" s="9"/>
      <c r="S273" s="5">
        <v>1</v>
      </c>
      <c r="T2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табеле]])*S273,0)</f>
        <v>3333.333333333333</v>
      </c>
      <c r="U273" s="5">
        <f>IF(Таблица1[[#This Row],[ТТН]]&gt;0,Таблица1[[#This Row],[Ставка за ТТН]]*Таблица1[[#This Row],[ТТН]],0)</f>
        <v>0</v>
      </c>
    </row>
    <row r="274" spans="1:21" x14ac:dyDescent="0.25">
      <c r="A274" t="s">
        <v>84</v>
      </c>
      <c r="B274" s="24">
        <v>12</v>
      </c>
      <c r="C274" t="s">
        <v>108</v>
      </c>
      <c r="D274" t="s">
        <v>28</v>
      </c>
      <c r="E274" t="s">
        <v>215</v>
      </c>
      <c r="F274" t="s">
        <v>28</v>
      </c>
      <c r="H274" t="s">
        <v>10</v>
      </c>
      <c r="I274" t="s">
        <v>219</v>
      </c>
      <c r="J274">
        <v>11</v>
      </c>
      <c r="N274">
        <f>Таблица1[[#This Row],[Часов на заказчика  в работе]]+Таблица1[[#This Row],[Часов на заказчика  дежурство]]</f>
        <v>0</v>
      </c>
      <c r="O2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" s="9">
        <v>100000</v>
      </c>
      <c r="R274" s="9"/>
      <c r="S274" s="5">
        <v>1</v>
      </c>
      <c r="T2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табеле]])*S274,0)</f>
        <v>3333.333333333333</v>
      </c>
      <c r="U274" s="5">
        <f>IF(Таблица1[[#This Row],[ТТН]]&gt;0,Таблица1[[#This Row],[Ставка за ТТН]]*Таблица1[[#This Row],[ТТН]],0)</f>
        <v>0</v>
      </c>
    </row>
    <row r="275" spans="1:21" x14ac:dyDescent="0.25">
      <c r="A275" t="s">
        <v>84</v>
      </c>
      <c r="B275" s="24">
        <v>13</v>
      </c>
      <c r="C275" t="s">
        <v>108</v>
      </c>
      <c r="D275" t="s">
        <v>28</v>
      </c>
      <c r="E275" t="s">
        <v>215</v>
      </c>
      <c r="F275" t="s">
        <v>28</v>
      </c>
      <c r="H275" t="s">
        <v>10</v>
      </c>
      <c r="I275" t="s">
        <v>219</v>
      </c>
      <c r="J275">
        <v>11</v>
      </c>
      <c r="N275">
        <f>Таблица1[[#This Row],[Часов на заказчика  в работе]]+Таблица1[[#This Row],[Часов на заказчика  дежурство]]</f>
        <v>0</v>
      </c>
      <c r="O2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" s="9">
        <v>100000</v>
      </c>
      <c r="R275" s="9"/>
      <c r="S275" s="5">
        <v>1</v>
      </c>
      <c r="T2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табеле]])*S275,0)</f>
        <v>3333.333333333333</v>
      </c>
      <c r="U275" s="5">
        <f>IF(Таблица1[[#This Row],[ТТН]]&gt;0,Таблица1[[#This Row],[Ставка за ТТН]]*Таблица1[[#This Row],[ТТН]],0)</f>
        <v>0</v>
      </c>
    </row>
    <row r="276" spans="1:21" x14ac:dyDescent="0.25">
      <c r="A276" t="s">
        <v>84</v>
      </c>
      <c r="B276" s="24">
        <v>14</v>
      </c>
      <c r="C276" t="s">
        <v>108</v>
      </c>
      <c r="D276" t="s">
        <v>28</v>
      </c>
      <c r="E276" t="s">
        <v>215</v>
      </c>
      <c r="F276" t="s">
        <v>28</v>
      </c>
      <c r="H276" t="s">
        <v>10</v>
      </c>
      <c r="I276" t="s">
        <v>219</v>
      </c>
      <c r="J276">
        <v>11</v>
      </c>
      <c r="N276">
        <f>Таблица1[[#This Row],[Часов на заказчика  в работе]]+Таблица1[[#This Row],[Часов на заказчика  дежурство]]</f>
        <v>0</v>
      </c>
      <c r="O2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" s="9">
        <v>100000</v>
      </c>
      <c r="R276" s="9"/>
      <c r="S276" s="5">
        <v>1</v>
      </c>
      <c r="T2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табеле]])*S276,0)</f>
        <v>3333.333333333333</v>
      </c>
      <c r="U276" s="5">
        <f>IF(Таблица1[[#This Row],[ТТН]]&gt;0,Таблица1[[#This Row],[Ставка за ТТН]]*Таблица1[[#This Row],[ТТН]],0)</f>
        <v>0</v>
      </c>
    </row>
    <row r="277" spans="1:21" x14ac:dyDescent="0.25">
      <c r="A277" t="s">
        <v>84</v>
      </c>
      <c r="B277" s="24">
        <v>15</v>
      </c>
      <c r="C277" t="s">
        <v>108</v>
      </c>
      <c r="D277" t="s">
        <v>28</v>
      </c>
      <c r="E277" t="s">
        <v>215</v>
      </c>
      <c r="F277" t="s">
        <v>28</v>
      </c>
      <c r="H277" t="s">
        <v>10</v>
      </c>
      <c r="I277" t="s">
        <v>219</v>
      </c>
      <c r="J277">
        <v>11</v>
      </c>
      <c r="N277">
        <f>Таблица1[[#This Row],[Часов на заказчика  в работе]]+Таблица1[[#This Row],[Часов на заказчика  дежурство]]</f>
        <v>0</v>
      </c>
      <c r="O2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" s="9">
        <v>100000</v>
      </c>
      <c r="R277" s="9"/>
      <c r="S277" s="5">
        <v>1</v>
      </c>
      <c r="T2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табеле]])*S277,0)</f>
        <v>3333.333333333333</v>
      </c>
      <c r="U277" s="5">
        <f>IF(Таблица1[[#This Row],[ТТН]]&gt;0,Таблица1[[#This Row],[Ставка за ТТН]]*Таблица1[[#This Row],[ТТН]],0)</f>
        <v>0</v>
      </c>
    </row>
    <row r="278" spans="1:21" x14ac:dyDescent="0.25">
      <c r="A278" t="s">
        <v>84</v>
      </c>
      <c r="B278" s="24">
        <v>16</v>
      </c>
      <c r="C278" t="s">
        <v>108</v>
      </c>
      <c r="D278" t="s">
        <v>28</v>
      </c>
      <c r="E278" t="s">
        <v>215</v>
      </c>
      <c r="F278" t="s">
        <v>28</v>
      </c>
      <c r="H278" t="s">
        <v>10</v>
      </c>
      <c r="I278" t="s">
        <v>219</v>
      </c>
      <c r="J278">
        <v>11</v>
      </c>
      <c r="N278">
        <f>Таблица1[[#This Row],[Часов на заказчика  в работе]]+Таблица1[[#This Row],[Часов на заказчика  дежурство]]</f>
        <v>0</v>
      </c>
      <c r="O2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" s="9">
        <v>100000</v>
      </c>
      <c r="R278" s="9"/>
      <c r="S278" s="5">
        <v>1</v>
      </c>
      <c r="T2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табеле]])*S278,0)</f>
        <v>3333.333333333333</v>
      </c>
      <c r="U278" s="5">
        <f>IF(Таблица1[[#This Row],[ТТН]]&gt;0,Таблица1[[#This Row],[Ставка за ТТН]]*Таблица1[[#This Row],[ТТН]],0)</f>
        <v>0</v>
      </c>
    </row>
    <row r="279" spans="1:21" x14ac:dyDescent="0.25">
      <c r="A279" t="s">
        <v>84</v>
      </c>
      <c r="B279" s="24">
        <v>17</v>
      </c>
      <c r="C279" t="s">
        <v>108</v>
      </c>
      <c r="D279" t="s">
        <v>28</v>
      </c>
      <c r="E279" t="s">
        <v>215</v>
      </c>
      <c r="F279" t="s">
        <v>28</v>
      </c>
      <c r="H279" t="s">
        <v>10</v>
      </c>
      <c r="I279" t="s">
        <v>219</v>
      </c>
      <c r="J279">
        <v>11</v>
      </c>
      <c r="N279">
        <f>Таблица1[[#This Row],[Часов на заказчика  в работе]]+Таблица1[[#This Row],[Часов на заказчика  дежурство]]</f>
        <v>0</v>
      </c>
      <c r="O2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" s="9">
        <v>100000</v>
      </c>
      <c r="R279" s="9"/>
      <c r="S279" s="5">
        <v>1</v>
      </c>
      <c r="T2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табеле]])*S279,0)</f>
        <v>3333.333333333333</v>
      </c>
      <c r="U279" s="5">
        <f>IF(Таблица1[[#This Row],[ТТН]]&gt;0,Таблица1[[#This Row],[Ставка за ТТН]]*Таблица1[[#This Row],[ТТН]],0)</f>
        <v>0</v>
      </c>
    </row>
    <row r="280" spans="1:21" x14ac:dyDescent="0.25">
      <c r="A280" t="s">
        <v>84</v>
      </c>
      <c r="B280" s="24">
        <v>18</v>
      </c>
      <c r="C280" t="s">
        <v>108</v>
      </c>
      <c r="D280" t="s">
        <v>28</v>
      </c>
      <c r="E280" t="s">
        <v>215</v>
      </c>
      <c r="F280" t="s">
        <v>28</v>
      </c>
      <c r="H280" t="s">
        <v>10</v>
      </c>
      <c r="I280" t="s">
        <v>219</v>
      </c>
      <c r="J280">
        <v>11</v>
      </c>
      <c r="N280">
        <f>Таблица1[[#This Row],[Часов на заказчика  в работе]]+Таблица1[[#This Row],[Часов на заказчика  дежурство]]</f>
        <v>0</v>
      </c>
      <c r="O2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" s="9">
        <v>100000</v>
      </c>
      <c r="R280" s="9"/>
      <c r="S280" s="5">
        <v>1</v>
      </c>
      <c r="T2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табеле]])*S280,0)</f>
        <v>3333.333333333333</v>
      </c>
      <c r="U280" s="5">
        <f>IF(Таблица1[[#This Row],[ТТН]]&gt;0,Таблица1[[#This Row],[Ставка за ТТН]]*Таблица1[[#This Row],[ТТН]],0)</f>
        <v>0</v>
      </c>
    </row>
    <row r="281" spans="1:21" x14ac:dyDescent="0.25">
      <c r="A281" t="s">
        <v>84</v>
      </c>
      <c r="B281" s="24">
        <v>19</v>
      </c>
      <c r="C281" t="s">
        <v>108</v>
      </c>
      <c r="D281" t="s">
        <v>28</v>
      </c>
      <c r="E281" t="s">
        <v>215</v>
      </c>
      <c r="F281" t="s">
        <v>28</v>
      </c>
      <c r="H281" t="s">
        <v>10</v>
      </c>
      <c r="I281" t="s">
        <v>219</v>
      </c>
      <c r="J281">
        <v>11</v>
      </c>
      <c r="N281">
        <f>Таблица1[[#This Row],[Часов на заказчика  в работе]]+Таблица1[[#This Row],[Часов на заказчика  дежурство]]</f>
        <v>0</v>
      </c>
      <c r="O2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" s="9">
        <v>100000</v>
      </c>
      <c r="R281" s="9"/>
      <c r="S281" s="5">
        <v>1</v>
      </c>
      <c r="T2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табеле]])*S281,0)</f>
        <v>3333.333333333333</v>
      </c>
      <c r="U281" s="5">
        <f>IF(Таблица1[[#This Row],[ТТН]]&gt;0,Таблица1[[#This Row],[Ставка за ТТН]]*Таблица1[[#This Row],[ТТН]],0)</f>
        <v>0</v>
      </c>
    </row>
    <row r="282" spans="1:21" x14ac:dyDescent="0.25">
      <c r="A282" t="s">
        <v>84</v>
      </c>
      <c r="B282" s="24">
        <v>20</v>
      </c>
      <c r="C282" t="s">
        <v>108</v>
      </c>
      <c r="D282" t="s">
        <v>28</v>
      </c>
      <c r="E282" t="s">
        <v>215</v>
      </c>
      <c r="F282" t="s">
        <v>28</v>
      </c>
      <c r="H282" t="s">
        <v>10</v>
      </c>
      <c r="I282" t="s">
        <v>219</v>
      </c>
      <c r="J282">
        <v>11</v>
      </c>
      <c r="N282">
        <f>Таблица1[[#This Row],[Часов на заказчика  в работе]]+Таблица1[[#This Row],[Часов на заказчика  дежурство]]</f>
        <v>0</v>
      </c>
      <c r="O2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" s="9">
        <v>100000</v>
      </c>
      <c r="R282" s="9"/>
      <c r="S282" s="5">
        <v>1</v>
      </c>
      <c r="T2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табеле]])*S282,0)</f>
        <v>3333.333333333333</v>
      </c>
      <c r="U282" s="5">
        <f>IF(Таблица1[[#This Row],[ТТН]]&gt;0,Таблица1[[#This Row],[Ставка за ТТН]]*Таблица1[[#This Row],[ТТН]],0)</f>
        <v>0</v>
      </c>
    </row>
    <row r="283" spans="1:21" x14ac:dyDescent="0.25">
      <c r="A283" t="s">
        <v>84</v>
      </c>
      <c r="B283" s="24">
        <v>21</v>
      </c>
      <c r="C283" t="s">
        <v>108</v>
      </c>
      <c r="D283" t="s">
        <v>28</v>
      </c>
      <c r="E283" t="s">
        <v>215</v>
      </c>
      <c r="F283" t="s">
        <v>28</v>
      </c>
      <c r="H283" t="s">
        <v>10</v>
      </c>
      <c r="I283" t="s">
        <v>219</v>
      </c>
      <c r="J283">
        <v>11</v>
      </c>
      <c r="N283">
        <f>Таблица1[[#This Row],[Часов на заказчика  в работе]]+Таблица1[[#This Row],[Часов на заказчика  дежурство]]</f>
        <v>0</v>
      </c>
      <c r="O2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" s="9">
        <v>100000</v>
      </c>
      <c r="R283" s="9"/>
      <c r="S283" s="5">
        <v>1</v>
      </c>
      <c r="T2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табеле]])*S283,0)</f>
        <v>3333.333333333333</v>
      </c>
      <c r="U283" s="5">
        <f>IF(Таблица1[[#This Row],[ТТН]]&gt;0,Таблица1[[#This Row],[Ставка за ТТН]]*Таблица1[[#This Row],[ТТН]],0)</f>
        <v>0</v>
      </c>
    </row>
    <row r="284" spans="1:21" x14ac:dyDescent="0.25">
      <c r="A284" t="s">
        <v>84</v>
      </c>
      <c r="B284" s="24">
        <v>22</v>
      </c>
      <c r="C284" t="s">
        <v>108</v>
      </c>
      <c r="D284" t="s">
        <v>28</v>
      </c>
      <c r="E284" t="s">
        <v>215</v>
      </c>
      <c r="F284" t="s">
        <v>28</v>
      </c>
      <c r="H284" t="s">
        <v>24</v>
      </c>
      <c r="I284" t="s">
        <v>217</v>
      </c>
      <c r="J284">
        <v>8</v>
      </c>
      <c r="N284">
        <f>Таблица1[[#This Row],[Часов на заказчика  в работе]]+Таблица1[[#This Row],[Часов на заказчика  дежурство]]</f>
        <v>0</v>
      </c>
      <c r="O2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" s="9">
        <v>100000</v>
      </c>
      <c r="R284" s="9"/>
      <c r="S284" s="5">
        <v>1</v>
      </c>
      <c r="T2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табеле]])*S284,0)</f>
        <v>0</v>
      </c>
      <c r="U284" s="5">
        <f>IF(Таблица1[[#This Row],[ТТН]]&gt;0,Таблица1[[#This Row],[Ставка за ТТН]]*Таблица1[[#This Row],[ТТН]],0)</f>
        <v>0</v>
      </c>
    </row>
    <row r="285" spans="1:21" x14ac:dyDescent="0.25">
      <c r="A285" t="s">
        <v>84</v>
      </c>
      <c r="B285" s="24">
        <v>23</v>
      </c>
      <c r="C285" t="s">
        <v>108</v>
      </c>
      <c r="D285" t="s">
        <v>28</v>
      </c>
      <c r="E285" t="s">
        <v>215</v>
      </c>
      <c r="F285" t="s">
        <v>28</v>
      </c>
      <c r="H285" t="s">
        <v>24</v>
      </c>
      <c r="I285" t="s">
        <v>217</v>
      </c>
      <c r="J285">
        <v>8</v>
      </c>
      <c r="N285">
        <f>Таблица1[[#This Row],[Часов на заказчика  в работе]]+Таблица1[[#This Row],[Часов на заказчика  дежурство]]</f>
        <v>0</v>
      </c>
      <c r="O2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" s="9">
        <v>100000</v>
      </c>
      <c r="R285" s="9"/>
      <c r="S285" s="5">
        <v>1</v>
      </c>
      <c r="T2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табеле]])*S285,0)</f>
        <v>0</v>
      </c>
      <c r="U285" s="5">
        <f>IF(Таблица1[[#This Row],[ТТН]]&gt;0,Таблица1[[#This Row],[Ставка за ТТН]]*Таблица1[[#This Row],[ТТН]],0)</f>
        <v>0</v>
      </c>
    </row>
    <row r="286" spans="1:21" x14ac:dyDescent="0.25">
      <c r="A286" t="s">
        <v>84</v>
      </c>
      <c r="B286" s="24">
        <v>24</v>
      </c>
      <c r="C286" t="s">
        <v>108</v>
      </c>
      <c r="D286" t="s">
        <v>28</v>
      </c>
      <c r="E286" t="s">
        <v>215</v>
      </c>
      <c r="F286" t="s">
        <v>28</v>
      </c>
      <c r="H286" t="s">
        <v>24</v>
      </c>
      <c r="I286" t="s">
        <v>217</v>
      </c>
      <c r="J286">
        <v>8</v>
      </c>
      <c r="N286">
        <f>Таблица1[[#This Row],[Часов на заказчика  в работе]]+Таблица1[[#This Row],[Часов на заказчика  дежурство]]</f>
        <v>0</v>
      </c>
      <c r="O2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" s="9">
        <v>100000</v>
      </c>
      <c r="R286" s="9"/>
      <c r="S286" s="5">
        <v>1</v>
      </c>
      <c r="T2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табеле]])*S286,0)</f>
        <v>0</v>
      </c>
      <c r="U286" s="5">
        <f>IF(Таблица1[[#This Row],[ТТН]]&gt;0,Таблица1[[#This Row],[Ставка за ТТН]]*Таблица1[[#This Row],[ТТН]],0)</f>
        <v>0</v>
      </c>
    </row>
    <row r="287" spans="1:21" x14ac:dyDescent="0.25">
      <c r="A287" t="s">
        <v>84</v>
      </c>
      <c r="B287" s="24">
        <v>25</v>
      </c>
      <c r="C287" t="s">
        <v>108</v>
      </c>
      <c r="D287" t="s">
        <v>28</v>
      </c>
      <c r="E287" t="s">
        <v>215</v>
      </c>
      <c r="F287" t="s">
        <v>28</v>
      </c>
      <c r="H287" t="s">
        <v>29</v>
      </c>
      <c r="I287" t="s">
        <v>217</v>
      </c>
      <c r="J287">
        <v>8</v>
      </c>
      <c r="N287">
        <f>Таблица1[[#This Row],[Часов на заказчика  в работе]]+Таблица1[[#This Row],[Часов на заказчика  дежурство]]</f>
        <v>0</v>
      </c>
      <c r="O2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" s="9">
        <v>100000</v>
      </c>
      <c r="R287" s="9"/>
      <c r="S287" s="5">
        <v>1</v>
      </c>
      <c r="T2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табеле]])*S287,0)</f>
        <v>0</v>
      </c>
      <c r="U287" s="5">
        <f>IF(Таблица1[[#This Row],[ТТН]]&gt;0,Таблица1[[#This Row],[Ставка за ТТН]]*Таблица1[[#This Row],[ТТН]],0)</f>
        <v>0</v>
      </c>
    </row>
    <row r="288" spans="1:21" x14ac:dyDescent="0.25">
      <c r="A288" t="s">
        <v>84</v>
      </c>
      <c r="B288" s="24">
        <v>26</v>
      </c>
      <c r="C288" t="s">
        <v>108</v>
      </c>
      <c r="D288" t="s">
        <v>28</v>
      </c>
      <c r="E288" t="s">
        <v>215</v>
      </c>
      <c r="F288" t="s">
        <v>28</v>
      </c>
      <c r="H288" t="s">
        <v>29</v>
      </c>
      <c r="I288" t="s">
        <v>217</v>
      </c>
      <c r="J288">
        <v>8</v>
      </c>
      <c r="N288">
        <f>Таблица1[[#This Row],[Часов на заказчика  в работе]]+Таблица1[[#This Row],[Часов на заказчика  дежурство]]</f>
        <v>0</v>
      </c>
      <c r="O2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" s="9">
        <v>100000</v>
      </c>
      <c r="R288" s="9"/>
      <c r="S288" s="5">
        <v>1</v>
      </c>
      <c r="T2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табеле]])*S288,0)</f>
        <v>0</v>
      </c>
      <c r="U288" s="5">
        <f>IF(Таблица1[[#This Row],[ТТН]]&gt;0,Таблица1[[#This Row],[Ставка за ТТН]]*Таблица1[[#This Row],[ТТН]],0)</f>
        <v>0</v>
      </c>
    </row>
    <row r="289" spans="1:21" x14ac:dyDescent="0.25">
      <c r="A289" t="s">
        <v>84</v>
      </c>
      <c r="B289" s="24">
        <v>27</v>
      </c>
      <c r="C289" t="s">
        <v>108</v>
      </c>
      <c r="D289" t="s">
        <v>28</v>
      </c>
      <c r="E289" t="s">
        <v>215</v>
      </c>
      <c r="F289" t="s">
        <v>28</v>
      </c>
      <c r="H289" t="s">
        <v>30</v>
      </c>
      <c r="I289" t="s">
        <v>217</v>
      </c>
      <c r="J289">
        <v>1</v>
      </c>
      <c r="N289">
        <f>Таблица1[[#This Row],[Часов на заказчика  в работе]]+Таблица1[[#This Row],[Часов на заказчика  дежурство]]</f>
        <v>0</v>
      </c>
      <c r="O2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" s="9">
        <v>100000</v>
      </c>
      <c r="R289" s="9"/>
      <c r="S289" s="5">
        <v>1</v>
      </c>
      <c r="T2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табеле]])*S289,0)</f>
        <v>0</v>
      </c>
      <c r="U289" s="5">
        <f>IF(Таблица1[[#This Row],[ТТН]]&gt;0,Таблица1[[#This Row],[Ставка за ТТН]]*Таблица1[[#This Row],[ТТН]],0)</f>
        <v>0</v>
      </c>
    </row>
    <row r="290" spans="1:21" x14ac:dyDescent="0.25">
      <c r="A290" t="s">
        <v>84</v>
      </c>
      <c r="B290" s="24">
        <v>28</v>
      </c>
      <c r="C290" t="s">
        <v>108</v>
      </c>
      <c r="D290" t="s">
        <v>28</v>
      </c>
      <c r="E290" t="s">
        <v>215</v>
      </c>
      <c r="F290" t="s">
        <v>28</v>
      </c>
      <c r="H290" t="s">
        <v>30</v>
      </c>
      <c r="I290" t="s">
        <v>217</v>
      </c>
      <c r="J290">
        <v>1</v>
      </c>
      <c r="N290">
        <f>Таблица1[[#This Row],[Часов на заказчика  в работе]]+Таблица1[[#This Row],[Часов на заказчика  дежурство]]</f>
        <v>0</v>
      </c>
      <c r="O2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" s="9">
        <v>100000</v>
      </c>
      <c r="R290" s="9"/>
      <c r="S290" s="5">
        <v>1</v>
      </c>
      <c r="T2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табеле]])*S290,0)</f>
        <v>0</v>
      </c>
      <c r="U290" s="5">
        <f>IF(Таблица1[[#This Row],[ТТН]]&gt;0,Таблица1[[#This Row],[Ставка за ТТН]]*Таблица1[[#This Row],[ТТН]],0)</f>
        <v>0</v>
      </c>
    </row>
    <row r="291" spans="1:21" x14ac:dyDescent="0.25">
      <c r="A291" t="s">
        <v>84</v>
      </c>
      <c r="B291" s="24">
        <v>29</v>
      </c>
      <c r="C291" t="s">
        <v>108</v>
      </c>
      <c r="D291" t="s">
        <v>28</v>
      </c>
      <c r="E291" t="s">
        <v>215</v>
      </c>
      <c r="F291" t="s">
        <v>28</v>
      </c>
      <c r="H291" t="s">
        <v>29</v>
      </c>
      <c r="I291" t="s">
        <v>217</v>
      </c>
      <c r="J291">
        <v>8</v>
      </c>
      <c r="N291">
        <f>Таблица1[[#This Row],[Часов на заказчика  в работе]]+Таблица1[[#This Row],[Часов на заказчика  дежурство]]</f>
        <v>0</v>
      </c>
      <c r="O2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" s="9">
        <v>100000</v>
      </c>
      <c r="R291" s="9"/>
      <c r="S291" s="5">
        <v>1</v>
      </c>
      <c r="T2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табеле]])*S291,0)</f>
        <v>0</v>
      </c>
      <c r="U291" s="5">
        <f>IF(Таблица1[[#This Row],[ТТН]]&gt;0,Таблица1[[#This Row],[Ставка за ТТН]]*Таблица1[[#This Row],[ТТН]],0)</f>
        <v>0</v>
      </c>
    </row>
    <row r="292" spans="1:21" x14ac:dyDescent="0.25">
      <c r="A292" t="s">
        <v>84</v>
      </c>
      <c r="B292" s="24">
        <v>30</v>
      </c>
      <c r="C292" t="s">
        <v>109</v>
      </c>
      <c r="D292" t="s">
        <v>28</v>
      </c>
      <c r="E292" t="s">
        <v>215</v>
      </c>
      <c r="F292" t="s">
        <v>28</v>
      </c>
      <c r="H292" t="s">
        <v>29</v>
      </c>
      <c r="I292" t="s">
        <v>217</v>
      </c>
      <c r="J292">
        <v>8</v>
      </c>
      <c r="N292">
        <f>Таблица1[[#This Row],[Часов на заказчика  в работе]]+Таблица1[[#This Row],[Часов на заказчика  дежурство]]</f>
        <v>0</v>
      </c>
      <c r="O2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" s="9">
        <v>100000</v>
      </c>
      <c r="R292" s="9"/>
      <c r="S292" s="5">
        <v>1</v>
      </c>
      <c r="T2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табеле]])*S292,0)</f>
        <v>0</v>
      </c>
      <c r="U292" s="5">
        <f>IF(Таблица1[[#This Row],[ТТН]]&gt;0,Таблица1[[#This Row],[Ставка за ТТН]]*Таблица1[[#This Row],[ТТН]],0)</f>
        <v>0</v>
      </c>
    </row>
    <row r="293" spans="1:21" x14ac:dyDescent="0.25">
      <c r="A293" t="s">
        <v>84</v>
      </c>
      <c r="B293" s="24">
        <v>1</v>
      </c>
      <c r="C293" t="s">
        <v>109</v>
      </c>
      <c r="D293" t="s">
        <v>28</v>
      </c>
      <c r="E293" t="s">
        <v>214</v>
      </c>
      <c r="F293" t="s">
        <v>28</v>
      </c>
      <c r="H293" t="s">
        <v>30</v>
      </c>
      <c r="I293" t="s">
        <v>217</v>
      </c>
      <c r="J293">
        <v>1</v>
      </c>
      <c r="N293">
        <f>Таблица1[[#This Row],[Часов на заказчика  в работе]]+Таблица1[[#This Row],[Часов на заказчика  дежурство]]</f>
        <v>0</v>
      </c>
      <c r="O2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" s="9">
        <v>100000</v>
      </c>
      <c r="R293" s="9"/>
      <c r="S293" s="5">
        <v>1</v>
      </c>
      <c r="T2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табеле]])*S293,0)</f>
        <v>0</v>
      </c>
      <c r="U293" s="5">
        <f>IF(Таблица1[[#This Row],[ТТН]]&gt;0,Таблица1[[#This Row],[Ставка за ТТН]]*Таблица1[[#This Row],[ТТН]],0)</f>
        <v>0</v>
      </c>
    </row>
    <row r="294" spans="1:21" x14ac:dyDescent="0.25">
      <c r="A294" t="s">
        <v>84</v>
      </c>
      <c r="B294" s="24">
        <v>2</v>
      </c>
      <c r="C294" t="s">
        <v>109</v>
      </c>
      <c r="D294" t="s">
        <v>28</v>
      </c>
      <c r="E294" t="s">
        <v>214</v>
      </c>
      <c r="F294" t="s">
        <v>28</v>
      </c>
      <c r="H294" t="s">
        <v>30</v>
      </c>
      <c r="I294" t="s">
        <v>217</v>
      </c>
      <c r="J294">
        <v>1</v>
      </c>
      <c r="N294">
        <f>Таблица1[[#This Row],[Часов на заказчика  в работе]]+Таблица1[[#This Row],[Часов на заказчика  дежурство]]</f>
        <v>0</v>
      </c>
      <c r="O2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" s="9">
        <v>100000</v>
      </c>
      <c r="R294" s="9"/>
      <c r="S294" s="5">
        <v>1</v>
      </c>
      <c r="T2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табеле]])*S294,0)</f>
        <v>0</v>
      </c>
      <c r="U294" s="5">
        <f>IF(Таблица1[[#This Row],[ТТН]]&gt;0,Таблица1[[#This Row],[Ставка за ТТН]]*Таблица1[[#This Row],[ТТН]],0)</f>
        <v>0</v>
      </c>
    </row>
    <row r="295" spans="1:21" x14ac:dyDescent="0.25">
      <c r="A295" t="s">
        <v>84</v>
      </c>
      <c r="B295" s="24">
        <v>3</v>
      </c>
      <c r="C295" t="s">
        <v>109</v>
      </c>
      <c r="D295" t="s">
        <v>28</v>
      </c>
      <c r="E295" t="s">
        <v>214</v>
      </c>
      <c r="F295" t="s">
        <v>28</v>
      </c>
      <c r="H295" t="s">
        <v>30</v>
      </c>
      <c r="I295" t="s">
        <v>217</v>
      </c>
      <c r="J295">
        <v>1</v>
      </c>
      <c r="N295">
        <f>Таблица1[[#This Row],[Часов на заказчика  в работе]]+Таблица1[[#This Row],[Часов на заказчика  дежурство]]</f>
        <v>0</v>
      </c>
      <c r="O2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" s="9">
        <v>100000</v>
      </c>
      <c r="R295" s="9"/>
      <c r="S295" s="5">
        <v>1</v>
      </c>
      <c r="T2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табеле]])*S295,0)</f>
        <v>0</v>
      </c>
      <c r="U295" s="5">
        <f>IF(Таблица1[[#This Row],[ТТН]]&gt;0,Таблица1[[#This Row],[Ставка за ТТН]]*Таблица1[[#This Row],[ТТН]],0)</f>
        <v>0</v>
      </c>
    </row>
    <row r="296" spans="1:21" x14ac:dyDescent="0.25">
      <c r="A296" t="s">
        <v>84</v>
      </c>
      <c r="B296" s="24">
        <v>4</v>
      </c>
      <c r="C296" t="s">
        <v>109</v>
      </c>
      <c r="D296" t="s">
        <v>28</v>
      </c>
      <c r="E296" t="s">
        <v>214</v>
      </c>
      <c r="F296" t="s">
        <v>28</v>
      </c>
      <c r="H296" t="s">
        <v>24</v>
      </c>
      <c r="I296" t="s">
        <v>217</v>
      </c>
      <c r="J296">
        <v>8</v>
      </c>
      <c r="N296">
        <f>Таблица1[[#This Row],[Часов на заказчика  в работе]]+Таблица1[[#This Row],[Часов на заказчика  дежурство]]</f>
        <v>0</v>
      </c>
      <c r="O2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" s="9">
        <v>100000</v>
      </c>
      <c r="R296" s="9"/>
      <c r="S296" s="5">
        <v>1</v>
      </c>
      <c r="T2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табеле]])*S296,0)</f>
        <v>0</v>
      </c>
      <c r="U296" s="5">
        <f>IF(Таблица1[[#This Row],[ТТН]]&gt;0,Таблица1[[#This Row],[Ставка за ТТН]]*Таблица1[[#This Row],[ТТН]],0)</f>
        <v>0</v>
      </c>
    </row>
    <row r="297" spans="1:21" x14ac:dyDescent="0.25">
      <c r="A297" t="s">
        <v>84</v>
      </c>
      <c r="B297" s="24">
        <v>5</v>
      </c>
      <c r="C297" t="s">
        <v>109</v>
      </c>
      <c r="D297" t="s">
        <v>28</v>
      </c>
      <c r="E297" t="s">
        <v>214</v>
      </c>
      <c r="F297" t="s">
        <v>28</v>
      </c>
      <c r="H297" t="s">
        <v>24</v>
      </c>
      <c r="I297" t="s">
        <v>217</v>
      </c>
      <c r="J297">
        <v>8</v>
      </c>
      <c r="N297">
        <f>Таблица1[[#This Row],[Часов на заказчика  в работе]]+Таблица1[[#This Row],[Часов на заказчика  дежурство]]</f>
        <v>0</v>
      </c>
      <c r="O2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" s="9">
        <v>100000</v>
      </c>
      <c r="R297" s="9"/>
      <c r="S297" s="5">
        <v>1</v>
      </c>
      <c r="T2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табеле]])*S297,0)</f>
        <v>0</v>
      </c>
      <c r="U297" s="5">
        <f>IF(Таблица1[[#This Row],[ТТН]]&gt;0,Таблица1[[#This Row],[Ставка за ТТН]]*Таблица1[[#This Row],[ТТН]],0)</f>
        <v>0</v>
      </c>
    </row>
    <row r="298" spans="1:21" x14ac:dyDescent="0.25">
      <c r="A298" t="s">
        <v>84</v>
      </c>
      <c r="B298" s="24">
        <v>6</v>
      </c>
      <c r="C298" t="s">
        <v>109</v>
      </c>
      <c r="D298" t="s">
        <v>28</v>
      </c>
      <c r="E298" t="s">
        <v>214</v>
      </c>
      <c r="F298" t="s">
        <v>28</v>
      </c>
      <c r="H298" t="s">
        <v>24</v>
      </c>
      <c r="I298" t="s">
        <v>217</v>
      </c>
      <c r="J298">
        <v>8</v>
      </c>
      <c r="N298">
        <f>Таблица1[[#This Row],[Часов на заказчика  в работе]]+Таблица1[[#This Row],[Часов на заказчика  дежурство]]</f>
        <v>0</v>
      </c>
      <c r="O2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" s="9">
        <v>100000</v>
      </c>
      <c r="R298" s="9"/>
      <c r="S298" s="5">
        <v>1</v>
      </c>
      <c r="T2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табеле]])*S298,0)</f>
        <v>0</v>
      </c>
      <c r="U298" s="5">
        <f>IF(Таблица1[[#This Row],[ТТН]]&gt;0,Таблица1[[#This Row],[Ставка за ТТН]]*Таблица1[[#This Row],[ТТН]],0)</f>
        <v>0</v>
      </c>
    </row>
    <row r="299" spans="1:21" x14ac:dyDescent="0.25">
      <c r="A299" t="s">
        <v>84</v>
      </c>
      <c r="B299" s="24">
        <v>7</v>
      </c>
      <c r="C299" t="s">
        <v>109</v>
      </c>
      <c r="D299" t="s">
        <v>28</v>
      </c>
      <c r="E299" t="s">
        <v>214</v>
      </c>
      <c r="F299" t="s">
        <v>28</v>
      </c>
      <c r="H299" t="s">
        <v>24</v>
      </c>
      <c r="I299" t="s">
        <v>217</v>
      </c>
      <c r="J299">
        <v>8</v>
      </c>
      <c r="N299">
        <f>Таблица1[[#This Row],[Часов на заказчика  в работе]]+Таблица1[[#This Row],[Часов на заказчика  дежурство]]</f>
        <v>0</v>
      </c>
      <c r="O2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" s="9">
        <v>100000</v>
      </c>
      <c r="R299" s="9"/>
      <c r="S299" s="5">
        <v>1</v>
      </c>
      <c r="T2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табеле]])*S299,0)</f>
        <v>0</v>
      </c>
      <c r="U299" s="5">
        <f>IF(Таблица1[[#This Row],[ТТН]]&gt;0,Таблица1[[#This Row],[Ставка за ТТН]]*Таблица1[[#This Row],[ТТН]],0)</f>
        <v>0</v>
      </c>
    </row>
    <row r="300" spans="1:21" x14ac:dyDescent="0.25">
      <c r="A300" t="s">
        <v>84</v>
      </c>
      <c r="B300" s="24">
        <v>8</v>
      </c>
      <c r="C300" t="s">
        <v>109</v>
      </c>
      <c r="D300" t="s">
        <v>28</v>
      </c>
      <c r="E300" t="s">
        <v>214</v>
      </c>
      <c r="F300" t="s">
        <v>28</v>
      </c>
      <c r="H300" t="s">
        <v>24</v>
      </c>
      <c r="I300" t="s">
        <v>217</v>
      </c>
      <c r="J300">
        <v>8</v>
      </c>
      <c r="N300">
        <f>Таблица1[[#This Row],[Часов на заказчика  в работе]]+Таблица1[[#This Row],[Часов на заказчика  дежурство]]</f>
        <v>0</v>
      </c>
      <c r="O3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" s="9">
        <v>100000</v>
      </c>
      <c r="R300" s="9"/>
      <c r="S300" s="5">
        <v>1</v>
      </c>
      <c r="T3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табеле]])*S300,0)</f>
        <v>0</v>
      </c>
      <c r="U300" s="5">
        <f>IF(Таблица1[[#This Row],[ТТН]]&gt;0,Таблица1[[#This Row],[Ставка за ТТН]]*Таблица1[[#This Row],[ТТН]],0)</f>
        <v>0</v>
      </c>
    </row>
    <row r="301" spans="1:21" x14ac:dyDescent="0.25">
      <c r="A301" t="s">
        <v>84</v>
      </c>
      <c r="B301" s="24">
        <v>9</v>
      </c>
      <c r="C301" t="s">
        <v>109</v>
      </c>
      <c r="D301" t="s">
        <v>28</v>
      </c>
      <c r="E301" t="s">
        <v>214</v>
      </c>
      <c r="F301" t="s">
        <v>28</v>
      </c>
      <c r="H301" t="s">
        <v>29</v>
      </c>
      <c r="I301" t="s">
        <v>217</v>
      </c>
      <c r="J301">
        <v>8</v>
      </c>
      <c r="N301">
        <f>Таблица1[[#This Row],[Часов на заказчика  в работе]]+Таблица1[[#This Row],[Часов на заказчика  дежурство]]</f>
        <v>0</v>
      </c>
      <c r="O3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" s="9">
        <v>100000</v>
      </c>
      <c r="R301" s="9"/>
      <c r="S301" s="5">
        <v>1</v>
      </c>
      <c r="T3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табеле]])*S301,0)</f>
        <v>0</v>
      </c>
      <c r="U301" s="5">
        <f>IF(Таблица1[[#This Row],[ТТН]]&gt;0,Таблица1[[#This Row],[Ставка за ТТН]]*Таблица1[[#This Row],[ТТН]],0)</f>
        <v>0</v>
      </c>
    </row>
    <row r="302" spans="1:21" x14ac:dyDescent="0.25">
      <c r="A302" t="s">
        <v>84</v>
      </c>
      <c r="B302" s="24">
        <v>10</v>
      </c>
      <c r="C302" t="s">
        <v>109</v>
      </c>
      <c r="D302" t="s">
        <v>28</v>
      </c>
      <c r="E302" t="s">
        <v>214</v>
      </c>
      <c r="F302" t="s">
        <v>28</v>
      </c>
      <c r="H302" t="s">
        <v>29</v>
      </c>
      <c r="I302" t="s">
        <v>217</v>
      </c>
      <c r="J302">
        <v>8</v>
      </c>
      <c r="N302">
        <f>Таблица1[[#This Row],[Часов на заказчика  в работе]]+Таблица1[[#This Row],[Часов на заказчика  дежурство]]</f>
        <v>0</v>
      </c>
      <c r="O3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" s="9">
        <v>100000</v>
      </c>
      <c r="R302" s="9"/>
      <c r="S302" s="5">
        <v>1</v>
      </c>
      <c r="T3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табеле]])*S302,0)</f>
        <v>0</v>
      </c>
      <c r="U302" s="5">
        <f>IF(Таблица1[[#This Row],[ТТН]]&gt;0,Таблица1[[#This Row],[Ставка за ТТН]]*Таблица1[[#This Row],[ТТН]],0)</f>
        <v>0</v>
      </c>
    </row>
    <row r="303" spans="1:21" x14ac:dyDescent="0.25">
      <c r="A303" t="s">
        <v>84</v>
      </c>
      <c r="B303" s="24">
        <v>11</v>
      </c>
      <c r="C303" t="s">
        <v>109</v>
      </c>
      <c r="D303" t="s">
        <v>28</v>
      </c>
      <c r="E303" t="s">
        <v>214</v>
      </c>
      <c r="F303" t="s">
        <v>28</v>
      </c>
      <c r="H303" t="s">
        <v>29</v>
      </c>
      <c r="I303" t="s">
        <v>217</v>
      </c>
      <c r="J303">
        <v>8</v>
      </c>
      <c r="N303">
        <f>Таблица1[[#This Row],[Часов на заказчика  в работе]]+Таблица1[[#This Row],[Часов на заказчика  дежурство]]</f>
        <v>0</v>
      </c>
      <c r="O3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" s="9">
        <v>100000</v>
      </c>
      <c r="R303" s="9"/>
      <c r="S303" s="5">
        <v>1</v>
      </c>
      <c r="T3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табеле]])*S303,0)</f>
        <v>0</v>
      </c>
      <c r="U303" s="5">
        <f>IF(Таблица1[[#This Row],[ТТН]]&gt;0,Таблица1[[#This Row],[Ставка за ТТН]]*Таблица1[[#This Row],[ТТН]],0)</f>
        <v>0</v>
      </c>
    </row>
    <row r="304" spans="1:21" x14ac:dyDescent="0.25">
      <c r="A304" t="s">
        <v>84</v>
      </c>
      <c r="B304" s="24">
        <v>12</v>
      </c>
      <c r="C304" t="s">
        <v>109</v>
      </c>
      <c r="D304" t="s">
        <v>28</v>
      </c>
      <c r="E304" t="s">
        <v>214</v>
      </c>
      <c r="F304" t="s">
        <v>28</v>
      </c>
      <c r="H304" t="s">
        <v>29</v>
      </c>
      <c r="I304" t="s">
        <v>217</v>
      </c>
      <c r="J304">
        <v>8</v>
      </c>
      <c r="N304">
        <f>Таблица1[[#This Row],[Часов на заказчика  в работе]]+Таблица1[[#This Row],[Часов на заказчика  дежурство]]</f>
        <v>0</v>
      </c>
      <c r="O3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" s="9">
        <v>100000</v>
      </c>
      <c r="R304" s="9"/>
      <c r="S304" s="5">
        <v>1</v>
      </c>
      <c r="T3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табеле]])*S304,0)</f>
        <v>0</v>
      </c>
      <c r="U304" s="5">
        <f>IF(Таблица1[[#This Row],[ТТН]]&gt;0,Таблица1[[#This Row],[Ставка за ТТН]]*Таблица1[[#This Row],[ТТН]],0)</f>
        <v>0</v>
      </c>
    </row>
    <row r="305" spans="1:21" x14ac:dyDescent="0.25">
      <c r="A305" t="s">
        <v>84</v>
      </c>
      <c r="B305" s="24">
        <v>13</v>
      </c>
      <c r="C305" t="s">
        <v>109</v>
      </c>
      <c r="D305" t="s">
        <v>28</v>
      </c>
      <c r="E305" t="s">
        <v>214</v>
      </c>
      <c r="F305" t="s">
        <v>28</v>
      </c>
      <c r="H305" t="s">
        <v>30</v>
      </c>
      <c r="I305" t="s">
        <v>217</v>
      </c>
      <c r="J305">
        <v>1</v>
      </c>
      <c r="N305">
        <f>Таблица1[[#This Row],[Часов на заказчика  в работе]]+Таблица1[[#This Row],[Часов на заказчика  дежурство]]</f>
        <v>0</v>
      </c>
      <c r="O3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" s="9">
        <v>100000</v>
      </c>
      <c r="R305" s="9"/>
      <c r="S305" s="5">
        <v>1</v>
      </c>
      <c r="T3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табеле]])*S305,0)</f>
        <v>0</v>
      </c>
      <c r="U305" s="5">
        <f>IF(Таблица1[[#This Row],[ТТН]]&gt;0,Таблица1[[#This Row],[Ставка за ТТН]]*Таблица1[[#This Row],[ТТН]],0)</f>
        <v>0</v>
      </c>
    </row>
    <row r="306" spans="1:21" x14ac:dyDescent="0.25">
      <c r="A306" t="s">
        <v>84</v>
      </c>
      <c r="B306" s="24">
        <v>14</v>
      </c>
      <c r="C306" t="s">
        <v>109</v>
      </c>
      <c r="D306" t="s">
        <v>28</v>
      </c>
      <c r="E306" t="s">
        <v>214</v>
      </c>
      <c r="F306" t="s">
        <v>28</v>
      </c>
      <c r="H306" t="s">
        <v>30</v>
      </c>
      <c r="I306" t="s">
        <v>217</v>
      </c>
      <c r="J306">
        <v>1</v>
      </c>
      <c r="N306">
        <f>Таблица1[[#This Row],[Часов на заказчика  в работе]]+Таблица1[[#This Row],[Часов на заказчика  дежурство]]</f>
        <v>0</v>
      </c>
      <c r="O3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" s="9">
        <v>100000</v>
      </c>
      <c r="R306" s="9"/>
      <c r="S306" s="5">
        <v>1</v>
      </c>
      <c r="T3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табеле]])*S306,0)</f>
        <v>0</v>
      </c>
      <c r="U306" s="5">
        <f>IF(Таблица1[[#This Row],[ТТН]]&gt;0,Таблица1[[#This Row],[Ставка за ТТН]]*Таблица1[[#This Row],[ТТН]],0)</f>
        <v>0</v>
      </c>
    </row>
    <row r="307" spans="1:21" x14ac:dyDescent="0.25">
      <c r="A307" t="s">
        <v>84</v>
      </c>
      <c r="B307" s="24">
        <v>15</v>
      </c>
      <c r="C307" t="s">
        <v>109</v>
      </c>
      <c r="D307" t="s">
        <v>28</v>
      </c>
      <c r="E307" t="s">
        <v>214</v>
      </c>
      <c r="F307" t="s">
        <v>28</v>
      </c>
      <c r="H307" t="s">
        <v>29</v>
      </c>
      <c r="I307" t="s">
        <v>217</v>
      </c>
      <c r="J307">
        <v>8</v>
      </c>
      <c r="N307">
        <f>Таблица1[[#This Row],[Часов на заказчика  в работе]]+Таблица1[[#This Row],[Часов на заказчика  дежурство]]</f>
        <v>0</v>
      </c>
      <c r="O3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" s="9">
        <v>100000</v>
      </c>
      <c r="R307" s="9"/>
      <c r="S307" s="5">
        <v>1</v>
      </c>
      <c r="T3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табеле]])*S307,0)</f>
        <v>0</v>
      </c>
      <c r="U307" s="5">
        <f>IF(Таблица1[[#This Row],[ТТН]]&gt;0,Таблица1[[#This Row],[Ставка за ТТН]]*Таблица1[[#This Row],[ТТН]],0)</f>
        <v>0</v>
      </c>
    </row>
    <row r="308" spans="1:21" x14ac:dyDescent="0.25">
      <c r="A308" t="s">
        <v>84</v>
      </c>
      <c r="B308" s="24">
        <v>16</v>
      </c>
      <c r="C308" t="s">
        <v>109</v>
      </c>
      <c r="D308" t="s">
        <v>28</v>
      </c>
      <c r="E308" t="s">
        <v>214</v>
      </c>
      <c r="F308" t="s">
        <v>28</v>
      </c>
      <c r="H308" t="s">
        <v>29</v>
      </c>
      <c r="I308" t="s">
        <v>217</v>
      </c>
      <c r="J308">
        <v>8</v>
      </c>
      <c r="N308">
        <f>Таблица1[[#This Row],[Часов на заказчика  в работе]]+Таблица1[[#This Row],[Часов на заказчика  дежурство]]</f>
        <v>0</v>
      </c>
      <c r="O3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" s="9">
        <v>100000</v>
      </c>
      <c r="R308" s="9"/>
      <c r="S308" s="5">
        <v>1</v>
      </c>
      <c r="T3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табеле]])*S308,0)</f>
        <v>0</v>
      </c>
      <c r="U308" s="5">
        <f>IF(Таблица1[[#This Row],[ТТН]]&gt;0,Таблица1[[#This Row],[Ставка за ТТН]]*Таблица1[[#This Row],[ТТН]],0)</f>
        <v>0</v>
      </c>
    </row>
    <row r="309" spans="1:21" x14ac:dyDescent="0.25">
      <c r="A309" t="s">
        <v>84</v>
      </c>
      <c r="B309" s="24">
        <v>17</v>
      </c>
      <c r="C309" t="s">
        <v>109</v>
      </c>
      <c r="D309" t="s">
        <v>28</v>
      </c>
      <c r="E309" t="s">
        <v>214</v>
      </c>
      <c r="F309" t="s">
        <v>28</v>
      </c>
      <c r="H309" t="s">
        <v>29</v>
      </c>
      <c r="I309" t="s">
        <v>217</v>
      </c>
      <c r="J309">
        <v>8</v>
      </c>
      <c r="N309">
        <f>Таблица1[[#This Row],[Часов на заказчика  в работе]]+Таблица1[[#This Row],[Часов на заказчика  дежурство]]</f>
        <v>0</v>
      </c>
      <c r="O3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" s="9">
        <v>100000</v>
      </c>
      <c r="R309" s="9"/>
      <c r="S309" s="5">
        <v>1</v>
      </c>
      <c r="T3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табеле]])*S309,0)</f>
        <v>0</v>
      </c>
      <c r="U309" s="5">
        <f>IF(Таблица1[[#This Row],[ТТН]]&gt;0,Таблица1[[#This Row],[Ставка за ТТН]]*Таблица1[[#This Row],[ТТН]],0)</f>
        <v>0</v>
      </c>
    </row>
    <row r="310" spans="1:21" x14ac:dyDescent="0.25">
      <c r="A310" t="s">
        <v>84</v>
      </c>
      <c r="B310" s="24">
        <v>18</v>
      </c>
      <c r="C310" t="s">
        <v>109</v>
      </c>
      <c r="D310" t="s">
        <v>28</v>
      </c>
      <c r="E310" t="s">
        <v>214</v>
      </c>
      <c r="F310" t="s">
        <v>28</v>
      </c>
      <c r="H310" t="s">
        <v>29</v>
      </c>
      <c r="I310" t="s">
        <v>217</v>
      </c>
      <c r="J310">
        <v>8</v>
      </c>
      <c r="N310">
        <f>Таблица1[[#This Row],[Часов на заказчика  в работе]]+Таблица1[[#This Row],[Часов на заказчика  дежурство]]</f>
        <v>0</v>
      </c>
      <c r="O3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" s="9">
        <v>100000</v>
      </c>
      <c r="R310" s="9"/>
      <c r="S310" s="5">
        <v>1</v>
      </c>
      <c r="T3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табеле]])*S310,0)</f>
        <v>0</v>
      </c>
      <c r="U310" s="5">
        <f>IF(Таблица1[[#This Row],[ТТН]]&gt;0,Таблица1[[#This Row],[Ставка за ТТН]]*Таблица1[[#This Row],[ТТН]],0)</f>
        <v>0</v>
      </c>
    </row>
    <row r="311" spans="1:21" x14ac:dyDescent="0.25">
      <c r="A311" t="s">
        <v>84</v>
      </c>
      <c r="B311" s="24">
        <v>19</v>
      </c>
      <c r="C311" t="s">
        <v>109</v>
      </c>
      <c r="D311" t="s">
        <v>28</v>
      </c>
      <c r="E311" t="s">
        <v>214</v>
      </c>
      <c r="F311" t="s">
        <v>28</v>
      </c>
      <c r="H311" t="s">
        <v>29</v>
      </c>
      <c r="I311" t="s">
        <v>217</v>
      </c>
      <c r="J311">
        <v>8</v>
      </c>
      <c r="N311">
        <f>Таблица1[[#This Row],[Часов на заказчика  в работе]]+Таблица1[[#This Row],[Часов на заказчика  дежурство]]</f>
        <v>0</v>
      </c>
      <c r="O3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" s="9">
        <v>100000</v>
      </c>
      <c r="R311" s="9"/>
      <c r="S311" s="5">
        <v>1</v>
      </c>
      <c r="T3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табеле]])*S311,0)</f>
        <v>0</v>
      </c>
      <c r="U311" s="5">
        <f>IF(Таблица1[[#This Row],[ТТН]]&gt;0,Таблица1[[#This Row],[Ставка за ТТН]]*Таблица1[[#This Row],[ТТН]],0)</f>
        <v>0</v>
      </c>
    </row>
    <row r="312" spans="1:21" x14ac:dyDescent="0.25">
      <c r="A312" t="s">
        <v>84</v>
      </c>
      <c r="B312" s="24">
        <v>20</v>
      </c>
      <c r="C312" t="s">
        <v>109</v>
      </c>
      <c r="D312" t="s">
        <v>28</v>
      </c>
      <c r="E312" t="s">
        <v>214</v>
      </c>
      <c r="F312" t="s">
        <v>28</v>
      </c>
      <c r="H312" t="s">
        <v>30</v>
      </c>
      <c r="I312" t="s">
        <v>217</v>
      </c>
      <c r="J312">
        <v>1</v>
      </c>
      <c r="N312">
        <f>Таблица1[[#This Row],[Часов на заказчика  в работе]]+Таблица1[[#This Row],[Часов на заказчика  дежурство]]</f>
        <v>0</v>
      </c>
      <c r="O3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" s="9">
        <v>100000</v>
      </c>
      <c r="R312" s="9"/>
      <c r="S312" s="5">
        <v>1</v>
      </c>
      <c r="T3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табеле]])*S312,0)</f>
        <v>0</v>
      </c>
      <c r="U312" s="5">
        <f>IF(Таблица1[[#This Row],[ТТН]]&gt;0,Таблица1[[#This Row],[Ставка за ТТН]]*Таблица1[[#This Row],[ТТН]],0)</f>
        <v>0</v>
      </c>
    </row>
    <row r="313" spans="1:21" x14ac:dyDescent="0.25">
      <c r="A313" t="s">
        <v>84</v>
      </c>
      <c r="B313" s="24">
        <v>21</v>
      </c>
      <c r="C313" t="s">
        <v>109</v>
      </c>
      <c r="D313" t="s">
        <v>28</v>
      </c>
      <c r="E313" t="s">
        <v>214</v>
      </c>
      <c r="F313" t="s">
        <v>28</v>
      </c>
      <c r="H313" t="s">
        <v>30</v>
      </c>
      <c r="I313" t="s">
        <v>217</v>
      </c>
      <c r="J313">
        <v>1</v>
      </c>
      <c r="N313">
        <f>Таблица1[[#This Row],[Часов на заказчика  в работе]]+Таблица1[[#This Row],[Часов на заказчика  дежурство]]</f>
        <v>0</v>
      </c>
      <c r="O3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" s="9">
        <v>100000</v>
      </c>
      <c r="R313" s="9"/>
      <c r="S313" s="5">
        <v>1</v>
      </c>
      <c r="T3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табеле]])*S313,0)</f>
        <v>0</v>
      </c>
      <c r="U313" s="5">
        <f>IF(Таблица1[[#This Row],[ТТН]]&gt;0,Таблица1[[#This Row],[Ставка за ТТН]]*Таблица1[[#This Row],[ТТН]],0)</f>
        <v>0</v>
      </c>
    </row>
    <row r="314" spans="1:21" x14ac:dyDescent="0.25">
      <c r="A314" t="s">
        <v>84</v>
      </c>
      <c r="B314" s="24">
        <v>22</v>
      </c>
      <c r="C314" t="s">
        <v>109</v>
      </c>
      <c r="D314" t="s">
        <v>28</v>
      </c>
      <c r="E314" t="s">
        <v>214</v>
      </c>
      <c r="F314" t="s">
        <v>28</v>
      </c>
      <c r="H314" t="s">
        <v>29</v>
      </c>
      <c r="I314" t="s">
        <v>217</v>
      </c>
      <c r="J314">
        <v>8</v>
      </c>
      <c r="N314">
        <f>Таблица1[[#This Row],[Часов на заказчика  в работе]]+Таблица1[[#This Row],[Часов на заказчика  дежурство]]</f>
        <v>0</v>
      </c>
      <c r="O3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" s="9">
        <v>100000</v>
      </c>
      <c r="R314" s="9"/>
      <c r="S314" s="5">
        <v>1</v>
      </c>
      <c r="T3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табеле]])*S314,0)</f>
        <v>0</v>
      </c>
      <c r="U314" s="5">
        <f>IF(Таблица1[[#This Row],[ТТН]]&gt;0,Таблица1[[#This Row],[Ставка за ТТН]]*Таблица1[[#This Row],[ТТН]],0)</f>
        <v>0</v>
      </c>
    </row>
    <row r="315" spans="1:21" x14ac:dyDescent="0.25">
      <c r="A315" t="s">
        <v>84</v>
      </c>
      <c r="B315" s="24">
        <v>23</v>
      </c>
      <c r="C315" t="s">
        <v>109</v>
      </c>
      <c r="D315" t="s">
        <v>28</v>
      </c>
      <c r="E315" t="s">
        <v>214</v>
      </c>
      <c r="F315" t="s">
        <v>28</v>
      </c>
      <c r="H315" t="s">
        <v>29</v>
      </c>
      <c r="I315" t="s">
        <v>217</v>
      </c>
      <c r="J315">
        <v>8</v>
      </c>
      <c r="N315">
        <f>Таблица1[[#This Row],[Часов на заказчика  в работе]]+Таблица1[[#This Row],[Часов на заказчика  дежурство]]</f>
        <v>0</v>
      </c>
      <c r="O3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" s="9">
        <v>100000</v>
      </c>
      <c r="R315" s="9"/>
      <c r="S315" s="5">
        <v>1</v>
      </c>
      <c r="T3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табеле]])*S315,0)</f>
        <v>0</v>
      </c>
      <c r="U315" s="5">
        <f>IF(Таблица1[[#This Row],[ТТН]]&gt;0,Таблица1[[#This Row],[Ставка за ТТН]]*Таблица1[[#This Row],[ТТН]],0)</f>
        <v>0</v>
      </c>
    </row>
    <row r="316" spans="1:21" x14ac:dyDescent="0.25">
      <c r="A316" t="s">
        <v>84</v>
      </c>
      <c r="B316" s="24">
        <v>24</v>
      </c>
      <c r="C316" t="s">
        <v>109</v>
      </c>
      <c r="D316" t="s">
        <v>28</v>
      </c>
      <c r="E316" t="s">
        <v>214</v>
      </c>
      <c r="F316" t="s">
        <v>28</v>
      </c>
      <c r="H316" t="s">
        <v>29</v>
      </c>
      <c r="I316" t="s">
        <v>217</v>
      </c>
      <c r="J316">
        <v>8</v>
      </c>
      <c r="N316">
        <f>Таблица1[[#This Row],[Часов на заказчика  в работе]]+Таблица1[[#This Row],[Часов на заказчика  дежурство]]</f>
        <v>0</v>
      </c>
      <c r="O3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" s="9">
        <v>100000</v>
      </c>
      <c r="R316" s="9"/>
      <c r="S316" s="5">
        <v>1</v>
      </c>
      <c r="T3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табеле]])*S316,0)</f>
        <v>0</v>
      </c>
      <c r="U316" s="5">
        <f>IF(Таблица1[[#This Row],[ТТН]]&gt;0,Таблица1[[#This Row],[Ставка за ТТН]]*Таблица1[[#This Row],[ТТН]],0)</f>
        <v>0</v>
      </c>
    </row>
    <row r="317" spans="1:21" x14ac:dyDescent="0.25">
      <c r="A317" t="s">
        <v>84</v>
      </c>
      <c r="B317" s="24">
        <v>25</v>
      </c>
      <c r="C317" t="s">
        <v>109</v>
      </c>
      <c r="D317" t="s">
        <v>28</v>
      </c>
      <c r="E317" t="s">
        <v>214</v>
      </c>
      <c r="F317" t="s">
        <v>28</v>
      </c>
      <c r="H317" t="s">
        <v>29</v>
      </c>
      <c r="I317" t="s">
        <v>217</v>
      </c>
      <c r="J317">
        <v>8</v>
      </c>
      <c r="N317">
        <f>Таблица1[[#This Row],[Часов на заказчика  в работе]]+Таблица1[[#This Row],[Часов на заказчика  дежурство]]</f>
        <v>0</v>
      </c>
      <c r="O3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" s="9">
        <v>100000</v>
      </c>
      <c r="R317" s="9"/>
      <c r="S317" s="5">
        <v>1</v>
      </c>
      <c r="T3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табеле]])*S317,0)</f>
        <v>0</v>
      </c>
      <c r="U317" s="5">
        <f>IF(Таблица1[[#This Row],[ТТН]]&gt;0,Таблица1[[#This Row],[Ставка за ТТН]]*Таблица1[[#This Row],[ТТН]],0)</f>
        <v>0</v>
      </c>
    </row>
    <row r="318" spans="1:21" x14ac:dyDescent="0.25">
      <c r="A318" t="s">
        <v>84</v>
      </c>
      <c r="B318" s="24">
        <v>26</v>
      </c>
      <c r="C318" t="s">
        <v>109</v>
      </c>
      <c r="D318" t="s">
        <v>28</v>
      </c>
      <c r="E318" t="s">
        <v>214</v>
      </c>
      <c r="F318" t="s">
        <v>28</v>
      </c>
      <c r="H318" t="s">
        <v>29</v>
      </c>
      <c r="I318" t="s">
        <v>217</v>
      </c>
      <c r="J318">
        <v>8</v>
      </c>
      <c r="N318">
        <f>Таблица1[[#This Row],[Часов на заказчика  в работе]]+Таблица1[[#This Row],[Часов на заказчика  дежурство]]</f>
        <v>0</v>
      </c>
      <c r="O3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" s="9">
        <v>100000</v>
      </c>
      <c r="R318" s="9"/>
      <c r="S318" s="5">
        <v>1</v>
      </c>
      <c r="T3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табеле]])*S318,0)</f>
        <v>0</v>
      </c>
      <c r="U318" s="5">
        <f>IF(Таблица1[[#This Row],[ТТН]]&gt;0,Таблица1[[#This Row],[Ставка за ТТН]]*Таблица1[[#This Row],[ТТН]],0)</f>
        <v>0</v>
      </c>
    </row>
    <row r="319" spans="1:21" x14ac:dyDescent="0.25">
      <c r="A319" t="s">
        <v>84</v>
      </c>
      <c r="B319" s="24">
        <v>27</v>
      </c>
      <c r="C319" t="s">
        <v>109</v>
      </c>
      <c r="D319" t="s">
        <v>28</v>
      </c>
      <c r="E319" t="s">
        <v>214</v>
      </c>
      <c r="F319" t="s">
        <v>28</v>
      </c>
      <c r="H319" t="s">
        <v>30</v>
      </c>
      <c r="I319" t="s">
        <v>217</v>
      </c>
      <c r="J319">
        <v>1</v>
      </c>
      <c r="N319">
        <f>Таблица1[[#This Row],[Часов на заказчика  в работе]]+Таблица1[[#This Row],[Часов на заказчика  дежурство]]</f>
        <v>0</v>
      </c>
      <c r="O3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" s="9">
        <v>100000</v>
      </c>
      <c r="R319" s="9"/>
      <c r="S319" s="5">
        <v>1</v>
      </c>
      <c r="T3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табеле]])*S319,0)</f>
        <v>0</v>
      </c>
      <c r="U319" s="5">
        <f>IF(Таблица1[[#This Row],[ТТН]]&gt;0,Таблица1[[#This Row],[Ставка за ТТН]]*Таблица1[[#This Row],[ТТН]],0)</f>
        <v>0</v>
      </c>
    </row>
    <row r="320" spans="1:21" x14ac:dyDescent="0.25">
      <c r="A320" t="s">
        <v>84</v>
      </c>
      <c r="B320" s="24">
        <v>28</v>
      </c>
      <c r="C320" t="s">
        <v>109</v>
      </c>
      <c r="D320" t="s">
        <v>28</v>
      </c>
      <c r="E320" t="s">
        <v>214</v>
      </c>
      <c r="F320" t="s">
        <v>28</v>
      </c>
      <c r="H320" t="s">
        <v>30</v>
      </c>
      <c r="I320" t="s">
        <v>217</v>
      </c>
      <c r="J320">
        <v>1</v>
      </c>
      <c r="N320">
        <f>Таблица1[[#This Row],[Часов на заказчика  в работе]]+Таблица1[[#This Row],[Часов на заказчика  дежурство]]</f>
        <v>0</v>
      </c>
      <c r="O3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" s="9">
        <v>100000</v>
      </c>
      <c r="R320" s="9"/>
      <c r="S320" s="5">
        <v>1</v>
      </c>
      <c r="T3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табеле]])*S320,0)</f>
        <v>0</v>
      </c>
      <c r="U320" s="5">
        <f>IF(Таблица1[[#This Row],[ТТН]]&gt;0,Таблица1[[#This Row],[Ставка за ТТН]]*Таблица1[[#This Row],[ТТН]],0)</f>
        <v>0</v>
      </c>
    </row>
    <row r="321" spans="1:21" x14ac:dyDescent="0.25">
      <c r="A321" t="s">
        <v>84</v>
      </c>
      <c r="B321" s="24">
        <v>29</v>
      </c>
      <c r="C321" t="s">
        <v>109</v>
      </c>
      <c r="D321" t="s">
        <v>28</v>
      </c>
      <c r="E321" t="s">
        <v>214</v>
      </c>
      <c r="F321" t="s">
        <v>28</v>
      </c>
      <c r="H321" t="s">
        <v>29</v>
      </c>
      <c r="I321" t="s">
        <v>217</v>
      </c>
      <c r="J321">
        <v>8</v>
      </c>
      <c r="N321">
        <f>Таблица1[[#This Row],[Часов на заказчика  в работе]]+Таблица1[[#This Row],[Часов на заказчика  дежурство]]</f>
        <v>0</v>
      </c>
      <c r="O3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" s="9">
        <v>100000</v>
      </c>
      <c r="R321" s="9"/>
      <c r="S321" s="5">
        <v>1</v>
      </c>
      <c r="T3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табеле]])*S321,0)</f>
        <v>0</v>
      </c>
      <c r="U321" s="5">
        <f>IF(Таблица1[[#This Row],[ТТН]]&gt;0,Таблица1[[#This Row],[Ставка за ТТН]]*Таблица1[[#This Row],[ТТН]],0)</f>
        <v>0</v>
      </c>
    </row>
    <row r="322" spans="1:21" x14ac:dyDescent="0.25">
      <c r="A322" t="s">
        <v>84</v>
      </c>
      <c r="B322" s="24">
        <v>30</v>
      </c>
      <c r="C322" t="s">
        <v>110</v>
      </c>
      <c r="D322" t="s">
        <v>28</v>
      </c>
      <c r="E322" t="s">
        <v>214</v>
      </c>
      <c r="F322" t="s">
        <v>28</v>
      </c>
      <c r="H322" t="s">
        <v>29</v>
      </c>
      <c r="I322" t="s">
        <v>217</v>
      </c>
      <c r="J322">
        <v>8</v>
      </c>
      <c r="N322">
        <f>Таблица1[[#This Row],[Часов на заказчика  в работе]]+Таблица1[[#This Row],[Часов на заказчика  дежурство]]</f>
        <v>0</v>
      </c>
      <c r="O3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" s="9">
        <v>100000</v>
      </c>
      <c r="R322" s="9"/>
      <c r="S322" s="5">
        <v>1</v>
      </c>
      <c r="T3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табеле]])*S322,0)</f>
        <v>0</v>
      </c>
      <c r="U322" s="5">
        <f>IF(Таблица1[[#This Row],[ТТН]]&gt;0,Таблица1[[#This Row],[Ставка за ТТН]]*Таблица1[[#This Row],[ТТН]],0)</f>
        <v>0</v>
      </c>
    </row>
    <row r="323" spans="1:21" x14ac:dyDescent="0.25">
      <c r="A323" t="s">
        <v>84</v>
      </c>
      <c r="B323" s="24">
        <v>1</v>
      </c>
      <c r="C323" t="s">
        <v>110</v>
      </c>
      <c r="D323" t="s">
        <v>32</v>
      </c>
      <c r="E323" t="s">
        <v>214</v>
      </c>
      <c r="F323" t="s">
        <v>31</v>
      </c>
      <c r="H323" t="s">
        <v>10</v>
      </c>
      <c r="I323" t="s">
        <v>220</v>
      </c>
      <c r="J323">
        <v>17</v>
      </c>
      <c r="L323">
        <v>17</v>
      </c>
      <c r="N323">
        <f>Таблица1[[#This Row],[Часов на заказчика  в работе]]+Таблица1[[#This Row],[Часов на заказчика  дежурство]]</f>
        <v>17</v>
      </c>
      <c r="O3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" s="9">
        <v>100000</v>
      </c>
      <c r="R323" s="9"/>
      <c r="S323" s="5">
        <v>1</v>
      </c>
      <c r="T3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табеле]])*S323,0)</f>
        <v>5151.515151515151</v>
      </c>
      <c r="U323" s="5">
        <f>IF(Таблица1[[#This Row],[ТТН]]&gt;0,Таблица1[[#This Row],[Ставка за ТТН]]*Таблица1[[#This Row],[ТТН]],0)</f>
        <v>0</v>
      </c>
    </row>
    <row r="324" spans="1:21" x14ac:dyDescent="0.25">
      <c r="A324" t="s">
        <v>84</v>
      </c>
      <c r="B324" s="24">
        <v>1</v>
      </c>
      <c r="C324" t="s">
        <v>110</v>
      </c>
      <c r="D324" t="s">
        <v>32</v>
      </c>
      <c r="E324" t="s">
        <v>214</v>
      </c>
      <c r="F324" t="s">
        <v>31</v>
      </c>
      <c r="H324" t="s">
        <v>10</v>
      </c>
      <c r="I324" t="s">
        <v>220</v>
      </c>
      <c r="J324">
        <v>5</v>
      </c>
      <c r="L324">
        <v>5</v>
      </c>
      <c r="N324">
        <f>Таблица1[[#This Row],[Часов на заказчика  в работе]]+Таблица1[[#This Row],[Часов на заказчика  дежурство]]</f>
        <v>5</v>
      </c>
      <c r="O3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" s="9">
        <v>100000</v>
      </c>
      <c r="R324" s="9"/>
      <c r="S324" s="5">
        <v>1</v>
      </c>
      <c r="T3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табеле]])*S324,0)</f>
        <v>1515.151515151515</v>
      </c>
      <c r="U324" s="5">
        <f>IF(Таблица1[[#This Row],[ТТН]]&gt;0,Таблица1[[#This Row],[Ставка за ТТН]]*Таблица1[[#This Row],[ТТН]],0)</f>
        <v>0</v>
      </c>
    </row>
    <row r="325" spans="1:21" x14ac:dyDescent="0.25">
      <c r="A325" t="s">
        <v>84</v>
      </c>
      <c r="B325" s="24">
        <v>2</v>
      </c>
      <c r="C325" t="s">
        <v>110</v>
      </c>
      <c r="D325" t="s">
        <v>32</v>
      </c>
      <c r="E325" t="s">
        <v>214</v>
      </c>
      <c r="F325" t="s">
        <v>31</v>
      </c>
      <c r="H325" t="s">
        <v>10</v>
      </c>
      <c r="I325" t="s">
        <v>220</v>
      </c>
      <c r="J325">
        <v>22</v>
      </c>
      <c r="L325">
        <v>22</v>
      </c>
      <c r="N325">
        <f>Таблица1[[#This Row],[Часов на заказчика  в работе]]+Таблица1[[#This Row],[Часов на заказчика  дежурство]]</f>
        <v>22</v>
      </c>
      <c r="O3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" s="9">
        <v>100000</v>
      </c>
      <c r="R325" s="9"/>
      <c r="S325" s="5">
        <v>1</v>
      </c>
      <c r="T3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табеле]])*S325,0)</f>
        <v>6666.6666666666661</v>
      </c>
      <c r="U325" s="5">
        <f>IF(Таблица1[[#This Row],[ТТН]]&gt;0,Таблица1[[#This Row],[Ставка за ТТН]]*Таблица1[[#This Row],[ТТН]],0)</f>
        <v>0</v>
      </c>
    </row>
    <row r="326" spans="1:21" x14ac:dyDescent="0.25">
      <c r="A326" t="s">
        <v>84</v>
      </c>
      <c r="B326" s="24">
        <v>3</v>
      </c>
      <c r="C326" t="s">
        <v>110</v>
      </c>
      <c r="D326" t="s">
        <v>32</v>
      </c>
      <c r="E326" t="s">
        <v>214</v>
      </c>
      <c r="F326" t="s">
        <v>31</v>
      </c>
      <c r="H326" t="s">
        <v>10</v>
      </c>
      <c r="I326" t="s">
        <v>220</v>
      </c>
      <c r="J326">
        <v>11</v>
      </c>
      <c r="L326">
        <v>11</v>
      </c>
      <c r="N326">
        <f>Таблица1[[#This Row],[Часов на заказчика  в работе]]+Таблица1[[#This Row],[Часов на заказчика  дежурство]]</f>
        <v>11</v>
      </c>
      <c r="O3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" s="9">
        <v>100000</v>
      </c>
      <c r="R326" s="9"/>
      <c r="S326" s="5">
        <v>1</v>
      </c>
      <c r="T3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табеле]])*S326,0)</f>
        <v>3333.333333333333</v>
      </c>
      <c r="U326" s="5">
        <f>IF(Таблица1[[#This Row],[ТТН]]&gt;0,Таблица1[[#This Row],[Ставка за ТТН]]*Таблица1[[#This Row],[ТТН]],0)</f>
        <v>0</v>
      </c>
    </row>
    <row r="327" spans="1:21" x14ac:dyDescent="0.25">
      <c r="A327" t="s">
        <v>84</v>
      </c>
      <c r="B327" s="24">
        <v>4</v>
      </c>
      <c r="C327" t="s">
        <v>110</v>
      </c>
      <c r="D327" t="s">
        <v>32</v>
      </c>
      <c r="E327" t="s">
        <v>214</v>
      </c>
      <c r="F327" t="s">
        <v>31</v>
      </c>
      <c r="H327" t="s">
        <v>10</v>
      </c>
      <c r="I327" t="s">
        <v>220</v>
      </c>
      <c r="J327">
        <v>22</v>
      </c>
      <c r="L327">
        <v>22</v>
      </c>
      <c r="N327">
        <f>Таблица1[[#This Row],[Часов на заказчика  в работе]]+Таблица1[[#This Row],[Часов на заказчика  дежурство]]</f>
        <v>22</v>
      </c>
      <c r="O3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" s="9">
        <v>100000</v>
      </c>
      <c r="R327" s="9"/>
      <c r="S327" s="5">
        <v>1</v>
      </c>
      <c r="T3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табеле]])*S327,0)</f>
        <v>6666.6666666666661</v>
      </c>
      <c r="U327" s="5">
        <f>IF(Таблица1[[#This Row],[ТТН]]&gt;0,Таблица1[[#This Row],[Ставка за ТТН]]*Таблица1[[#This Row],[ТТН]],0)</f>
        <v>0</v>
      </c>
    </row>
    <row r="328" spans="1:21" x14ac:dyDescent="0.25">
      <c r="A328" t="s">
        <v>84</v>
      </c>
      <c r="B328" s="24">
        <v>5</v>
      </c>
      <c r="C328" t="s">
        <v>110</v>
      </c>
      <c r="D328" t="s">
        <v>32</v>
      </c>
      <c r="E328" t="s">
        <v>214</v>
      </c>
      <c r="F328" t="s">
        <v>31</v>
      </c>
      <c r="H328" t="s">
        <v>10</v>
      </c>
      <c r="I328" t="s">
        <v>220</v>
      </c>
      <c r="J328">
        <v>11</v>
      </c>
      <c r="L328">
        <v>11</v>
      </c>
      <c r="N328">
        <f>Таблица1[[#This Row],[Часов на заказчика  в работе]]+Таблица1[[#This Row],[Часов на заказчика  дежурство]]</f>
        <v>11</v>
      </c>
      <c r="O3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" s="9">
        <v>100000</v>
      </c>
      <c r="R328" s="9"/>
      <c r="S328" s="5">
        <v>1</v>
      </c>
      <c r="T3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табеле]])*S328,0)</f>
        <v>3333.333333333333</v>
      </c>
      <c r="U328" s="5">
        <f>IF(Таблица1[[#This Row],[ТТН]]&gt;0,Таблица1[[#This Row],[Ставка за ТТН]]*Таблица1[[#This Row],[ТТН]],0)</f>
        <v>0</v>
      </c>
    </row>
    <row r="329" spans="1:21" x14ac:dyDescent="0.25">
      <c r="A329" t="s">
        <v>84</v>
      </c>
      <c r="B329" s="24">
        <v>6</v>
      </c>
      <c r="C329" t="s">
        <v>110</v>
      </c>
      <c r="D329" t="s">
        <v>32</v>
      </c>
      <c r="E329" t="s">
        <v>214</v>
      </c>
      <c r="F329" t="s">
        <v>31</v>
      </c>
      <c r="H329" t="s">
        <v>10</v>
      </c>
      <c r="I329" t="s">
        <v>220</v>
      </c>
      <c r="J329">
        <v>11</v>
      </c>
      <c r="L329">
        <v>11</v>
      </c>
      <c r="N329">
        <f>Таблица1[[#This Row],[Часов на заказчика  в работе]]+Таблица1[[#This Row],[Часов на заказчика  дежурство]]</f>
        <v>11</v>
      </c>
      <c r="O3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" s="9">
        <v>100000</v>
      </c>
      <c r="R329" s="9"/>
      <c r="S329" s="5">
        <v>1</v>
      </c>
      <c r="T3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табеле]])*S329,0)</f>
        <v>3333.333333333333</v>
      </c>
      <c r="U329" s="5">
        <f>IF(Таблица1[[#This Row],[ТТН]]&gt;0,Таблица1[[#This Row],[Ставка за ТТН]]*Таблица1[[#This Row],[ТТН]],0)</f>
        <v>0</v>
      </c>
    </row>
    <row r="330" spans="1:21" x14ac:dyDescent="0.25">
      <c r="A330" t="s">
        <v>84</v>
      </c>
      <c r="B330" s="24">
        <v>7</v>
      </c>
      <c r="C330" t="s">
        <v>110</v>
      </c>
      <c r="D330" t="s">
        <v>32</v>
      </c>
      <c r="E330" t="s">
        <v>214</v>
      </c>
      <c r="F330" t="s">
        <v>31</v>
      </c>
      <c r="H330" t="s">
        <v>10</v>
      </c>
      <c r="I330" t="s">
        <v>220</v>
      </c>
      <c r="J330">
        <v>11</v>
      </c>
      <c r="L330">
        <v>11</v>
      </c>
      <c r="N330">
        <f>Таблица1[[#This Row],[Часов на заказчика  в работе]]+Таблица1[[#This Row],[Часов на заказчика  дежурство]]</f>
        <v>11</v>
      </c>
      <c r="O3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" s="9">
        <v>100000</v>
      </c>
      <c r="R330" s="9"/>
      <c r="S330" s="5">
        <v>1</v>
      </c>
      <c r="T3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табеле]])*S330,0)</f>
        <v>3333.333333333333</v>
      </c>
      <c r="U330" s="5">
        <f>IF(Таблица1[[#This Row],[ТТН]]&gt;0,Таблица1[[#This Row],[Ставка за ТТН]]*Таблица1[[#This Row],[ТТН]],0)</f>
        <v>0</v>
      </c>
    </row>
    <row r="331" spans="1:21" x14ac:dyDescent="0.25">
      <c r="A331" t="s">
        <v>84</v>
      </c>
      <c r="B331" s="24">
        <v>8</v>
      </c>
      <c r="C331" t="s">
        <v>110</v>
      </c>
      <c r="D331" t="s">
        <v>32</v>
      </c>
      <c r="E331" t="s">
        <v>214</v>
      </c>
      <c r="F331" t="s">
        <v>31</v>
      </c>
      <c r="H331" t="s">
        <v>10</v>
      </c>
      <c r="I331" t="s">
        <v>220</v>
      </c>
      <c r="J331">
        <v>22</v>
      </c>
      <c r="L331">
        <v>22</v>
      </c>
      <c r="N331">
        <f>Таблица1[[#This Row],[Часов на заказчика  в работе]]+Таблица1[[#This Row],[Часов на заказчика  дежурство]]</f>
        <v>22</v>
      </c>
      <c r="O3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" s="9">
        <v>100000</v>
      </c>
      <c r="R331" s="9"/>
      <c r="S331" s="5">
        <v>1</v>
      </c>
      <c r="T3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табеле]])*S331,0)</f>
        <v>6666.6666666666661</v>
      </c>
      <c r="U331" s="5">
        <f>IF(Таблица1[[#This Row],[ТТН]]&gt;0,Таблица1[[#This Row],[Ставка за ТТН]]*Таблица1[[#This Row],[ТТН]],0)</f>
        <v>0</v>
      </c>
    </row>
    <row r="332" spans="1:21" x14ac:dyDescent="0.25">
      <c r="A332" t="s">
        <v>84</v>
      </c>
      <c r="B332" s="24">
        <v>9</v>
      </c>
      <c r="C332" t="s">
        <v>110</v>
      </c>
      <c r="D332" t="s">
        <v>32</v>
      </c>
      <c r="E332" t="s">
        <v>214</v>
      </c>
      <c r="F332" t="s">
        <v>31</v>
      </c>
      <c r="H332" t="s">
        <v>10</v>
      </c>
      <c r="I332" t="s">
        <v>220</v>
      </c>
      <c r="J332">
        <v>11</v>
      </c>
      <c r="L332">
        <v>11</v>
      </c>
      <c r="N332">
        <f>Таблица1[[#This Row],[Часов на заказчика  в работе]]+Таблица1[[#This Row],[Часов на заказчика  дежурство]]</f>
        <v>11</v>
      </c>
      <c r="O3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" s="9">
        <v>100000</v>
      </c>
      <c r="R332" s="9"/>
      <c r="S332" s="5">
        <v>1</v>
      </c>
      <c r="T3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табеле]])*S332,0)</f>
        <v>3333.333333333333</v>
      </c>
      <c r="U332" s="5">
        <f>IF(Таблица1[[#This Row],[ТТН]]&gt;0,Таблица1[[#This Row],[Ставка за ТТН]]*Таблица1[[#This Row],[ТТН]],0)</f>
        <v>0</v>
      </c>
    </row>
    <row r="333" spans="1:21" x14ac:dyDescent="0.25">
      <c r="A333" t="s">
        <v>84</v>
      </c>
      <c r="B333" s="24">
        <v>10</v>
      </c>
      <c r="C333" t="s">
        <v>110</v>
      </c>
      <c r="D333" t="s">
        <v>32</v>
      </c>
      <c r="E333" t="s">
        <v>214</v>
      </c>
      <c r="F333" t="s">
        <v>31</v>
      </c>
      <c r="H333" t="s">
        <v>10</v>
      </c>
      <c r="I333" t="s">
        <v>220</v>
      </c>
      <c r="J333">
        <v>22</v>
      </c>
      <c r="L333">
        <v>22</v>
      </c>
      <c r="N333">
        <f>Таблица1[[#This Row],[Часов на заказчика  в работе]]+Таблица1[[#This Row],[Часов на заказчика  дежурство]]</f>
        <v>22</v>
      </c>
      <c r="O3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" s="9">
        <v>100000</v>
      </c>
      <c r="R333" s="9"/>
      <c r="S333" s="5">
        <v>1</v>
      </c>
      <c r="T3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табеле]])*S333,0)</f>
        <v>6666.6666666666661</v>
      </c>
      <c r="U333" s="5">
        <f>IF(Таблица1[[#This Row],[ТТН]]&gt;0,Таблица1[[#This Row],[Ставка за ТТН]]*Таблица1[[#This Row],[ТТН]],0)</f>
        <v>0</v>
      </c>
    </row>
    <row r="334" spans="1:21" x14ac:dyDescent="0.25">
      <c r="A334" t="s">
        <v>84</v>
      </c>
      <c r="B334" s="24">
        <v>11</v>
      </c>
      <c r="C334" t="s">
        <v>110</v>
      </c>
      <c r="D334" t="s">
        <v>32</v>
      </c>
      <c r="E334" t="s">
        <v>214</v>
      </c>
      <c r="F334" t="s">
        <v>31</v>
      </c>
      <c r="H334" t="s">
        <v>10</v>
      </c>
      <c r="I334" t="s">
        <v>220</v>
      </c>
      <c r="J334">
        <v>22</v>
      </c>
      <c r="L334">
        <v>22</v>
      </c>
      <c r="N334">
        <f>Таблица1[[#This Row],[Часов на заказчика  в работе]]+Таблица1[[#This Row],[Часов на заказчика  дежурство]]</f>
        <v>22</v>
      </c>
      <c r="O3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" s="9">
        <v>100000</v>
      </c>
      <c r="R334" s="9"/>
      <c r="S334" s="5">
        <v>1</v>
      </c>
      <c r="T3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табеле]])*S334,0)</f>
        <v>6666.6666666666661</v>
      </c>
      <c r="U334" s="5">
        <f>IF(Таблица1[[#This Row],[ТТН]]&gt;0,Таблица1[[#This Row],[Ставка за ТТН]]*Таблица1[[#This Row],[ТТН]],0)</f>
        <v>0</v>
      </c>
    </row>
    <row r="335" spans="1:21" x14ac:dyDescent="0.25">
      <c r="A335" t="s">
        <v>84</v>
      </c>
      <c r="B335" s="24">
        <v>12</v>
      </c>
      <c r="C335" t="s">
        <v>110</v>
      </c>
      <c r="D335" t="s">
        <v>32</v>
      </c>
      <c r="E335" t="s">
        <v>214</v>
      </c>
      <c r="F335" t="s">
        <v>31</v>
      </c>
      <c r="H335" t="s">
        <v>10</v>
      </c>
      <c r="I335" t="s">
        <v>220</v>
      </c>
      <c r="J335">
        <v>11</v>
      </c>
      <c r="L335">
        <v>11</v>
      </c>
      <c r="N335">
        <f>Таблица1[[#This Row],[Часов на заказчика  в работе]]+Таблица1[[#This Row],[Часов на заказчика  дежурство]]</f>
        <v>11</v>
      </c>
      <c r="O3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" s="9">
        <v>100000</v>
      </c>
      <c r="R335" s="9"/>
      <c r="S335" s="5">
        <v>1</v>
      </c>
      <c r="T3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табеле]])*S335,0)</f>
        <v>3333.333333333333</v>
      </c>
      <c r="U335" s="5">
        <f>IF(Таблица1[[#This Row],[ТТН]]&gt;0,Таблица1[[#This Row],[Ставка за ТТН]]*Таблица1[[#This Row],[ТТН]],0)</f>
        <v>0</v>
      </c>
    </row>
    <row r="336" spans="1:21" x14ac:dyDescent="0.25">
      <c r="A336" t="s">
        <v>84</v>
      </c>
      <c r="B336" s="24">
        <v>13</v>
      </c>
      <c r="C336" t="s">
        <v>110</v>
      </c>
      <c r="D336" t="s">
        <v>32</v>
      </c>
      <c r="E336" t="s">
        <v>214</v>
      </c>
      <c r="F336" t="s">
        <v>31</v>
      </c>
      <c r="H336" t="s">
        <v>10</v>
      </c>
      <c r="I336" t="s">
        <v>220</v>
      </c>
      <c r="J336">
        <v>22</v>
      </c>
      <c r="L336">
        <v>22</v>
      </c>
      <c r="N336">
        <f>Таблица1[[#This Row],[Часов на заказчика  в работе]]+Таблица1[[#This Row],[Часов на заказчика  дежурство]]</f>
        <v>22</v>
      </c>
      <c r="O3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" s="9">
        <v>100000</v>
      </c>
      <c r="R336" s="9"/>
      <c r="S336" s="5">
        <v>1</v>
      </c>
      <c r="T3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табеле]])*S336,0)</f>
        <v>6666.6666666666661</v>
      </c>
      <c r="U336" s="5">
        <f>IF(Таблица1[[#This Row],[ТТН]]&gt;0,Таблица1[[#This Row],[Ставка за ТТН]]*Таблица1[[#This Row],[ТТН]],0)</f>
        <v>0</v>
      </c>
    </row>
    <row r="337" spans="1:21" x14ac:dyDescent="0.25">
      <c r="A337" t="s">
        <v>84</v>
      </c>
      <c r="B337" s="24">
        <v>14</v>
      </c>
      <c r="C337" t="s">
        <v>110</v>
      </c>
      <c r="D337" t="s">
        <v>32</v>
      </c>
      <c r="E337" t="s">
        <v>214</v>
      </c>
      <c r="F337" t="s">
        <v>31</v>
      </c>
      <c r="H337" t="s">
        <v>10</v>
      </c>
      <c r="I337" t="s">
        <v>220</v>
      </c>
      <c r="J337">
        <v>11</v>
      </c>
      <c r="L337">
        <v>11</v>
      </c>
      <c r="N337">
        <f>Таблица1[[#This Row],[Часов на заказчика  в работе]]+Таблица1[[#This Row],[Часов на заказчика  дежурство]]</f>
        <v>11</v>
      </c>
      <c r="O3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" s="9">
        <v>100000</v>
      </c>
      <c r="R337" s="9"/>
      <c r="S337" s="5">
        <v>1</v>
      </c>
      <c r="T3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табеле]])*S337,0)</f>
        <v>3333.333333333333</v>
      </c>
      <c r="U337" s="5">
        <f>IF(Таблица1[[#This Row],[ТТН]]&gt;0,Таблица1[[#This Row],[Ставка за ТТН]]*Таблица1[[#This Row],[ТТН]],0)</f>
        <v>0</v>
      </c>
    </row>
    <row r="338" spans="1:21" x14ac:dyDescent="0.25">
      <c r="A338" t="s">
        <v>84</v>
      </c>
      <c r="B338" s="24">
        <v>15</v>
      </c>
      <c r="C338" t="s">
        <v>110</v>
      </c>
      <c r="D338" t="s">
        <v>32</v>
      </c>
      <c r="E338" t="s">
        <v>214</v>
      </c>
      <c r="F338" t="s">
        <v>31</v>
      </c>
      <c r="H338" t="s">
        <v>10</v>
      </c>
      <c r="I338" t="s">
        <v>220</v>
      </c>
      <c r="J338">
        <v>11</v>
      </c>
      <c r="L338">
        <v>11</v>
      </c>
      <c r="N338">
        <f>Таблица1[[#This Row],[Часов на заказчика  в работе]]+Таблица1[[#This Row],[Часов на заказчика  дежурство]]</f>
        <v>11</v>
      </c>
      <c r="O3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" s="9">
        <v>100000</v>
      </c>
      <c r="R338" s="9"/>
      <c r="S338" s="5">
        <v>1</v>
      </c>
      <c r="T3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табеле]])*S338,0)</f>
        <v>3333.333333333333</v>
      </c>
      <c r="U338" s="5">
        <f>IF(Таблица1[[#This Row],[ТТН]]&gt;0,Таблица1[[#This Row],[Ставка за ТТН]]*Таблица1[[#This Row],[ТТН]],0)</f>
        <v>0</v>
      </c>
    </row>
    <row r="339" spans="1:21" x14ac:dyDescent="0.25">
      <c r="A339" t="s">
        <v>84</v>
      </c>
      <c r="B339" s="24">
        <v>16</v>
      </c>
      <c r="C339" t="s">
        <v>110</v>
      </c>
      <c r="D339" t="s">
        <v>32</v>
      </c>
      <c r="E339" t="s">
        <v>214</v>
      </c>
      <c r="F339" t="s">
        <v>31</v>
      </c>
      <c r="H339" t="s">
        <v>10</v>
      </c>
      <c r="I339" t="s">
        <v>220</v>
      </c>
      <c r="J339">
        <v>22</v>
      </c>
      <c r="L339">
        <v>22</v>
      </c>
      <c r="N339">
        <f>Таблица1[[#This Row],[Часов на заказчика  в работе]]+Таблица1[[#This Row],[Часов на заказчика  дежурство]]</f>
        <v>22</v>
      </c>
      <c r="O3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" s="9">
        <v>100000</v>
      </c>
      <c r="R339" s="9"/>
      <c r="S339" s="5">
        <v>1</v>
      </c>
      <c r="T3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табеле]])*S339,0)</f>
        <v>6666.6666666666661</v>
      </c>
      <c r="U339" s="5">
        <f>IF(Таблица1[[#This Row],[ТТН]]&gt;0,Таблица1[[#This Row],[Ставка за ТТН]]*Таблица1[[#This Row],[ТТН]],0)</f>
        <v>0</v>
      </c>
    </row>
    <row r="340" spans="1:21" x14ac:dyDescent="0.25">
      <c r="A340" t="s">
        <v>84</v>
      </c>
      <c r="B340" s="24">
        <v>17</v>
      </c>
      <c r="C340" t="s">
        <v>110</v>
      </c>
      <c r="D340" t="s">
        <v>32</v>
      </c>
      <c r="E340" t="s">
        <v>214</v>
      </c>
      <c r="F340" t="s">
        <v>31</v>
      </c>
      <c r="H340" t="s">
        <v>10</v>
      </c>
      <c r="I340" t="s">
        <v>220</v>
      </c>
      <c r="J340">
        <v>22</v>
      </c>
      <c r="L340">
        <v>22</v>
      </c>
      <c r="N340">
        <f>Таблица1[[#This Row],[Часов на заказчика  в работе]]+Таблица1[[#This Row],[Часов на заказчика  дежурство]]</f>
        <v>22</v>
      </c>
      <c r="O3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" s="9">
        <v>100000</v>
      </c>
      <c r="R340" s="9"/>
      <c r="S340" s="5">
        <v>1</v>
      </c>
      <c r="T3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табеле]])*S340,0)</f>
        <v>6666.6666666666661</v>
      </c>
      <c r="U340" s="5">
        <f>IF(Таблица1[[#This Row],[ТТН]]&gt;0,Таблица1[[#This Row],[Ставка за ТТН]]*Таблица1[[#This Row],[ТТН]],0)</f>
        <v>0</v>
      </c>
    </row>
    <row r="341" spans="1:21" x14ac:dyDescent="0.25">
      <c r="A341" t="s">
        <v>84</v>
      </c>
      <c r="B341" s="24">
        <v>18</v>
      </c>
      <c r="C341" t="s">
        <v>110</v>
      </c>
      <c r="D341" t="s">
        <v>32</v>
      </c>
      <c r="E341" t="s">
        <v>214</v>
      </c>
      <c r="F341" t="s">
        <v>31</v>
      </c>
      <c r="H341" t="s">
        <v>10</v>
      </c>
      <c r="I341" t="s">
        <v>220</v>
      </c>
      <c r="J341">
        <v>11</v>
      </c>
      <c r="L341">
        <v>11</v>
      </c>
      <c r="N341">
        <f>Таблица1[[#This Row],[Часов на заказчика  в работе]]+Таблица1[[#This Row],[Часов на заказчика  дежурство]]</f>
        <v>11</v>
      </c>
      <c r="O3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" s="9">
        <v>100000</v>
      </c>
      <c r="R341" s="9"/>
      <c r="S341" s="5">
        <v>1</v>
      </c>
      <c r="T3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табеле]])*S341,0)</f>
        <v>3333.333333333333</v>
      </c>
      <c r="U341" s="5">
        <f>IF(Таблица1[[#This Row],[ТТН]]&gt;0,Таблица1[[#This Row],[Ставка за ТТН]]*Таблица1[[#This Row],[ТТН]],0)</f>
        <v>0</v>
      </c>
    </row>
    <row r="342" spans="1:21" x14ac:dyDescent="0.25">
      <c r="A342" t="s">
        <v>84</v>
      </c>
      <c r="B342" s="24">
        <v>19</v>
      </c>
      <c r="C342" t="s">
        <v>110</v>
      </c>
      <c r="D342" t="s">
        <v>32</v>
      </c>
      <c r="E342" t="s">
        <v>214</v>
      </c>
      <c r="F342" t="s">
        <v>31</v>
      </c>
      <c r="H342" t="s">
        <v>10</v>
      </c>
      <c r="I342" t="s">
        <v>220</v>
      </c>
      <c r="J342">
        <v>11</v>
      </c>
      <c r="L342">
        <v>11</v>
      </c>
      <c r="N342">
        <f>Таблица1[[#This Row],[Часов на заказчика  в работе]]+Таблица1[[#This Row],[Часов на заказчика  дежурство]]</f>
        <v>11</v>
      </c>
      <c r="O3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" s="9">
        <v>100000</v>
      </c>
      <c r="R342" s="9"/>
      <c r="S342" s="5">
        <v>1</v>
      </c>
      <c r="T3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табеле]])*S342,0)</f>
        <v>3333.333333333333</v>
      </c>
      <c r="U342" s="5">
        <f>IF(Таблица1[[#This Row],[ТТН]]&gt;0,Таблица1[[#This Row],[Ставка за ТТН]]*Таблица1[[#This Row],[ТТН]],0)</f>
        <v>0</v>
      </c>
    </row>
    <row r="343" spans="1:21" x14ac:dyDescent="0.25">
      <c r="A343" t="s">
        <v>84</v>
      </c>
      <c r="B343" s="24">
        <v>20</v>
      </c>
      <c r="C343" t="s">
        <v>110</v>
      </c>
      <c r="D343" t="s">
        <v>32</v>
      </c>
      <c r="E343" t="s">
        <v>214</v>
      </c>
      <c r="F343" t="s">
        <v>31</v>
      </c>
      <c r="H343" t="s">
        <v>10</v>
      </c>
      <c r="I343" t="s">
        <v>220</v>
      </c>
      <c r="J343">
        <v>22</v>
      </c>
      <c r="L343">
        <v>22</v>
      </c>
      <c r="N343">
        <f>Таблица1[[#This Row],[Часов на заказчика  в работе]]+Таблица1[[#This Row],[Часов на заказчика  дежурство]]</f>
        <v>22</v>
      </c>
      <c r="O3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" s="9">
        <v>100000</v>
      </c>
      <c r="R343" s="9"/>
      <c r="S343" s="5">
        <v>1</v>
      </c>
      <c r="T3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табеле]])*S343,0)</f>
        <v>6666.6666666666661</v>
      </c>
      <c r="U343" s="5">
        <f>IF(Таблица1[[#This Row],[ТТН]]&gt;0,Таблица1[[#This Row],[Ставка за ТТН]]*Таблица1[[#This Row],[ТТН]],0)</f>
        <v>0</v>
      </c>
    </row>
    <row r="344" spans="1:21" x14ac:dyDescent="0.25">
      <c r="A344" t="s">
        <v>84</v>
      </c>
      <c r="B344" s="24">
        <v>21</v>
      </c>
      <c r="C344" t="s">
        <v>110</v>
      </c>
      <c r="D344" t="s">
        <v>32</v>
      </c>
      <c r="E344" t="s">
        <v>214</v>
      </c>
      <c r="F344" t="s">
        <v>31</v>
      </c>
      <c r="H344" t="s">
        <v>10</v>
      </c>
      <c r="I344" t="s">
        <v>220</v>
      </c>
      <c r="J344">
        <v>22</v>
      </c>
      <c r="L344">
        <v>22</v>
      </c>
      <c r="N344">
        <f>Таблица1[[#This Row],[Часов на заказчика  в работе]]+Таблица1[[#This Row],[Часов на заказчика  дежурство]]</f>
        <v>22</v>
      </c>
      <c r="O3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" s="9">
        <v>100000</v>
      </c>
      <c r="R344" s="9"/>
      <c r="S344" s="5">
        <v>1</v>
      </c>
      <c r="T3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табеле]])*S344,0)</f>
        <v>6666.6666666666661</v>
      </c>
      <c r="U344" s="5">
        <f>IF(Таблица1[[#This Row],[ТТН]]&gt;0,Таблица1[[#This Row],[Ставка за ТТН]]*Таблица1[[#This Row],[ТТН]],0)</f>
        <v>0</v>
      </c>
    </row>
    <row r="345" spans="1:21" x14ac:dyDescent="0.25">
      <c r="A345" t="s">
        <v>84</v>
      </c>
      <c r="B345" s="24">
        <v>22</v>
      </c>
      <c r="C345" t="s">
        <v>110</v>
      </c>
      <c r="D345" t="s">
        <v>32</v>
      </c>
      <c r="E345" t="s">
        <v>214</v>
      </c>
      <c r="F345" t="s">
        <v>31</v>
      </c>
      <c r="H345" t="s">
        <v>10</v>
      </c>
      <c r="I345" t="s">
        <v>220</v>
      </c>
      <c r="J345">
        <v>22</v>
      </c>
      <c r="L345">
        <v>22</v>
      </c>
      <c r="N345">
        <f>Таблица1[[#This Row],[Часов на заказчика  в работе]]+Таблица1[[#This Row],[Часов на заказчика  дежурство]]</f>
        <v>22</v>
      </c>
      <c r="O3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" s="9">
        <v>100000</v>
      </c>
      <c r="R345" s="9"/>
      <c r="S345" s="5">
        <v>1</v>
      </c>
      <c r="T3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табеле]])*S345,0)</f>
        <v>6666.6666666666661</v>
      </c>
      <c r="U345" s="5">
        <f>IF(Таблица1[[#This Row],[ТТН]]&gt;0,Таблица1[[#This Row],[Ставка за ТТН]]*Таблица1[[#This Row],[ТТН]],0)</f>
        <v>0</v>
      </c>
    </row>
    <row r="346" spans="1:21" x14ac:dyDescent="0.25">
      <c r="A346" t="s">
        <v>84</v>
      </c>
      <c r="B346" s="24">
        <v>23</v>
      </c>
      <c r="C346" t="s">
        <v>110</v>
      </c>
      <c r="D346" t="s">
        <v>32</v>
      </c>
      <c r="E346" t="s">
        <v>214</v>
      </c>
      <c r="F346" t="s">
        <v>31</v>
      </c>
      <c r="H346" t="s">
        <v>10</v>
      </c>
      <c r="I346" t="s">
        <v>220</v>
      </c>
      <c r="J346">
        <v>11</v>
      </c>
      <c r="L346">
        <v>11</v>
      </c>
      <c r="N346">
        <f>Таблица1[[#This Row],[Часов на заказчика  в работе]]+Таблица1[[#This Row],[Часов на заказчика  дежурство]]</f>
        <v>11</v>
      </c>
      <c r="O3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" s="9">
        <v>100000</v>
      </c>
      <c r="R346" s="9"/>
      <c r="S346" s="5">
        <v>1</v>
      </c>
      <c r="T3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табеле]])*S346,0)</f>
        <v>3333.333333333333</v>
      </c>
      <c r="U346" s="5">
        <f>IF(Таблица1[[#This Row],[ТТН]]&gt;0,Таблица1[[#This Row],[Ставка за ТТН]]*Таблица1[[#This Row],[ТТН]],0)</f>
        <v>0</v>
      </c>
    </row>
    <row r="347" spans="1:21" x14ac:dyDescent="0.25">
      <c r="A347" t="s">
        <v>84</v>
      </c>
      <c r="B347" s="24">
        <v>24</v>
      </c>
      <c r="C347" t="s">
        <v>110</v>
      </c>
      <c r="D347" t="s">
        <v>32</v>
      </c>
      <c r="E347" t="s">
        <v>214</v>
      </c>
      <c r="F347" t="s">
        <v>31</v>
      </c>
      <c r="H347" t="s">
        <v>10</v>
      </c>
      <c r="I347" t="s">
        <v>220</v>
      </c>
      <c r="J347">
        <v>11</v>
      </c>
      <c r="L347">
        <v>11</v>
      </c>
      <c r="N347">
        <f>Таблица1[[#This Row],[Часов на заказчика  в работе]]+Таблица1[[#This Row],[Часов на заказчика  дежурство]]</f>
        <v>11</v>
      </c>
      <c r="O3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" s="9">
        <v>100000</v>
      </c>
      <c r="R347" s="9"/>
      <c r="S347" s="5">
        <v>1</v>
      </c>
      <c r="T3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табеле]])*S347,0)</f>
        <v>3333.333333333333</v>
      </c>
      <c r="U347" s="5">
        <f>IF(Таблица1[[#This Row],[ТТН]]&gt;0,Таблица1[[#This Row],[Ставка за ТТН]]*Таблица1[[#This Row],[ТТН]],0)</f>
        <v>0</v>
      </c>
    </row>
    <row r="348" spans="1:21" x14ac:dyDescent="0.25">
      <c r="A348" t="s">
        <v>84</v>
      </c>
      <c r="B348" s="24">
        <v>25</v>
      </c>
      <c r="C348" t="s">
        <v>110</v>
      </c>
      <c r="D348" t="s">
        <v>32</v>
      </c>
      <c r="E348" t="s">
        <v>214</v>
      </c>
      <c r="F348" t="s">
        <v>31</v>
      </c>
      <c r="H348" t="s">
        <v>10</v>
      </c>
      <c r="I348" t="s">
        <v>220</v>
      </c>
      <c r="J348">
        <v>22</v>
      </c>
      <c r="L348">
        <v>22</v>
      </c>
      <c r="N348">
        <f>Таблица1[[#This Row],[Часов на заказчика  в работе]]+Таблица1[[#This Row],[Часов на заказчика  дежурство]]</f>
        <v>22</v>
      </c>
      <c r="O3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" s="9">
        <v>100000</v>
      </c>
      <c r="R348" s="9"/>
      <c r="S348" s="5">
        <v>1</v>
      </c>
      <c r="T3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табеле]])*S348,0)</f>
        <v>6666.6666666666661</v>
      </c>
      <c r="U348" s="5">
        <f>IF(Таблица1[[#This Row],[ТТН]]&gt;0,Таблица1[[#This Row],[Ставка за ТТН]]*Таблица1[[#This Row],[ТТН]],0)</f>
        <v>0</v>
      </c>
    </row>
    <row r="349" spans="1:21" x14ac:dyDescent="0.25">
      <c r="A349" t="s">
        <v>84</v>
      </c>
      <c r="B349" s="24">
        <v>26</v>
      </c>
      <c r="C349" t="s">
        <v>110</v>
      </c>
      <c r="D349" t="s">
        <v>32</v>
      </c>
      <c r="E349" t="s">
        <v>214</v>
      </c>
      <c r="F349" t="s">
        <v>31</v>
      </c>
      <c r="H349" t="s">
        <v>10</v>
      </c>
      <c r="I349" t="s">
        <v>220</v>
      </c>
      <c r="J349">
        <v>22</v>
      </c>
      <c r="L349">
        <v>22</v>
      </c>
      <c r="N349">
        <f>Таблица1[[#This Row],[Часов на заказчика  в работе]]+Таблица1[[#This Row],[Часов на заказчика  дежурство]]</f>
        <v>22</v>
      </c>
      <c r="O3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" s="9">
        <v>100000</v>
      </c>
      <c r="R349" s="9"/>
      <c r="S349" s="5">
        <v>1</v>
      </c>
      <c r="T3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табеле]])*S349,0)</f>
        <v>6666.6666666666661</v>
      </c>
      <c r="U349" s="5">
        <f>IF(Таблица1[[#This Row],[ТТН]]&gt;0,Таблица1[[#This Row],[Ставка за ТТН]]*Таблица1[[#This Row],[ТТН]],0)</f>
        <v>0</v>
      </c>
    </row>
    <row r="350" spans="1:21" x14ac:dyDescent="0.25">
      <c r="A350" t="s">
        <v>84</v>
      </c>
      <c r="B350" s="24">
        <v>27</v>
      </c>
      <c r="C350" t="s">
        <v>110</v>
      </c>
      <c r="D350" t="s">
        <v>32</v>
      </c>
      <c r="E350" t="s">
        <v>214</v>
      </c>
      <c r="F350" t="s">
        <v>31</v>
      </c>
      <c r="H350" t="s">
        <v>10</v>
      </c>
      <c r="I350" t="s">
        <v>220</v>
      </c>
      <c r="J350">
        <v>11</v>
      </c>
      <c r="L350">
        <v>11</v>
      </c>
      <c r="N350">
        <f>Таблица1[[#This Row],[Часов на заказчика  в работе]]+Таблица1[[#This Row],[Часов на заказчика  дежурство]]</f>
        <v>11</v>
      </c>
      <c r="O3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" s="9">
        <v>100000</v>
      </c>
      <c r="R350" s="9"/>
      <c r="S350" s="5">
        <v>1</v>
      </c>
      <c r="T3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табеле]])*S350,0)</f>
        <v>3333.333333333333</v>
      </c>
      <c r="U350" s="5">
        <f>IF(Таблица1[[#This Row],[ТТН]]&gt;0,Таблица1[[#This Row],[Ставка за ТТН]]*Таблица1[[#This Row],[ТТН]],0)</f>
        <v>0</v>
      </c>
    </row>
    <row r="351" spans="1:21" x14ac:dyDescent="0.25">
      <c r="A351" t="s">
        <v>84</v>
      </c>
      <c r="B351" s="24">
        <v>28</v>
      </c>
      <c r="C351" t="s">
        <v>110</v>
      </c>
      <c r="D351" t="s">
        <v>32</v>
      </c>
      <c r="E351" t="s">
        <v>214</v>
      </c>
      <c r="F351" t="s">
        <v>31</v>
      </c>
      <c r="H351" t="s">
        <v>10</v>
      </c>
      <c r="I351" t="s">
        <v>220</v>
      </c>
      <c r="J351">
        <v>22</v>
      </c>
      <c r="L351">
        <v>22</v>
      </c>
      <c r="N351">
        <f>Таблица1[[#This Row],[Часов на заказчика  в работе]]+Таблица1[[#This Row],[Часов на заказчика  дежурство]]</f>
        <v>22</v>
      </c>
      <c r="O3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" s="9">
        <v>100000</v>
      </c>
      <c r="R351" s="9"/>
      <c r="S351" s="5">
        <v>1</v>
      </c>
      <c r="T3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табеле]])*S351,0)</f>
        <v>6666.6666666666661</v>
      </c>
      <c r="U351" s="5">
        <f>IF(Таблица1[[#This Row],[ТТН]]&gt;0,Таблица1[[#This Row],[Ставка за ТТН]]*Таблица1[[#This Row],[ТТН]],0)</f>
        <v>0</v>
      </c>
    </row>
    <row r="352" spans="1:21" x14ac:dyDescent="0.25">
      <c r="A352" t="s">
        <v>84</v>
      </c>
      <c r="B352" s="24">
        <v>29</v>
      </c>
      <c r="C352" t="s">
        <v>110</v>
      </c>
      <c r="D352" t="s">
        <v>32</v>
      </c>
      <c r="E352" t="s">
        <v>214</v>
      </c>
      <c r="F352" t="s">
        <v>31</v>
      </c>
      <c r="H352" t="s">
        <v>10</v>
      </c>
      <c r="I352" t="s">
        <v>220</v>
      </c>
      <c r="J352">
        <v>22</v>
      </c>
      <c r="L352">
        <v>22</v>
      </c>
      <c r="N352">
        <f>Таблица1[[#This Row],[Часов на заказчика  в работе]]+Таблица1[[#This Row],[Часов на заказчика  дежурство]]</f>
        <v>22</v>
      </c>
      <c r="O3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" s="9">
        <v>100000</v>
      </c>
      <c r="R352" s="9"/>
      <c r="S352" s="5">
        <v>1</v>
      </c>
      <c r="T3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табеле]])*S352,0)</f>
        <v>6666.6666666666661</v>
      </c>
      <c r="U352" s="5">
        <f>IF(Таблица1[[#This Row],[ТТН]]&gt;0,Таблица1[[#This Row],[Ставка за ТТН]]*Таблица1[[#This Row],[ТТН]],0)</f>
        <v>0</v>
      </c>
    </row>
    <row r="353" spans="1:21" x14ac:dyDescent="0.25">
      <c r="A353" t="s">
        <v>84</v>
      </c>
      <c r="B353" s="24">
        <v>30</v>
      </c>
      <c r="C353" t="s">
        <v>111</v>
      </c>
      <c r="D353" t="s">
        <v>32</v>
      </c>
      <c r="E353" t="s">
        <v>214</v>
      </c>
      <c r="F353" t="s">
        <v>31</v>
      </c>
      <c r="H353" t="s">
        <v>10</v>
      </c>
      <c r="I353" t="s">
        <v>220</v>
      </c>
      <c r="J353">
        <v>22</v>
      </c>
      <c r="L353">
        <v>22</v>
      </c>
      <c r="N353">
        <f>Таблица1[[#This Row],[Часов на заказчика  в работе]]+Таблица1[[#This Row],[Часов на заказчика  дежурство]]</f>
        <v>22</v>
      </c>
      <c r="O3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" s="9">
        <v>100000</v>
      </c>
      <c r="R353" s="9"/>
      <c r="S353" s="5">
        <v>1</v>
      </c>
      <c r="T3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табеле]])*S353,0)</f>
        <v>6666.6666666666661</v>
      </c>
      <c r="U353" s="5">
        <f>IF(Таблица1[[#This Row],[ТТН]]&gt;0,Таблица1[[#This Row],[Ставка за ТТН]]*Таблица1[[#This Row],[ТТН]],0)</f>
        <v>0</v>
      </c>
    </row>
    <row r="354" spans="1:21" x14ac:dyDescent="0.25">
      <c r="A354" t="s">
        <v>84</v>
      </c>
      <c r="B354" s="24">
        <v>1</v>
      </c>
      <c r="C354" t="s">
        <v>111</v>
      </c>
      <c r="D354" t="s">
        <v>33</v>
      </c>
      <c r="E354" t="s">
        <v>214</v>
      </c>
      <c r="F354" t="s">
        <v>33</v>
      </c>
      <c r="H354" t="s">
        <v>48</v>
      </c>
      <c r="I354" t="s">
        <v>217</v>
      </c>
      <c r="J354">
        <v>1</v>
      </c>
      <c r="N354">
        <f>Таблица1[[#This Row],[Часов на заказчика  в работе]]+Таблица1[[#This Row],[Часов на заказчика  дежурство]]</f>
        <v>0</v>
      </c>
      <c r="O3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" s="9"/>
      <c r="R354" s="9"/>
      <c r="S354" s="5">
        <v>1</v>
      </c>
      <c r="T3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табеле]])*S354,0)</f>
        <v>0</v>
      </c>
      <c r="U354" s="5">
        <f>IF(Таблица1[[#This Row],[ТТН]]&gt;0,Таблица1[[#This Row],[Ставка за ТТН]]*Таблица1[[#This Row],[ТТН]],0)</f>
        <v>0</v>
      </c>
    </row>
    <row r="355" spans="1:21" x14ac:dyDescent="0.25">
      <c r="A355" t="s">
        <v>84</v>
      </c>
      <c r="B355" s="24">
        <v>2</v>
      </c>
      <c r="C355" t="s">
        <v>111</v>
      </c>
      <c r="D355" t="s">
        <v>33</v>
      </c>
      <c r="E355" t="s">
        <v>214</v>
      </c>
      <c r="F355" t="s">
        <v>33</v>
      </c>
      <c r="H355" t="s">
        <v>48</v>
      </c>
      <c r="I355" t="s">
        <v>217</v>
      </c>
      <c r="J355">
        <v>1</v>
      </c>
      <c r="N355">
        <f>Таблица1[[#This Row],[Часов на заказчика  в работе]]+Таблица1[[#This Row],[Часов на заказчика  дежурство]]</f>
        <v>0</v>
      </c>
      <c r="O3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" s="9"/>
      <c r="R355" s="9"/>
      <c r="S355" s="5">
        <v>1</v>
      </c>
      <c r="T3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табеле]])*S355,0)</f>
        <v>0</v>
      </c>
      <c r="U355" s="5">
        <f>IF(Таблица1[[#This Row],[ТТН]]&gt;0,Таблица1[[#This Row],[Ставка за ТТН]]*Таблица1[[#This Row],[ТТН]],0)</f>
        <v>0</v>
      </c>
    </row>
    <row r="356" spans="1:21" x14ac:dyDescent="0.25">
      <c r="A356" t="s">
        <v>84</v>
      </c>
      <c r="B356" s="24">
        <v>3</v>
      </c>
      <c r="C356" t="s">
        <v>111</v>
      </c>
      <c r="D356" t="s">
        <v>33</v>
      </c>
      <c r="E356" t="s">
        <v>214</v>
      </c>
      <c r="F356" t="s">
        <v>33</v>
      </c>
      <c r="H356" t="s">
        <v>48</v>
      </c>
      <c r="I356" t="s">
        <v>217</v>
      </c>
      <c r="J356">
        <v>1</v>
      </c>
      <c r="N356">
        <f>Таблица1[[#This Row],[Часов на заказчика  в работе]]+Таблица1[[#This Row],[Часов на заказчика  дежурство]]</f>
        <v>0</v>
      </c>
      <c r="O3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" s="9"/>
      <c r="R356" s="9"/>
      <c r="S356" s="5">
        <v>1</v>
      </c>
      <c r="T3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табеле]])*S356,0)</f>
        <v>0</v>
      </c>
      <c r="U356" s="5">
        <f>IF(Таблица1[[#This Row],[ТТН]]&gt;0,Таблица1[[#This Row],[Ставка за ТТН]]*Таблица1[[#This Row],[ТТН]],0)</f>
        <v>0</v>
      </c>
    </row>
    <row r="357" spans="1:21" x14ac:dyDescent="0.25">
      <c r="A357" t="s">
        <v>84</v>
      </c>
      <c r="B357" s="24">
        <v>4</v>
      </c>
      <c r="C357" t="s">
        <v>111</v>
      </c>
      <c r="D357" t="s">
        <v>33</v>
      </c>
      <c r="E357" t="s">
        <v>214</v>
      </c>
      <c r="F357" t="s">
        <v>33</v>
      </c>
      <c r="H357" t="s">
        <v>48</v>
      </c>
      <c r="I357" t="s">
        <v>217</v>
      </c>
      <c r="J357">
        <v>1</v>
      </c>
      <c r="N357">
        <f>Таблица1[[#This Row],[Часов на заказчика  в работе]]+Таблица1[[#This Row],[Часов на заказчика  дежурство]]</f>
        <v>0</v>
      </c>
      <c r="O3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" s="9"/>
      <c r="R357" s="9"/>
      <c r="S357" s="5">
        <v>1</v>
      </c>
      <c r="T3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табеле]])*S357,0)</f>
        <v>0</v>
      </c>
      <c r="U357" s="5">
        <f>IF(Таблица1[[#This Row],[ТТН]]&gt;0,Таблица1[[#This Row],[Ставка за ТТН]]*Таблица1[[#This Row],[ТТН]],0)</f>
        <v>0</v>
      </c>
    </row>
    <row r="358" spans="1:21" x14ac:dyDescent="0.25">
      <c r="A358" t="s">
        <v>84</v>
      </c>
      <c r="B358" s="24">
        <v>5</v>
      </c>
      <c r="C358" t="s">
        <v>111</v>
      </c>
      <c r="D358" t="s">
        <v>33</v>
      </c>
      <c r="E358" t="s">
        <v>214</v>
      </c>
      <c r="F358" t="s">
        <v>33</v>
      </c>
      <c r="H358" t="s">
        <v>48</v>
      </c>
      <c r="I358" t="s">
        <v>217</v>
      </c>
      <c r="J358">
        <v>1</v>
      </c>
      <c r="N358">
        <f>Таблица1[[#This Row],[Часов на заказчика  в работе]]+Таблица1[[#This Row],[Часов на заказчика  дежурство]]</f>
        <v>0</v>
      </c>
      <c r="O3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" s="9"/>
      <c r="R358" s="9"/>
      <c r="S358" s="5">
        <v>1</v>
      </c>
      <c r="T3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табеле]])*S358,0)</f>
        <v>0</v>
      </c>
      <c r="U358" s="5">
        <f>IF(Таблица1[[#This Row],[ТТН]]&gt;0,Таблица1[[#This Row],[Ставка за ТТН]]*Таблица1[[#This Row],[ТТН]],0)</f>
        <v>0</v>
      </c>
    </row>
    <row r="359" spans="1:21" x14ac:dyDescent="0.25">
      <c r="A359" t="s">
        <v>84</v>
      </c>
      <c r="B359" s="24">
        <v>6</v>
      </c>
      <c r="C359" t="s">
        <v>111</v>
      </c>
      <c r="D359" t="s">
        <v>33</v>
      </c>
      <c r="E359" t="s">
        <v>214</v>
      </c>
      <c r="F359" t="s">
        <v>33</v>
      </c>
      <c r="H359" t="s">
        <v>48</v>
      </c>
      <c r="I359" t="s">
        <v>217</v>
      </c>
      <c r="J359">
        <v>1</v>
      </c>
      <c r="N359">
        <f>Таблица1[[#This Row],[Часов на заказчика  в работе]]+Таблица1[[#This Row],[Часов на заказчика  дежурство]]</f>
        <v>0</v>
      </c>
      <c r="O3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" s="9"/>
      <c r="R359" s="9"/>
      <c r="S359" s="5">
        <v>1</v>
      </c>
      <c r="T3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табеле]])*S359,0)</f>
        <v>0</v>
      </c>
      <c r="U359" s="5">
        <f>IF(Таблица1[[#This Row],[ТТН]]&gt;0,Таблица1[[#This Row],[Ставка за ТТН]]*Таблица1[[#This Row],[ТТН]],0)</f>
        <v>0</v>
      </c>
    </row>
    <row r="360" spans="1:21" x14ac:dyDescent="0.25">
      <c r="A360" t="s">
        <v>84</v>
      </c>
      <c r="B360" s="24">
        <v>7</v>
      </c>
      <c r="C360" t="s">
        <v>111</v>
      </c>
      <c r="D360" t="s">
        <v>33</v>
      </c>
      <c r="E360" t="s">
        <v>214</v>
      </c>
      <c r="F360" t="s">
        <v>33</v>
      </c>
      <c r="H360" t="s">
        <v>48</v>
      </c>
      <c r="I360" t="s">
        <v>217</v>
      </c>
      <c r="J360">
        <v>1</v>
      </c>
      <c r="N360">
        <f>Таблица1[[#This Row],[Часов на заказчика  в работе]]+Таблица1[[#This Row],[Часов на заказчика  дежурство]]</f>
        <v>0</v>
      </c>
      <c r="O3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" s="9"/>
      <c r="R360" s="9"/>
      <c r="S360" s="5">
        <v>1</v>
      </c>
      <c r="T3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табеле]])*S360,0)</f>
        <v>0</v>
      </c>
      <c r="U360" s="5">
        <f>IF(Таблица1[[#This Row],[ТТН]]&gt;0,Таблица1[[#This Row],[Ставка за ТТН]]*Таблица1[[#This Row],[ТТН]],0)</f>
        <v>0</v>
      </c>
    </row>
    <row r="361" spans="1:21" x14ac:dyDescent="0.25">
      <c r="A361" t="s">
        <v>84</v>
      </c>
      <c r="B361" s="24">
        <v>8</v>
      </c>
      <c r="C361" t="s">
        <v>111</v>
      </c>
      <c r="D361" t="s">
        <v>33</v>
      </c>
      <c r="E361" t="s">
        <v>214</v>
      </c>
      <c r="F361" t="s">
        <v>33</v>
      </c>
      <c r="H361" t="s">
        <v>48</v>
      </c>
      <c r="I361" t="s">
        <v>217</v>
      </c>
      <c r="J361">
        <v>1</v>
      </c>
      <c r="N361">
        <f>Таблица1[[#This Row],[Часов на заказчика  в работе]]+Таблица1[[#This Row],[Часов на заказчика  дежурство]]</f>
        <v>0</v>
      </c>
      <c r="O3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" s="9"/>
      <c r="R361" s="9"/>
      <c r="S361" s="5">
        <v>1</v>
      </c>
      <c r="T3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табеле]])*S361,0)</f>
        <v>0</v>
      </c>
      <c r="U361" s="5">
        <f>IF(Таблица1[[#This Row],[ТТН]]&gt;0,Таблица1[[#This Row],[Ставка за ТТН]]*Таблица1[[#This Row],[ТТН]],0)</f>
        <v>0</v>
      </c>
    </row>
    <row r="362" spans="1:21" x14ac:dyDescent="0.25">
      <c r="A362" t="s">
        <v>84</v>
      </c>
      <c r="B362" s="24">
        <v>9</v>
      </c>
      <c r="C362" t="s">
        <v>111</v>
      </c>
      <c r="D362" t="s">
        <v>33</v>
      </c>
      <c r="E362" t="s">
        <v>214</v>
      </c>
      <c r="F362" t="s">
        <v>33</v>
      </c>
      <c r="H362" t="s">
        <v>48</v>
      </c>
      <c r="I362" t="s">
        <v>217</v>
      </c>
      <c r="J362">
        <v>1</v>
      </c>
      <c r="N362">
        <f>Таблица1[[#This Row],[Часов на заказчика  в работе]]+Таблица1[[#This Row],[Часов на заказчика  дежурство]]</f>
        <v>0</v>
      </c>
      <c r="O3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" s="9"/>
      <c r="R362" s="9"/>
      <c r="S362" s="5">
        <v>1</v>
      </c>
      <c r="T3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табеле]])*S362,0)</f>
        <v>0</v>
      </c>
      <c r="U362" s="5">
        <f>IF(Таблица1[[#This Row],[ТТН]]&gt;0,Таблица1[[#This Row],[Ставка за ТТН]]*Таблица1[[#This Row],[ТТН]],0)</f>
        <v>0</v>
      </c>
    </row>
    <row r="363" spans="1:21" x14ac:dyDescent="0.25">
      <c r="A363" t="s">
        <v>84</v>
      </c>
      <c r="B363" s="24">
        <v>10</v>
      </c>
      <c r="C363" t="s">
        <v>111</v>
      </c>
      <c r="D363" t="s">
        <v>33</v>
      </c>
      <c r="E363" t="s">
        <v>214</v>
      </c>
      <c r="F363" t="s">
        <v>33</v>
      </c>
      <c r="H363" t="s">
        <v>48</v>
      </c>
      <c r="I363" t="s">
        <v>217</v>
      </c>
      <c r="J363">
        <v>1</v>
      </c>
      <c r="N363">
        <f>Таблица1[[#This Row],[Часов на заказчика  в работе]]+Таблица1[[#This Row],[Часов на заказчика  дежурство]]</f>
        <v>0</v>
      </c>
      <c r="O3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" s="9"/>
      <c r="R363" s="9"/>
      <c r="S363" s="5">
        <v>1</v>
      </c>
      <c r="T3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табеле]])*S363,0)</f>
        <v>0</v>
      </c>
      <c r="U363" s="5">
        <f>IF(Таблица1[[#This Row],[ТТН]]&gt;0,Таблица1[[#This Row],[Ставка за ТТН]]*Таблица1[[#This Row],[ТТН]],0)</f>
        <v>0</v>
      </c>
    </row>
    <row r="364" spans="1:21" x14ac:dyDescent="0.25">
      <c r="A364" t="s">
        <v>84</v>
      </c>
      <c r="B364" s="24">
        <v>11</v>
      </c>
      <c r="C364" t="s">
        <v>111</v>
      </c>
      <c r="D364" t="s">
        <v>33</v>
      </c>
      <c r="E364" t="s">
        <v>214</v>
      </c>
      <c r="F364" t="s">
        <v>33</v>
      </c>
      <c r="H364" t="s">
        <v>29</v>
      </c>
      <c r="I364" t="s">
        <v>217</v>
      </c>
      <c r="J364">
        <v>8</v>
      </c>
      <c r="N364">
        <f>Таблица1[[#This Row],[Часов на заказчика  в работе]]+Таблица1[[#This Row],[Часов на заказчика  дежурство]]</f>
        <v>0</v>
      </c>
      <c r="O3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" s="9"/>
      <c r="R364" s="9"/>
      <c r="S364" s="5">
        <v>1</v>
      </c>
      <c r="T3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табеле]])*S364,0)</f>
        <v>0</v>
      </c>
      <c r="U364" s="5">
        <f>IF(Таблица1[[#This Row],[ТТН]]&gt;0,Таблица1[[#This Row],[Ставка за ТТН]]*Таблица1[[#This Row],[ТТН]],0)</f>
        <v>0</v>
      </c>
    </row>
    <row r="365" spans="1:21" x14ac:dyDescent="0.25">
      <c r="A365" t="s">
        <v>84</v>
      </c>
      <c r="B365" s="24">
        <v>12</v>
      </c>
      <c r="C365" t="s">
        <v>111</v>
      </c>
      <c r="D365" t="s">
        <v>33</v>
      </c>
      <c r="E365" t="s">
        <v>214</v>
      </c>
      <c r="F365" t="s">
        <v>33</v>
      </c>
      <c r="H365" t="s">
        <v>29</v>
      </c>
      <c r="I365" t="s">
        <v>217</v>
      </c>
      <c r="J365">
        <v>8</v>
      </c>
      <c r="N365">
        <f>Таблица1[[#This Row],[Часов на заказчика  в работе]]+Таблица1[[#This Row],[Часов на заказчика  дежурство]]</f>
        <v>0</v>
      </c>
      <c r="O3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" s="9"/>
      <c r="R365" s="9"/>
      <c r="S365" s="5">
        <v>1</v>
      </c>
      <c r="T3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табеле]])*S365,0)</f>
        <v>0</v>
      </c>
      <c r="U365" s="5">
        <f>IF(Таблица1[[#This Row],[ТТН]]&gt;0,Таблица1[[#This Row],[Ставка за ТТН]]*Таблица1[[#This Row],[ТТН]],0)</f>
        <v>0</v>
      </c>
    </row>
    <row r="366" spans="1:21" x14ac:dyDescent="0.25">
      <c r="A366" t="s">
        <v>84</v>
      </c>
      <c r="B366" s="24">
        <v>13</v>
      </c>
      <c r="C366" t="s">
        <v>111</v>
      </c>
      <c r="D366" t="s">
        <v>33</v>
      </c>
      <c r="E366" t="s">
        <v>214</v>
      </c>
      <c r="F366" t="s">
        <v>33</v>
      </c>
      <c r="H366" t="s">
        <v>30</v>
      </c>
      <c r="I366" t="s">
        <v>217</v>
      </c>
      <c r="J366">
        <v>1</v>
      </c>
      <c r="N366">
        <f>Таблица1[[#This Row],[Часов на заказчика  в работе]]+Таблица1[[#This Row],[Часов на заказчика  дежурство]]</f>
        <v>0</v>
      </c>
      <c r="O3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" s="9"/>
      <c r="R366" s="9"/>
      <c r="S366" s="5">
        <v>1</v>
      </c>
      <c r="T3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табеле]])*S366,0)</f>
        <v>0</v>
      </c>
      <c r="U366" s="5">
        <f>IF(Таблица1[[#This Row],[ТТН]]&gt;0,Таблица1[[#This Row],[Ставка за ТТН]]*Таблица1[[#This Row],[ТТН]],0)</f>
        <v>0</v>
      </c>
    </row>
    <row r="367" spans="1:21" x14ac:dyDescent="0.25">
      <c r="A367" t="s">
        <v>84</v>
      </c>
      <c r="B367" s="24">
        <v>14</v>
      </c>
      <c r="C367" t="s">
        <v>111</v>
      </c>
      <c r="D367" t="s">
        <v>33</v>
      </c>
      <c r="E367" t="s">
        <v>214</v>
      </c>
      <c r="F367" t="s">
        <v>33</v>
      </c>
      <c r="H367" t="s">
        <v>30</v>
      </c>
      <c r="I367" t="s">
        <v>217</v>
      </c>
      <c r="J367">
        <v>1</v>
      </c>
      <c r="N367">
        <f>Таблица1[[#This Row],[Часов на заказчика  в работе]]+Таблица1[[#This Row],[Часов на заказчика  дежурство]]</f>
        <v>0</v>
      </c>
      <c r="O3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" s="9"/>
      <c r="R367" s="9"/>
      <c r="S367" s="5">
        <v>1</v>
      </c>
      <c r="T3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табеле]])*S367,0)</f>
        <v>0</v>
      </c>
      <c r="U367" s="5">
        <f>IF(Таблица1[[#This Row],[ТТН]]&gt;0,Таблица1[[#This Row],[Ставка за ТТН]]*Таблица1[[#This Row],[ТТН]],0)</f>
        <v>0</v>
      </c>
    </row>
    <row r="368" spans="1:21" x14ac:dyDescent="0.25">
      <c r="A368" t="s">
        <v>84</v>
      </c>
      <c r="B368" s="24">
        <v>15</v>
      </c>
      <c r="C368" t="s">
        <v>111</v>
      </c>
      <c r="D368" t="s">
        <v>33</v>
      </c>
      <c r="E368" t="s">
        <v>214</v>
      </c>
      <c r="F368" t="s">
        <v>33</v>
      </c>
      <c r="H368" t="s">
        <v>29</v>
      </c>
      <c r="I368" t="s">
        <v>217</v>
      </c>
      <c r="J368">
        <v>8</v>
      </c>
      <c r="N368">
        <f>Таблица1[[#This Row],[Часов на заказчика  в работе]]+Таблица1[[#This Row],[Часов на заказчика  дежурство]]</f>
        <v>0</v>
      </c>
      <c r="O3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" s="9"/>
      <c r="R368" s="9"/>
      <c r="S368" s="5">
        <v>1</v>
      </c>
      <c r="T3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табеле]])*S368,0)</f>
        <v>0</v>
      </c>
      <c r="U368" s="5">
        <f>IF(Таблица1[[#This Row],[ТТН]]&gt;0,Таблица1[[#This Row],[Ставка за ТТН]]*Таблица1[[#This Row],[ТТН]],0)</f>
        <v>0</v>
      </c>
    </row>
    <row r="369" spans="1:21" x14ac:dyDescent="0.25">
      <c r="A369" t="s">
        <v>84</v>
      </c>
      <c r="B369" s="24">
        <v>16</v>
      </c>
      <c r="C369" t="s">
        <v>111</v>
      </c>
      <c r="D369" t="s">
        <v>33</v>
      </c>
      <c r="E369" t="s">
        <v>214</v>
      </c>
      <c r="F369" t="s">
        <v>33</v>
      </c>
      <c r="H369" t="s">
        <v>29</v>
      </c>
      <c r="I369" t="s">
        <v>217</v>
      </c>
      <c r="J369">
        <v>8</v>
      </c>
      <c r="N369">
        <f>Таблица1[[#This Row],[Часов на заказчика  в работе]]+Таблица1[[#This Row],[Часов на заказчика  дежурство]]</f>
        <v>0</v>
      </c>
      <c r="O3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" s="9"/>
      <c r="R369" s="9"/>
      <c r="S369" s="5">
        <v>1</v>
      </c>
      <c r="T3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табеле]])*S369,0)</f>
        <v>0</v>
      </c>
      <c r="U369" s="5">
        <f>IF(Таблица1[[#This Row],[ТТН]]&gt;0,Таблица1[[#This Row],[Ставка за ТТН]]*Таблица1[[#This Row],[ТТН]],0)</f>
        <v>0</v>
      </c>
    </row>
    <row r="370" spans="1:21" x14ac:dyDescent="0.25">
      <c r="A370" t="s">
        <v>84</v>
      </c>
      <c r="B370" s="24">
        <v>17</v>
      </c>
      <c r="C370" t="s">
        <v>111</v>
      </c>
      <c r="D370" t="s">
        <v>33</v>
      </c>
      <c r="E370" t="s">
        <v>214</v>
      </c>
      <c r="F370" t="s">
        <v>33</v>
      </c>
      <c r="H370" t="s">
        <v>29</v>
      </c>
      <c r="I370" t="s">
        <v>217</v>
      </c>
      <c r="J370">
        <v>8</v>
      </c>
      <c r="N370">
        <f>Таблица1[[#This Row],[Часов на заказчика  в работе]]+Таблица1[[#This Row],[Часов на заказчика  дежурство]]</f>
        <v>0</v>
      </c>
      <c r="O3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" s="9"/>
      <c r="R370" s="9"/>
      <c r="S370" s="5">
        <v>1</v>
      </c>
      <c r="T3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табеле]])*S370,0)</f>
        <v>0</v>
      </c>
      <c r="U370" s="5">
        <f>IF(Таблица1[[#This Row],[ТТН]]&gt;0,Таблица1[[#This Row],[Ставка за ТТН]]*Таблица1[[#This Row],[ТТН]],0)</f>
        <v>0</v>
      </c>
    </row>
    <row r="371" spans="1:21" x14ac:dyDescent="0.25">
      <c r="A371" t="s">
        <v>84</v>
      </c>
      <c r="B371" s="24">
        <v>18</v>
      </c>
      <c r="C371" t="s">
        <v>111</v>
      </c>
      <c r="D371" t="s">
        <v>33</v>
      </c>
      <c r="E371" t="s">
        <v>214</v>
      </c>
      <c r="F371" t="s">
        <v>33</v>
      </c>
      <c r="H371" t="s">
        <v>29</v>
      </c>
      <c r="I371" t="s">
        <v>217</v>
      </c>
      <c r="J371">
        <v>8</v>
      </c>
      <c r="N371">
        <f>Таблица1[[#This Row],[Часов на заказчика  в работе]]+Таблица1[[#This Row],[Часов на заказчика  дежурство]]</f>
        <v>0</v>
      </c>
      <c r="O3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" s="9"/>
      <c r="R371" s="9"/>
      <c r="S371" s="5">
        <v>1</v>
      </c>
      <c r="T3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табеле]])*S371,0)</f>
        <v>0</v>
      </c>
      <c r="U371" s="5">
        <f>IF(Таблица1[[#This Row],[ТТН]]&gt;0,Таблица1[[#This Row],[Ставка за ТТН]]*Таблица1[[#This Row],[ТТН]],0)</f>
        <v>0</v>
      </c>
    </row>
    <row r="372" spans="1:21" x14ac:dyDescent="0.25">
      <c r="A372" t="s">
        <v>84</v>
      </c>
      <c r="B372" s="24">
        <v>19</v>
      </c>
      <c r="C372" t="s">
        <v>111</v>
      </c>
      <c r="D372" t="s">
        <v>33</v>
      </c>
      <c r="E372" t="s">
        <v>214</v>
      </c>
      <c r="F372" t="s">
        <v>33</v>
      </c>
      <c r="H372" t="s">
        <v>29</v>
      </c>
      <c r="I372" t="s">
        <v>217</v>
      </c>
      <c r="J372">
        <v>8</v>
      </c>
      <c r="N372">
        <f>Таблица1[[#This Row],[Часов на заказчика  в работе]]+Таблица1[[#This Row],[Часов на заказчика  дежурство]]</f>
        <v>0</v>
      </c>
      <c r="O3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" s="9"/>
      <c r="R372" s="9"/>
      <c r="S372" s="5">
        <v>1</v>
      </c>
      <c r="T3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табеле]])*S372,0)</f>
        <v>0</v>
      </c>
      <c r="U372" s="5">
        <f>IF(Таблица1[[#This Row],[ТТН]]&gt;0,Таблица1[[#This Row],[Ставка за ТТН]]*Таблица1[[#This Row],[ТТН]],0)</f>
        <v>0</v>
      </c>
    </row>
    <row r="373" spans="1:21" x14ac:dyDescent="0.25">
      <c r="A373" t="s">
        <v>84</v>
      </c>
      <c r="B373" s="24">
        <v>20</v>
      </c>
      <c r="C373" t="s">
        <v>111</v>
      </c>
      <c r="D373" t="s">
        <v>33</v>
      </c>
      <c r="E373" t="s">
        <v>214</v>
      </c>
      <c r="F373" t="s">
        <v>33</v>
      </c>
      <c r="H373" t="s">
        <v>30</v>
      </c>
      <c r="I373" t="s">
        <v>217</v>
      </c>
      <c r="J373">
        <v>1</v>
      </c>
      <c r="N373">
        <f>Таблица1[[#This Row],[Часов на заказчика  в работе]]+Таблица1[[#This Row],[Часов на заказчика  дежурство]]</f>
        <v>0</v>
      </c>
      <c r="O3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" s="9"/>
      <c r="R373" s="9"/>
      <c r="S373" s="5">
        <v>1</v>
      </c>
      <c r="T3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табеле]])*S373,0)</f>
        <v>0</v>
      </c>
      <c r="U373" s="5">
        <f>IF(Таблица1[[#This Row],[ТТН]]&gt;0,Таблица1[[#This Row],[Ставка за ТТН]]*Таблица1[[#This Row],[ТТН]],0)</f>
        <v>0</v>
      </c>
    </row>
    <row r="374" spans="1:21" x14ac:dyDescent="0.25">
      <c r="A374" t="s">
        <v>84</v>
      </c>
      <c r="B374" s="24">
        <v>21</v>
      </c>
      <c r="C374" t="s">
        <v>111</v>
      </c>
      <c r="D374" t="s">
        <v>33</v>
      </c>
      <c r="E374" t="s">
        <v>214</v>
      </c>
      <c r="F374" t="s">
        <v>33</v>
      </c>
      <c r="H374" t="s">
        <v>30</v>
      </c>
      <c r="I374" t="s">
        <v>217</v>
      </c>
      <c r="J374">
        <v>1</v>
      </c>
      <c r="N374">
        <f>Таблица1[[#This Row],[Часов на заказчика  в работе]]+Таблица1[[#This Row],[Часов на заказчика  дежурство]]</f>
        <v>0</v>
      </c>
      <c r="O3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" s="9"/>
      <c r="R374" s="9"/>
      <c r="S374" s="5">
        <v>1</v>
      </c>
      <c r="T3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табеле]])*S374,0)</f>
        <v>0</v>
      </c>
      <c r="U374" s="5">
        <f>IF(Таблица1[[#This Row],[ТТН]]&gt;0,Таблица1[[#This Row],[Ставка за ТТН]]*Таблица1[[#This Row],[ТТН]],0)</f>
        <v>0</v>
      </c>
    </row>
    <row r="375" spans="1:21" x14ac:dyDescent="0.25">
      <c r="A375" t="s">
        <v>84</v>
      </c>
      <c r="B375" s="24">
        <v>22</v>
      </c>
      <c r="C375" t="s">
        <v>111</v>
      </c>
      <c r="D375" t="s">
        <v>33</v>
      </c>
      <c r="E375" t="s">
        <v>214</v>
      </c>
      <c r="F375" t="s">
        <v>33</v>
      </c>
      <c r="H375" t="s">
        <v>29</v>
      </c>
      <c r="I375" t="s">
        <v>217</v>
      </c>
      <c r="J375">
        <v>8</v>
      </c>
      <c r="N375">
        <f>Таблица1[[#This Row],[Часов на заказчика  в работе]]+Таблица1[[#This Row],[Часов на заказчика  дежурство]]</f>
        <v>0</v>
      </c>
      <c r="O3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" s="9"/>
      <c r="R375" s="9"/>
      <c r="S375" s="5">
        <v>1</v>
      </c>
      <c r="T3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табеле]])*S375,0)</f>
        <v>0</v>
      </c>
      <c r="U375" s="5">
        <f>IF(Таблица1[[#This Row],[ТТН]]&gt;0,Таблица1[[#This Row],[Ставка за ТТН]]*Таблица1[[#This Row],[ТТН]],0)</f>
        <v>0</v>
      </c>
    </row>
    <row r="376" spans="1:21" x14ac:dyDescent="0.25">
      <c r="A376" t="s">
        <v>84</v>
      </c>
      <c r="B376" s="24">
        <v>23</v>
      </c>
      <c r="C376" t="s">
        <v>111</v>
      </c>
      <c r="D376" t="s">
        <v>33</v>
      </c>
      <c r="E376" t="s">
        <v>214</v>
      </c>
      <c r="F376" t="s">
        <v>33</v>
      </c>
      <c r="H376" t="s">
        <v>29</v>
      </c>
      <c r="I376" t="s">
        <v>217</v>
      </c>
      <c r="J376">
        <v>8</v>
      </c>
      <c r="N376">
        <f>Таблица1[[#This Row],[Часов на заказчика  в работе]]+Таблица1[[#This Row],[Часов на заказчика  дежурство]]</f>
        <v>0</v>
      </c>
      <c r="O3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" s="9"/>
      <c r="R376" s="9"/>
      <c r="S376" s="5">
        <v>1</v>
      </c>
      <c r="T3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табеле]])*S376,0)</f>
        <v>0</v>
      </c>
      <c r="U376" s="5">
        <f>IF(Таблица1[[#This Row],[ТТН]]&gt;0,Таблица1[[#This Row],[Ставка за ТТН]]*Таблица1[[#This Row],[ТТН]],0)</f>
        <v>0</v>
      </c>
    </row>
    <row r="377" spans="1:21" x14ac:dyDescent="0.25">
      <c r="A377" t="s">
        <v>84</v>
      </c>
      <c r="B377" s="24">
        <v>24</v>
      </c>
      <c r="C377" t="s">
        <v>111</v>
      </c>
      <c r="D377" t="s">
        <v>33</v>
      </c>
      <c r="E377" t="s">
        <v>214</v>
      </c>
      <c r="F377" t="s">
        <v>33</v>
      </c>
      <c r="H377" t="s">
        <v>29</v>
      </c>
      <c r="I377" t="s">
        <v>217</v>
      </c>
      <c r="J377">
        <v>8</v>
      </c>
      <c r="N377">
        <f>Таблица1[[#This Row],[Часов на заказчика  в работе]]+Таблица1[[#This Row],[Часов на заказчика  дежурство]]</f>
        <v>0</v>
      </c>
      <c r="O3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" s="9"/>
      <c r="R377" s="9"/>
      <c r="S377" s="5">
        <v>1</v>
      </c>
      <c r="T3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табеле]])*S377,0)</f>
        <v>0</v>
      </c>
      <c r="U377" s="5">
        <f>IF(Таблица1[[#This Row],[ТТН]]&gt;0,Таблица1[[#This Row],[Ставка за ТТН]]*Таблица1[[#This Row],[ТТН]],0)</f>
        <v>0</v>
      </c>
    </row>
    <row r="378" spans="1:21" x14ac:dyDescent="0.25">
      <c r="A378" t="s">
        <v>84</v>
      </c>
      <c r="B378" s="24">
        <v>25</v>
      </c>
      <c r="C378" t="s">
        <v>111</v>
      </c>
      <c r="D378" t="s">
        <v>33</v>
      </c>
      <c r="E378" t="s">
        <v>214</v>
      </c>
      <c r="F378" t="s">
        <v>33</v>
      </c>
      <c r="H378" t="s">
        <v>48</v>
      </c>
      <c r="I378" t="s">
        <v>217</v>
      </c>
      <c r="J378">
        <v>1</v>
      </c>
      <c r="N378">
        <f>Таблица1[[#This Row],[Часов на заказчика  в работе]]+Таблица1[[#This Row],[Часов на заказчика  дежурство]]</f>
        <v>0</v>
      </c>
      <c r="O3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" s="9"/>
      <c r="R378" s="9"/>
      <c r="S378" s="5">
        <v>1</v>
      </c>
      <c r="T3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табеле]])*S378,0)</f>
        <v>0</v>
      </c>
      <c r="U378" s="5">
        <f>IF(Таблица1[[#This Row],[ТТН]]&gt;0,Таблица1[[#This Row],[Ставка за ТТН]]*Таблица1[[#This Row],[ТТН]],0)</f>
        <v>0</v>
      </c>
    </row>
    <row r="379" spans="1:21" x14ac:dyDescent="0.25">
      <c r="A379" t="s">
        <v>84</v>
      </c>
      <c r="B379" s="24">
        <v>26</v>
      </c>
      <c r="C379" t="s">
        <v>111</v>
      </c>
      <c r="D379" t="s">
        <v>33</v>
      </c>
      <c r="E379" t="s">
        <v>214</v>
      </c>
      <c r="F379" t="s">
        <v>33</v>
      </c>
      <c r="H379" t="s">
        <v>48</v>
      </c>
      <c r="I379" t="s">
        <v>217</v>
      </c>
      <c r="J379">
        <v>1</v>
      </c>
      <c r="N379">
        <f>Таблица1[[#This Row],[Часов на заказчика  в работе]]+Таблица1[[#This Row],[Часов на заказчика  дежурство]]</f>
        <v>0</v>
      </c>
      <c r="O3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" s="9"/>
      <c r="R379" s="9"/>
      <c r="S379" s="5">
        <v>1</v>
      </c>
      <c r="T3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табеле]])*S379,0)</f>
        <v>0</v>
      </c>
      <c r="U379" s="5">
        <f>IF(Таблица1[[#This Row],[ТТН]]&gt;0,Таблица1[[#This Row],[Ставка за ТТН]]*Таблица1[[#This Row],[ТТН]],0)</f>
        <v>0</v>
      </c>
    </row>
    <row r="380" spans="1:21" x14ac:dyDescent="0.25">
      <c r="A380" t="s">
        <v>84</v>
      </c>
      <c r="B380" s="24">
        <v>27</v>
      </c>
      <c r="C380" t="s">
        <v>111</v>
      </c>
      <c r="D380" t="s">
        <v>33</v>
      </c>
      <c r="E380" t="s">
        <v>214</v>
      </c>
      <c r="F380" t="s">
        <v>33</v>
      </c>
      <c r="H380" t="s">
        <v>48</v>
      </c>
      <c r="I380" t="s">
        <v>217</v>
      </c>
      <c r="J380">
        <v>1</v>
      </c>
      <c r="N380">
        <f>Таблица1[[#This Row],[Часов на заказчика  в работе]]+Таблица1[[#This Row],[Часов на заказчика  дежурство]]</f>
        <v>0</v>
      </c>
      <c r="O3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" s="9"/>
      <c r="R380" s="9"/>
      <c r="S380" s="5">
        <v>1</v>
      </c>
      <c r="T3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табеле]])*S380,0)</f>
        <v>0</v>
      </c>
      <c r="U380" s="5">
        <f>IF(Таблица1[[#This Row],[ТТН]]&gt;0,Таблица1[[#This Row],[Ставка за ТТН]]*Таблица1[[#This Row],[ТТН]],0)</f>
        <v>0</v>
      </c>
    </row>
    <row r="381" spans="1:21" x14ac:dyDescent="0.25">
      <c r="A381" t="s">
        <v>84</v>
      </c>
      <c r="B381" s="24">
        <v>28</v>
      </c>
      <c r="C381" t="s">
        <v>111</v>
      </c>
      <c r="D381" t="s">
        <v>33</v>
      </c>
      <c r="E381" t="s">
        <v>214</v>
      </c>
      <c r="F381" t="s">
        <v>33</v>
      </c>
      <c r="H381" t="s">
        <v>48</v>
      </c>
      <c r="I381" t="s">
        <v>217</v>
      </c>
      <c r="J381">
        <v>1</v>
      </c>
      <c r="N381">
        <f>Таблица1[[#This Row],[Часов на заказчика  в работе]]+Таблица1[[#This Row],[Часов на заказчика  дежурство]]</f>
        <v>0</v>
      </c>
      <c r="O3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" s="9"/>
      <c r="R381" s="9"/>
      <c r="S381" s="5">
        <v>1</v>
      </c>
      <c r="T3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табеле]])*S381,0)</f>
        <v>0</v>
      </c>
      <c r="U381" s="5">
        <f>IF(Таблица1[[#This Row],[ТТН]]&gt;0,Таблица1[[#This Row],[Ставка за ТТН]]*Таблица1[[#This Row],[ТТН]],0)</f>
        <v>0</v>
      </c>
    </row>
    <row r="382" spans="1:21" x14ac:dyDescent="0.25">
      <c r="A382" t="s">
        <v>84</v>
      </c>
      <c r="B382" s="24">
        <v>29</v>
      </c>
      <c r="C382" t="s">
        <v>111</v>
      </c>
      <c r="D382" t="s">
        <v>33</v>
      </c>
      <c r="E382" t="s">
        <v>214</v>
      </c>
      <c r="F382" t="s">
        <v>33</v>
      </c>
      <c r="H382" t="s">
        <v>48</v>
      </c>
      <c r="I382" t="s">
        <v>217</v>
      </c>
      <c r="J382">
        <v>1</v>
      </c>
      <c r="N382">
        <f>Таблица1[[#This Row],[Часов на заказчика  в работе]]+Таблица1[[#This Row],[Часов на заказчика  дежурство]]</f>
        <v>0</v>
      </c>
      <c r="O3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" s="9"/>
      <c r="R382" s="9"/>
      <c r="S382" s="5">
        <v>1</v>
      </c>
      <c r="T3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табеле]])*S382,0)</f>
        <v>0</v>
      </c>
      <c r="U382" s="5">
        <f>IF(Таблица1[[#This Row],[ТТН]]&gt;0,Таблица1[[#This Row],[Ставка за ТТН]]*Таблица1[[#This Row],[ТТН]],0)</f>
        <v>0</v>
      </c>
    </row>
    <row r="383" spans="1:21" x14ac:dyDescent="0.25">
      <c r="A383" t="s">
        <v>84</v>
      </c>
      <c r="B383" s="24">
        <v>30</v>
      </c>
      <c r="C383" t="s">
        <v>112</v>
      </c>
      <c r="D383" t="s">
        <v>33</v>
      </c>
      <c r="E383" t="s">
        <v>214</v>
      </c>
      <c r="F383" t="s">
        <v>33</v>
      </c>
      <c r="H383" t="s">
        <v>48</v>
      </c>
      <c r="I383" t="s">
        <v>217</v>
      </c>
      <c r="J383">
        <v>1</v>
      </c>
      <c r="N383">
        <f>Таблица1[[#This Row],[Часов на заказчика  в работе]]+Таблица1[[#This Row],[Часов на заказчика  дежурство]]</f>
        <v>0</v>
      </c>
      <c r="O3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" s="9"/>
      <c r="R383" s="9"/>
      <c r="S383" s="5">
        <v>1</v>
      </c>
      <c r="T3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табеле]])*S383,0)</f>
        <v>0</v>
      </c>
      <c r="U383" s="5">
        <f>IF(Таблица1[[#This Row],[ТТН]]&gt;0,Таблица1[[#This Row],[Ставка за ТТН]]*Таблица1[[#This Row],[ТТН]],0)</f>
        <v>0</v>
      </c>
    </row>
    <row r="384" spans="1:21" x14ac:dyDescent="0.25">
      <c r="A384" t="s">
        <v>84</v>
      </c>
      <c r="B384" s="24">
        <v>1</v>
      </c>
      <c r="C384" t="s">
        <v>112</v>
      </c>
      <c r="D384" t="s">
        <v>35</v>
      </c>
      <c r="E384" t="s">
        <v>215</v>
      </c>
      <c r="F384" t="s">
        <v>36</v>
      </c>
      <c r="H384" t="s">
        <v>10</v>
      </c>
      <c r="I384" t="s">
        <v>219</v>
      </c>
      <c r="J384">
        <v>11</v>
      </c>
      <c r="L384">
        <v>11</v>
      </c>
      <c r="N384">
        <f>Таблица1[[#This Row],[Часов на заказчика  в работе]]+Таблица1[[#This Row],[Часов на заказчика  дежурство]]</f>
        <v>11</v>
      </c>
      <c r="O3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" s="9">
        <v>200000</v>
      </c>
      <c r="R384" s="9"/>
      <c r="S384" s="5">
        <v>1</v>
      </c>
      <c r="T3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табеле]])*S384,0)</f>
        <v>6666.6666666666661</v>
      </c>
      <c r="U384" s="5">
        <f>IF(Таблица1[[#This Row],[ТТН]]&gt;0,Таблица1[[#This Row],[Ставка за ТТН]]*Таблица1[[#This Row],[ТТН]],0)</f>
        <v>0</v>
      </c>
    </row>
    <row r="385" spans="1:21" x14ac:dyDescent="0.25">
      <c r="A385" t="s">
        <v>84</v>
      </c>
      <c r="B385" s="24">
        <v>2</v>
      </c>
      <c r="C385" t="s">
        <v>112</v>
      </c>
      <c r="D385" t="s">
        <v>35</v>
      </c>
      <c r="E385" t="s">
        <v>215</v>
      </c>
      <c r="F385" t="s">
        <v>36</v>
      </c>
      <c r="H385" t="s">
        <v>10</v>
      </c>
      <c r="I385" t="s">
        <v>219</v>
      </c>
      <c r="J385">
        <v>11</v>
      </c>
      <c r="L385">
        <v>11</v>
      </c>
      <c r="N385">
        <f>Таблица1[[#This Row],[Часов на заказчика  в работе]]+Таблица1[[#This Row],[Часов на заказчика  дежурство]]</f>
        <v>11</v>
      </c>
      <c r="O3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" s="9">
        <v>200000</v>
      </c>
      <c r="R385" s="9"/>
      <c r="S385" s="5">
        <v>1</v>
      </c>
      <c r="T3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табеле]])*S385,0)</f>
        <v>6666.6666666666661</v>
      </c>
      <c r="U385" s="5">
        <f>IF(Таблица1[[#This Row],[ТТН]]&gt;0,Таблица1[[#This Row],[Ставка за ТТН]]*Таблица1[[#This Row],[ТТН]],0)</f>
        <v>0</v>
      </c>
    </row>
    <row r="386" spans="1:21" x14ac:dyDescent="0.25">
      <c r="A386" t="s">
        <v>84</v>
      </c>
      <c r="B386" s="24">
        <v>3</v>
      </c>
      <c r="C386" t="s">
        <v>112</v>
      </c>
      <c r="D386" t="s">
        <v>35</v>
      </c>
      <c r="E386" t="s">
        <v>215</v>
      </c>
      <c r="F386" t="s">
        <v>36</v>
      </c>
      <c r="H386" t="s">
        <v>10</v>
      </c>
      <c r="I386" t="s">
        <v>219</v>
      </c>
      <c r="J386">
        <v>11</v>
      </c>
      <c r="L386">
        <v>11</v>
      </c>
      <c r="N386">
        <f>Таблица1[[#This Row],[Часов на заказчика  в работе]]+Таблица1[[#This Row],[Часов на заказчика  дежурство]]</f>
        <v>11</v>
      </c>
      <c r="O3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" s="9">
        <v>200000</v>
      </c>
      <c r="R386" s="9"/>
      <c r="S386" s="5">
        <v>1</v>
      </c>
      <c r="T3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табеле]])*S386,0)</f>
        <v>6666.6666666666661</v>
      </c>
      <c r="U386" s="5">
        <f>IF(Таблица1[[#This Row],[ТТН]]&gt;0,Таблица1[[#This Row],[Ставка за ТТН]]*Таблица1[[#This Row],[ТТН]],0)</f>
        <v>0</v>
      </c>
    </row>
    <row r="387" spans="1:21" x14ac:dyDescent="0.25">
      <c r="A387" t="s">
        <v>84</v>
      </c>
      <c r="B387" s="24">
        <v>4</v>
      </c>
      <c r="C387" t="s">
        <v>112</v>
      </c>
      <c r="D387" t="s">
        <v>35</v>
      </c>
      <c r="E387" t="s">
        <v>215</v>
      </c>
      <c r="F387" t="s">
        <v>36</v>
      </c>
      <c r="H387" t="s">
        <v>10</v>
      </c>
      <c r="I387" t="s">
        <v>219</v>
      </c>
      <c r="J387">
        <v>11</v>
      </c>
      <c r="L387">
        <v>11</v>
      </c>
      <c r="N387">
        <f>Таблица1[[#This Row],[Часов на заказчика  в работе]]+Таблица1[[#This Row],[Часов на заказчика  дежурство]]</f>
        <v>11</v>
      </c>
      <c r="O3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" s="9">
        <v>200000</v>
      </c>
      <c r="R387" s="9"/>
      <c r="S387" s="5">
        <v>1</v>
      </c>
      <c r="T3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табеле]])*S387,0)</f>
        <v>6666.6666666666661</v>
      </c>
      <c r="U387" s="5">
        <f>IF(Таблица1[[#This Row],[ТТН]]&gt;0,Таблица1[[#This Row],[Ставка за ТТН]]*Таблица1[[#This Row],[ТТН]],0)</f>
        <v>0</v>
      </c>
    </row>
    <row r="388" spans="1:21" x14ac:dyDescent="0.25">
      <c r="A388" t="s">
        <v>84</v>
      </c>
      <c r="B388" s="24">
        <v>5</v>
      </c>
      <c r="C388" t="s">
        <v>112</v>
      </c>
      <c r="D388" t="s">
        <v>35</v>
      </c>
      <c r="E388" t="s">
        <v>215</v>
      </c>
      <c r="F388" t="s">
        <v>36</v>
      </c>
      <c r="H388" t="s">
        <v>10</v>
      </c>
      <c r="I388" t="s">
        <v>219</v>
      </c>
      <c r="J388">
        <v>11</v>
      </c>
      <c r="L388">
        <v>11</v>
      </c>
      <c r="N388">
        <f>Таблица1[[#This Row],[Часов на заказчика  в работе]]+Таблица1[[#This Row],[Часов на заказчика  дежурство]]</f>
        <v>11</v>
      </c>
      <c r="O3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" s="9">
        <v>200000</v>
      </c>
      <c r="R388" s="9"/>
      <c r="S388" s="5">
        <v>1</v>
      </c>
      <c r="T3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табеле]])*S388,0)</f>
        <v>6666.6666666666661</v>
      </c>
      <c r="U388" s="5">
        <f>IF(Таблица1[[#This Row],[ТТН]]&gt;0,Таблица1[[#This Row],[Ставка за ТТН]]*Таблица1[[#This Row],[ТТН]],0)</f>
        <v>0</v>
      </c>
    </row>
    <row r="389" spans="1:21" x14ac:dyDescent="0.25">
      <c r="A389" t="s">
        <v>84</v>
      </c>
      <c r="B389" s="24">
        <v>6</v>
      </c>
      <c r="C389" t="s">
        <v>112</v>
      </c>
      <c r="D389" t="s">
        <v>35</v>
      </c>
      <c r="E389" t="s">
        <v>215</v>
      </c>
      <c r="F389" t="s">
        <v>36</v>
      </c>
      <c r="H389" t="s">
        <v>10</v>
      </c>
      <c r="I389" t="s">
        <v>219</v>
      </c>
      <c r="J389">
        <v>11</v>
      </c>
      <c r="L389">
        <v>11</v>
      </c>
      <c r="N389">
        <f>Таблица1[[#This Row],[Часов на заказчика  в работе]]+Таблица1[[#This Row],[Часов на заказчика  дежурство]]</f>
        <v>11</v>
      </c>
      <c r="O3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" s="9">
        <v>200000</v>
      </c>
      <c r="R389" s="9"/>
      <c r="S389" s="5">
        <v>1</v>
      </c>
      <c r="T3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табеле]])*S389,0)</f>
        <v>6666.6666666666661</v>
      </c>
      <c r="U389" s="5">
        <f>IF(Таблица1[[#This Row],[ТТН]]&gt;0,Таблица1[[#This Row],[Ставка за ТТН]]*Таблица1[[#This Row],[ТТН]],0)</f>
        <v>0</v>
      </c>
    </row>
    <row r="390" spans="1:21" x14ac:dyDescent="0.25">
      <c r="A390" t="s">
        <v>84</v>
      </c>
      <c r="B390" s="24">
        <v>7</v>
      </c>
      <c r="C390" t="s">
        <v>112</v>
      </c>
      <c r="D390" t="s">
        <v>35</v>
      </c>
      <c r="E390" t="s">
        <v>215</v>
      </c>
      <c r="F390" t="s">
        <v>36</v>
      </c>
      <c r="H390" t="s">
        <v>23</v>
      </c>
      <c r="I390" t="s">
        <v>217</v>
      </c>
      <c r="J390">
        <v>11</v>
      </c>
      <c r="N390">
        <f>Таблица1[[#This Row],[Часов на заказчика  в работе]]+Таблица1[[#This Row],[Часов на заказчика  дежурство]]</f>
        <v>0</v>
      </c>
      <c r="O3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" s="9">
        <v>200000</v>
      </c>
      <c r="R390" s="9"/>
      <c r="S390" s="5">
        <v>1</v>
      </c>
      <c r="T3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табеле]])*S390,0)</f>
        <v>6666.6666666666661</v>
      </c>
      <c r="U390" s="5">
        <f>IF(Таблица1[[#This Row],[ТТН]]&gt;0,Таблица1[[#This Row],[Ставка за ТТН]]*Таблица1[[#This Row],[ТТН]],0)</f>
        <v>0</v>
      </c>
    </row>
    <row r="391" spans="1:21" x14ac:dyDescent="0.25">
      <c r="A391" t="s">
        <v>84</v>
      </c>
      <c r="B391" s="24">
        <v>8</v>
      </c>
      <c r="C391" t="s">
        <v>112</v>
      </c>
      <c r="D391" t="s">
        <v>35</v>
      </c>
      <c r="E391" t="s">
        <v>215</v>
      </c>
      <c r="F391" t="s">
        <v>36</v>
      </c>
      <c r="H391" t="s">
        <v>23</v>
      </c>
      <c r="I391" t="s">
        <v>217</v>
      </c>
      <c r="J391">
        <v>11</v>
      </c>
      <c r="N391">
        <f>Таблица1[[#This Row],[Часов на заказчика  в работе]]+Таблица1[[#This Row],[Часов на заказчика  дежурство]]</f>
        <v>0</v>
      </c>
      <c r="O3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" s="9">
        <v>200000</v>
      </c>
      <c r="R391" s="9"/>
      <c r="S391" s="5">
        <v>1</v>
      </c>
      <c r="T3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табеле]])*S391,0)</f>
        <v>6666.6666666666661</v>
      </c>
      <c r="U391" s="5">
        <f>IF(Таблица1[[#This Row],[ТТН]]&gt;0,Таблица1[[#This Row],[Ставка за ТТН]]*Таблица1[[#This Row],[ТТН]],0)</f>
        <v>0</v>
      </c>
    </row>
    <row r="392" spans="1:21" x14ac:dyDescent="0.25">
      <c r="A392" t="s">
        <v>84</v>
      </c>
      <c r="B392" s="24">
        <v>9</v>
      </c>
      <c r="C392" t="s">
        <v>112</v>
      </c>
      <c r="D392" t="s">
        <v>35</v>
      </c>
      <c r="E392" t="s">
        <v>215</v>
      </c>
      <c r="F392" t="s">
        <v>36</v>
      </c>
      <c r="H392" t="s">
        <v>70</v>
      </c>
      <c r="I392" t="s">
        <v>219</v>
      </c>
      <c r="J392">
        <v>11</v>
      </c>
      <c r="M392">
        <v>11</v>
      </c>
      <c r="N392">
        <f>Таблица1[[#This Row],[Часов на заказчика  в работе]]+Таблица1[[#This Row],[Часов на заказчика  дежурство]]</f>
        <v>11</v>
      </c>
      <c r="O3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" s="9">
        <v>200000</v>
      </c>
      <c r="R392" s="9"/>
      <c r="S392" s="5">
        <v>1</v>
      </c>
      <c r="T3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табеле]])*S392,0)</f>
        <v>6666.6666666666661</v>
      </c>
      <c r="U392" s="5">
        <f>IF(Таблица1[[#This Row],[ТТН]]&gt;0,Таблица1[[#This Row],[Ставка за ТТН]]*Таблица1[[#This Row],[ТТН]],0)</f>
        <v>0</v>
      </c>
    </row>
    <row r="393" spans="1:21" x14ac:dyDescent="0.25">
      <c r="A393" t="s">
        <v>84</v>
      </c>
      <c r="B393" s="24">
        <v>10</v>
      </c>
      <c r="C393" t="s">
        <v>112</v>
      </c>
      <c r="D393" t="s">
        <v>35</v>
      </c>
      <c r="E393" t="s">
        <v>215</v>
      </c>
      <c r="F393" t="s">
        <v>36</v>
      </c>
      <c r="H393" t="s">
        <v>70</v>
      </c>
      <c r="I393" t="s">
        <v>219</v>
      </c>
      <c r="J393">
        <v>11</v>
      </c>
      <c r="M393">
        <v>11</v>
      </c>
      <c r="N393">
        <f>Таблица1[[#This Row],[Часов на заказчика  в работе]]+Таблица1[[#This Row],[Часов на заказчика  дежурство]]</f>
        <v>11</v>
      </c>
      <c r="O3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" s="9">
        <v>200000</v>
      </c>
      <c r="R393" s="9"/>
      <c r="S393" s="5">
        <v>1</v>
      </c>
      <c r="T3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табеле]])*S393,0)</f>
        <v>6666.6666666666661</v>
      </c>
      <c r="U393" s="5">
        <f>IF(Таблица1[[#This Row],[ТТН]]&gt;0,Таблица1[[#This Row],[Ставка за ТТН]]*Таблица1[[#This Row],[ТТН]],0)</f>
        <v>0</v>
      </c>
    </row>
    <row r="394" spans="1:21" x14ac:dyDescent="0.25">
      <c r="A394" t="s">
        <v>84</v>
      </c>
      <c r="B394" s="24">
        <v>11</v>
      </c>
      <c r="C394" t="s">
        <v>112</v>
      </c>
      <c r="D394" t="s">
        <v>35</v>
      </c>
      <c r="E394" t="s">
        <v>215</v>
      </c>
      <c r="F394" t="s">
        <v>36</v>
      </c>
      <c r="H394" t="s">
        <v>70</v>
      </c>
      <c r="I394" t="s">
        <v>219</v>
      </c>
      <c r="J394">
        <v>11</v>
      </c>
      <c r="M394">
        <v>11</v>
      </c>
      <c r="N394">
        <f>Таблица1[[#This Row],[Часов на заказчика  в работе]]+Таблица1[[#This Row],[Часов на заказчика  дежурство]]</f>
        <v>11</v>
      </c>
      <c r="O3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" s="9">
        <v>200000</v>
      </c>
      <c r="R394" s="9"/>
      <c r="S394" s="5">
        <v>1</v>
      </c>
      <c r="T3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табеле]])*S394,0)</f>
        <v>6666.6666666666661</v>
      </c>
      <c r="U394" s="5">
        <f>IF(Таблица1[[#This Row],[ТТН]]&gt;0,Таблица1[[#This Row],[Ставка за ТТН]]*Таблица1[[#This Row],[ТТН]],0)</f>
        <v>0</v>
      </c>
    </row>
    <row r="395" spans="1:21" x14ac:dyDescent="0.25">
      <c r="A395" t="s">
        <v>84</v>
      </c>
      <c r="B395" s="24">
        <v>12</v>
      </c>
      <c r="C395" t="s">
        <v>112</v>
      </c>
      <c r="D395" t="s">
        <v>35</v>
      </c>
      <c r="E395" t="s">
        <v>215</v>
      </c>
      <c r="F395" t="s">
        <v>36</v>
      </c>
      <c r="H395" t="s">
        <v>10</v>
      </c>
      <c r="I395" t="s">
        <v>219</v>
      </c>
      <c r="J395">
        <v>11</v>
      </c>
      <c r="L395">
        <v>11</v>
      </c>
      <c r="N395">
        <f>Таблица1[[#This Row],[Часов на заказчика  в работе]]+Таблица1[[#This Row],[Часов на заказчика  дежурство]]</f>
        <v>11</v>
      </c>
      <c r="O3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" s="9">
        <v>200000</v>
      </c>
      <c r="R395" s="9"/>
      <c r="S395" s="5">
        <v>1</v>
      </c>
      <c r="T3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табеле]])*S395,0)</f>
        <v>6666.6666666666661</v>
      </c>
      <c r="U395" s="5">
        <f>IF(Таблица1[[#This Row],[ТТН]]&gt;0,Таблица1[[#This Row],[Ставка за ТТН]]*Таблица1[[#This Row],[ТТН]],0)</f>
        <v>0</v>
      </c>
    </row>
    <row r="396" spans="1:21" x14ac:dyDescent="0.25">
      <c r="A396" t="s">
        <v>84</v>
      </c>
      <c r="B396" s="24">
        <v>13</v>
      </c>
      <c r="C396" t="s">
        <v>112</v>
      </c>
      <c r="D396" t="s">
        <v>35</v>
      </c>
      <c r="E396" t="s">
        <v>215</v>
      </c>
      <c r="F396" t="s">
        <v>36</v>
      </c>
      <c r="H396" t="s">
        <v>10</v>
      </c>
      <c r="I396" t="s">
        <v>219</v>
      </c>
      <c r="J396">
        <v>11</v>
      </c>
      <c r="L396">
        <v>11</v>
      </c>
      <c r="N396">
        <f>Таблица1[[#This Row],[Часов на заказчика  в работе]]+Таблица1[[#This Row],[Часов на заказчика  дежурство]]</f>
        <v>11</v>
      </c>
      <c r="O3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" s="9">
        <v>200000</v>
      </c>
      <c r="R396" s="9"/>
      <c r="S396" s="5">
        <v>1</v>
      </c>
      <c r="T3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табеле]])*S396,0)</f>
        <v>6666.6666666666661</v>
      </c>
      <c r="U396" s="5">
        <f>IF(Таблица1[[#This Row],[ТТН]]&gt;0,Таблица1[[#This Row],[Ставка за ТТН]]*Таблица1[[#This Row],[ТТН]],0)</f>
        <v>0</v>
      </c>
    </row>
    <row r="397" spans="1:21" x14ac:dyDescent="0.25">
      <c r="A397" t="s">
        <v>84</v>
      </c>
      <c r="B397" s="24">
        <v>14</v>
      </c>
      <c r="C397" t="s">
        <v>112</v>
      </c>
      <c r="D397" t="s">
        <v>35</v>
      </c>
      <c r="E397" t="s">
        <v>215</v>
      </c>
      <c r="F397" t="s">
        <v>36</v>
      </c>
      <c r="H397" t="s">
        <v>10</v>
      </c>
      <c r="I397" t="s">
        <v>219</v>
      </c>
      <c r="J397">
        <v>11</v>
      </c>
      <c r="L397">
        <v>11</v>
      </c>
      <c r="N397">
        <f>Таблица1[[#This Row],[Часов на заказчика  в работе]]+Таблица1[[#This Row],[Часов на заказчика  дежурство]]</f>
        <v>11</v>
      </c>
      <c r="O3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" s="9">
        <v>200000</v>
      </c>
      <c r="R397" s="9"/>
      <c r="S397" s="5">
        <v>1</v>
      </c>
      <c r="T3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табеле]])*S397,0)</f>
        <v>6666.6666666666661</v>
      </c>
      <c r="U397" s="5">
        <f>IF(Таблица1[[#This Row],[ТТН]]&gt;0,Таблица1[[#This Row],[Ставка за ТТН]]*Таблица1[[#This Row],[ТТН]],0)</f>
        <v>0</v>
      </c>
    </row>
    <row r="398" spans="1:21" x14ac:dyDescent="0.25">
      <c r="A398" t="s">
        <v>84</v>
      </c>
      <c r="B398" s="24">
        <v>15</v>
      </c>
      <c r="C398" t="s">
        <v>112</v>
      </c>
      <c r="D398" t="s">
        <v>35</v>
      </c>
      <c r="E398" t="s">
        <v>215</v>
      </c>
      <c r="F398" t="s">
        <v>36</v>
      </c>
      <c r="H398" t="s">
        <v>10</v>
      </c>
      <c r="I398" t="s">
        <v>219</v>
      </c>
      <c r="J398">
        <v>11</v>
      </c>
      <c r="L398">
        <v>11</v>
      </c>
      <c r="N398">
        <f>Таблица1[[#This Row],[Часов на заказчика  в работе]]+Таблица1[[#This Row],[Часов на заказчика  дежурство]]</f>
        <v>11</v>
      </c>
      <c r="O3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" s="9">
        <v>200000</v>
      </c>
      <c r="R398" s="9"/>
      <c r="S398" s="5">
        <v>1</v>
      </c>
      <c r="T3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табеле]])*S398,0)</f>
        <v>6666.6666666666661</v>
      </c>
      <c r="U398" s="5">
        <f>IF(Таблица1[[#This Row],[ТТН]]&gt;0,Таблица1[[#This Row],[Ставка за ТТН]]*Таблица1[[#This Row],[ТТН]],0)</f>
        <v>0</v>
      </c>
    </row>
    <row r="399" spans="1:21" x14ac:dyDescent="0.25">
      <c r="A399" t="s">
        <v>84</v>
      </c>
      <c r="B399" s="24">
        <v>16</v>
      </c>
      <c r="C399" t="s">
        <v>112</v>
      </c>
      <c r="D399" t="s">
        <v>35</v>
      </c>
      <c r="E399" t="s">
        <v>215</v>
      </c>
      <c r="F399" t="s">
        <v>36</v>
      </c>
      <c r="H399" t="s">
        <v>10</v>
      </c>
      <c r="I399" t="s">
        <v>219</v>
      </c>
      <c r="J399">
        <v>11</v>
      </c>
      <c r="L399">
        <v>11</v>
      </c>
      <c r="N399">
        <f>Таблица1[[#This Row],[Часов на заказчика  в работе]]+Таблица1[[#This Row],[Часов на заказчика  дежурство]]</f>
        <v>11</v>
      </c>
      <c r="O3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" s="9">
        <v>200000</v>
      </c>
      <c r="R399" s="9"/>
      <c r="S399" s="5">
        <v>1</v>
      </c>
      <c r="T3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табеле]])*S399,0)</f>
        <v>6666.6666666666661</v>
      </c>
      <c r="U399" s="5">
        <f>IF(Таблица1[[#This Row],[ТТН]]&gt;0,Таблица1[[#This Row],[Ставка за ТТН]]*Таблица1[[#This Row],[ТТН]],0)</f>
        <v>0</v>
      </c>
    </row>
    <row r="400" spans="1:21" x14ac:dyDescent="0.25">
      <c r="A400" t="s">
        <v>84</v>
      </c>
      <c r="B400" s="24">
        <v>17</v>
      </c>
      <c r="C400" t="s">
        <v>112</v>
      </c>
      <c r="D400" t="s">
        <v>35</v>
      </c>
      <c r="E400" t="s">
        <v>215</v>
      </c>
      <c r="F400" t="s">
        <v>36</v>
      </c>
      <c r="H400" t="s">
        <v>10</v>
      </c>
      <c r="I400" t="s">
        <v>219</v>
      </c>
      <c r="J400">
        <v>11</v>
      </c>
      <c r="L400">
        <v>11</v>
      </c>
      <c r="N400">
        <f>Таблица1[[#This Row],[Часов на заказчика  в работе]]+Таблица1[[#This Row],[Часов на заказчика  дежурство]]</f>
        <v>11</v>
      </c>
      <c r="O4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" s="9">
        <v>200000</v>
      </c>
      <c r="R400" s="9"/>
      <c r="S400" s="5">
        <v>1</v>
      </c>
      <c r="T4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табеле]])*S400,0)</f>
        <v>6666.6666666666661</v>
      </c>
      <c r="U400" s="5">
        <f>IF(Таблица1[[#This Row],[ТТН]]&gt;0,Таблица1[[#This Row],[Ставка за ТТН]]*Таблица1[[#This Row],[ТТН]],0)</f>
        <v>0</v>
      </c>
    </row>
    <row r="401" spans="1:21" x14ac:dyDescent="0.25">
      <c r="A401" t="s">
        <v>84</v>
      </c>
      <c r="B401" s="24">
        <v>18</v>
      </c>
      <c r="C401" t="s">
        <v>112</v>
      </c>
      <c r="D401" t="s">
        <v>35</v>
      </c>
      <c r="E401" t="s">
        <v>215</v>
      </c>
      <c r="F401" t="s">
        <v>36</v>
      </c>
      <c r="H401" t="s">
        <v>10</v>
      </c>
      <c r="I401" t="s">
        <v>219</v>
      </c>
      <c r="J401">
        <v>11</v>
      </c>
      <c r="L401">
        <v>11</v>
      </c>
      <c r="N401">
        <f>Таблица1[[#This Row],[Часов на заказчика  в работе]]+Таблица1[[#This Row],[Часов на заказчика  дежурство]]</f>
        <v>11</v>
      </c>
      <c r="O4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" s="9">
        <v>200000</v>
      </c>
      <c r="R401" s="9"/>
      <c r="S401" s="5">
        <v>1</v>
      </c>
      <c r="T4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табеле]])*S401,0)</f>
        <v>6666.6666666666661</v>
      </c>
      <c r="U401" s="5">
        <f>IF(Таблица1[[#This Row],[ТТН]]&gt;0,Таблица1[[#This Row],[Ставка за ТТН]]*Таблица1[[#This Row],[ТТН]],0)</f>
        <v>0</v>
      </c>
    </row>
    <row r="402" spans="1:21" x14ac:dyDescent="0.25">
      <c r="A402" t="s">
        <v>84</v>
      </c>
      <c r="B402" s="24">
        <v>19</v>
      </c>
      <c r="C402" t="s">
        <v>112</v>
      </c>
      <c r="D402" t="s">
        <v>35</v>
      </c>
      <c r="E402" t="s">
        <v>215</v>
      </c>
      <c r="F402" t="s">
        <v>36</v>
      </c>
      <c r="H402" t="s">
        <v>10</v>
      </c>
      <c r="I402" t="s">
        <v>219</v>
      </c>
      <c r="J402">
        <v>11</v>
      </c>
      <c r="L402">
        <v>11</v>
      </c>
      <c r="N402">
        <f>Таблица1[[#This Row],[Часов на заказчика  в работе]]+Таблица1[[#This Row],[Часов на заказчика  дежурство]]</f>
        <v>11</v>
      </c>
      <c r="O4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" s="9">
        <v>200000</v>
      </c>
      <c r="R402" s="9"/>
      <c r="S402" s="5">
        <v>1</v>
      </c>
      <c r="T4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табеле]])*S402,0)</f>
        <v>6666.6666666666661</v>
      </c>
      <c r="U402" s="5">
        <f>IF(Таблица1[[#This Row],[ТТН]]&gt;0,Таблица1[[#This Row],[Ставка за ТТН]]*Таблица1[[#This Row],[ТТН]],0)</f>
        <v>0</v>
      </c>
    </row>
    <row r="403" spans="1:21" x14ac:dyDescent="0.25">
      <c r="A403" t="s">
        <v>84</v>
      </c>
      <c r="B403" s="24">
        <v>20</v>
      </c>
      <c r="C403" t="s">
        <v>112</v>
      </c>
      <c r="D403" t="s">
        <v>35</v>
      </c>
      <c r="E403" t="s">
        <v>215</v>
      </c>
      <c r="F403" t="s">
        <v>36</v>
      </c>
      <c r="H403" t="s">
        <v>10</v>
      </c>
      <c r="I403" t="s">
        <v>219</v>
      </c>
      <c r="J403">
        <v>11</v>
      </c>
      <c r="L403">
        <v>11</v>
      </c>
      <c r="N403">
        <f>Таблица1[[#This Row],[Часов на заказчика  в работе]]+Таблица1[[#This Row],[Часов на заказчика  дежурство]]</f>
        <v>11</v>
      </c>
      <c r="O4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" s="9">
        <v>200000</v>
      </c>
      <c r="R403" s="9"/>
      <c r="S403" s="5">
        <v>1</v>
      </c>
      <c r="T4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табеле]])*S403,0)</f>
        <v>6666.6666666666661</v>
      </c>
      <c r="U403" s="5">
        <f>IF(Таблица1[[#This Row],[ТТН]]&gt;0,Таблица1[[#This Row],[Ставка за ТТН]]*Таблица1[[#This Row],[ТТН]],0)</f>
        <v>0</v>
      </c>
    </row>
    <row r="404" spans="1:21" x14ac:dyDescent="0.25">
      <c r="A404" t="s">
        <v>84</v>
      </c>
      <c r="B404" s="24">
        <v>21</v>
      </c>
      <c r="C404" t="s">
        <v>112</v>
      </c>
      <c r="D404" t="s">
        <v>35</v>
      </c>
      <c r="E404" t="s">
        <v>215</v>
      </c>
      <c r="F404" t="s">
        <v>36</v>
      </c>
      <c r="H404" t="s">
        <v>10</v>
      </c>
      <c r="I404" t="s">
        <v>219</v>
      </c>
      <c r="J404">
        <v>11</v>
      </c>
      <c r="L404">
        <v>11</v>
      </c>
      <c r="N404">
        <f>Таблица1[[#This Row],[Часов на заказчика  в работе]]+Таблица1[[#This Row],[Часов на заказчика  дежурство]]</f>
        <v>11</v>
      </c>
      <c r="O4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4" s="9">
        <v>200000</v>
      </c>
      <c r="R404" s="9"/>
      <c r="S404" s="5">
        <v>1</v>
      </c>
      <c r="T4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табеле]])*S404,0)</f>
        <v>6666.6666666666661</v>
      </c>
      <c r="U404" s="5">
        <f>IF(Таблица1[[#This Row],[ТТН]]&gt;0,Таблица1[[#This Row],[Ставка за ТТН]]*Таблица1[[#This Row],[ТТН]],0)</f>
        <v>0</v>
      </c>
    </row>
    <row r="405" spans="1:21" x14ac:dyDescent="0.25">
      <c r="A405" t="s">
        <v>84</v>
      </c>
      <c r="B405" s="24">
        <v>22</v>
      </c>
      <c r="C405" t="s">
        <v>112</v>
      </c>
      <c r="D405" t="s">
        <v>35</v>
      </c>
      <c r="E405" t="s">
        <v>215</v>
      </c>
      <c r="F405" t="s">
        <v>36</v>
      </c>
      <c r="H405" t="s">
        <v>10</v>
      </c>
      <c r="I405" t="s">
        <v>219</v>
      </c>
      <c r="J405">
        <v>11</v>
      </c>
      <c r="L405">
        <v>11</v>
      </c>
      <c r="N405">
        <f>Таблица1[[#This Row],[Часов на заказчика  в работе]]+Таблица1[[#This Row],[Часов на заказчика  дежурство]]</f>
        <v>11</v>
      </c>
      <c r="O4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5" s="9">
        <v>200000</v>
      </c>
      <c r="R405" s="9"/>
      <c r="S405" s="5">
        <v>1</v>
      </c>
      <c r="T4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табеле]])*S405,0)</f>
        <v>6666.6666666666661</v>
      </c>
      <c r="U405" s="5">
        <f>IF(Таблица1[[#This Row],[ТТН]]&gt;0,Таблица1[[#This Row],[Ставка за ТТН]]*Таблица1[[#This Row],[ТТН]],0)</f>
        <v>0</v>
      </c>
    </row>
    <row r="406" spans="1:21" x14ac:dyDescent="0.25">
      <c r="A406" t="s">
        <v>84</v>
      </c>
      <c r="B406" s="24">
        <v>23</v>
      </c>
      <c r="C406" t="s">
        <v>112</v>
      </c>
      <c r="D406" t="s">
        <v>35</v>
      </c>
      <c r="E406" t="s">
        <v>215</v>
      </c>
      <c r="F406" t="s">
        <v>36</v>
      </c>
      <c r="H406" t="s">
        <v>10</v>
      </c>
      <c r="I406" t="s">
        <v>219</v>
      </c>
      <c r="J406">
        <v>11</v>
      </c>
      <c r="L406">
        <v>11</v>
      </c>
      <c r="N406">
        <f>Таблица1[[#This Row],[Часов на заказчика  в работе]]+Таблица1[[#This Row],[Часов на заказчика  дежурство]]</f>
        <v>11</v>
      </c>
      <c r="O4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6" s="9">
        <v>200000</v>
      </c>
      <c r="R406" s="9"/>
      <c r="S406" s="5">
        <v>1</v>
      </c>
      <c r="T4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табеле]])*S406,0)</f>
        <v>6666.6666666666661</v>
      </c>
      <c r="U406" s="5">
        <f>IF(Таблица1[[#This Row],[ТТН]]&gt;0,Таблица1[[#This Row],[Ставка за ТТН]]*Таблица1[[#This Row],[ТТН]],0)</f>
        <v>0</v>
      </c>
    </row>
    <row r="407" spans="1:21" x14ac:dyDescent="0.25">
      <c r="A407" t="s">
        <v>84</v>
      </c>
      <c r="B407" s="24">
        <v>24</v>
      </c>
      <c r="C407" t="s">
        <v>112</v>
      </c>
      <c r="D407" t="s">
        <v>35</v>
      </c>
      <c r="E407" t="s">
        <v>215</v>
      </c>
      <c r="F407" t="s">
        <v>36</v>
      </c>
      <c r="H407" t="s">
        <v>10</v>
      </c>
      <c r="I407" t="s">
        <v>219</v>
      </c>
      <c r="J407">
        <v>11</v>
      </c>
      <c r="L407">
        <v>11</v>
      </c>
      <c r="N407">
        <f>Таблица1[[#This Row],[Часов на заказчика  в работе]]+Таблица1[[#This Row],[Часов на заказчика  дежурство]]</f>
        <v>11</v>
      </c>
      <c r="O4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7" s="9">
        <v>200000</v>
      </c>
      <c r="R407" s="9"/>
      <c r="S407" s="5">
        <v>1</v>
      </c>
      <c r="T4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табеле]])*S407,0)</f>
        <v>6666.6666666666661</v>
      </c>
      <c r="U407" s="5">
        <f>IF(Таблица1[[#This Row],[ТТН]]&gt;0,Таблица1[[#This Row],[Ставка за ТТН]]*Таблица1[[#This Row],[ТТН]],0)</f>
        <v>0</v>
      </c>
    </row>
    <row r="408" spans="1:21" x14ac:dyDescent="0.25">
      <c r="A408" t="s">
        <v>84</v>
      </c>
      <c r="B408" s="24">
        <v>25</v>
      </c>
      <c r="C408" t="s">
        <v>112</v>
      </c>
      <c r="D408" t="s">
        <v>35</v>
      </c>
      <c r="E408" t="s">
        <v>215</v>
      </c>
      <c r="F408" t="s">
        <v>36</v>
      </c>
      <c r="H408" t="s">
        <v>10</v>
      </c>
      <c r="I408" t="s">
        <v>219</v>
      </c>
      <c r="J408">
        <v>11</v>
      </c>
      <c r="L408">
        <v>11</v>
      </c>
      <c r="N408">
        <f>Таблица1[[#This Row],[Часов на заказчика  в работе]]+Таблица1[[#This Row],[Часов на заказчика  дежурство]]</f>
        <v>11</v>
      </c>
      <c r="O4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8" s="9">
        <v>200000</v>
      </c>
      <c r="R408" s="9"/>
      <c r="S408" s="5">
        <v>1</v>
      </c>
      <c r="T4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табеле]])*S408,0)</f>
        <v>6666.6666666666661</v>
      </c>
      <c r="U408" s="5">
        <f>IF(Таблица1[[#This Row],[ТТН]]&gt;0,Таблица1[[#This Row],[Ставка за ТТН]]*Таблица1[[#This Row],[ТТН]],0)</f>
        <v>0</v>
      </c>
    </row>
    <row r="409" spans="1:21" x14ac:dyDescent="0.25">
      <c r="A409" t="s">
        <v>84</v>
      </c>
      <c r="B409" s="24">
        <v>26</v>
      </c>
      <c r="C409" t="s">
        <v>112</v>
      </c>
      <c r="D409" t="s">
        <v>35</v>
      </c>
      <c r="E409" t="s">
        <v>215</v>
      </c>
      <c r="F409" t="s">
        <v>36</v>
      </c>
      <c r="H409" t="s">
        <v>10</v>
      </c>
      <c r="I409" t="s">
        <v>219</v>
      </c>
      <c r="J409">
        <v>11</v>
      </c>
      <c r="L409">
        <v>11</v>
      </c>
      <c r="N409">
        <f>Таблица1[[#This Row],[Часов на заказчика  в работе]]+Таблица1[[#This Row],[Часов на заказчика  дежурство]]</f>
        <v>11</v>
      </c>
      <c r="O4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9" s="9">
        <v>200000</v>
      </c>
      <c r="R409" s="9"/>
      <c r="S409" s="5">
        <v>1</v>
      </c>
      <c r="T4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табеле]])*S409,0)</f>
        <v>6666.6666666666661</v>
      </c>
      <c r="U409" s="5">
        <f>IF(Таблица1[[#This Row],[ТТН]]&gt;0,Таблица1[[#This Row],[Ставка за ТТН]]*Таблица1[[#This Row],[ТТН]],0)</f>
        <v>0</v>
      </c>
    </row>
    <row r="410" spans="1:21" x14ac:dyDescent="0.25">
      <c r="A410" t="s">
        <v>84</v>
      </c>
      <c r="B410" s="24">
        <v>27</v>
      </c>
      <c r="C410" t="s">
        <v>112</v>
      </c>
      <c r="D410" t="s">
        <v>35</v>
      </c>
      <c r="E410" t="s">
        <v>215</v>
      </c>
      <c r="F410" t="s">
        <v>36</v>
      </c>
      <c r="H410" t="s">
        <v>10</v>
      </c>
      <c r="I410" t="s">
        <v>219</v>
      </c>
      <c r="J410">
        <v>11</v>
      </c>
      <c r="L410">
        <v>11</v>
      </c>
      <c r="N410">
        <f>Таблица1[[#This Row],[Часов на заказчика  в работе]]+Таблица1[[#This Row],[Часов на заказчика  дежурство]]</f>
        <v>11</v>
      </c>
      <c r="O4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0" s="9">
        <v>200000</v>
      </c>
      <c r="R410" s="9"/>
      <c r="S410" s="5">
        <v>1</v>
      </c>
      <c r="T4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табеле]])*S410,0)</f>
        <v>6666.6666666666661</v>
      </c>
      <c r="U410" s="5">
        <f>IF(Таблица1[[#This Row],[ТТН]]&gt;0,Таблица1[[#This Row],[Ставка за ТТН]]*Таблица1[[#This Row],[ТТН]],0)</f>
        <v>0</v>
      </c>
    </row>
    <row r="411" spans="1:21" x14ac:dyDescent="0.25">
      <c r="A411" t="s">
        <v>84</v>
      </c>
      <c r="B411" s="24">
        <v>28</v>
      </c>
      <c r="C411" t="s">
        <v>112</v>
      </c>
      <c r="D411" t="s">
        <v>35</v>
      </c>
      <c r="E411" t="s">
        <v>215</v>
      </c>
      <c r="F411" t="s">
        <v>36</v>
      </c>
      <c r="H411" t="s">
        <v>10</v>
      </c>
      <c r="I411" t="s">
        <v>219</v>
      </c>
      <c r="J411">
        <v>11</v>
      </c>
      <c r="L411">
        <v>11</v>
      </c>
      <c r="N411">
        <f>Таблица1[[#This Row],[Часов на заказчика  в работе]]+Таблица1[[#This Row],[Часов на заказчика  дежурство]]</f>
        <v>11</v>
      </c>
      <c r="O4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1" s="9">
        <v>200000</v>
      </c>
      <c r="R411" s="9"/>
      <c r="S411" s="5">
        <v>1</v>
      </c>
      <c r="T4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табеле]])*S411,0)</f>
        <v>6666.6666666666661</v>
      </c>
      <c r="U411" s="5">
        <f>IF(Таблица1[[#This Row],[ТТН]]&gt;0,Таблица1[[#This Row],[Ставка за ТТН]]*Таблица1[[#This Row],[ТТН]],0)</f>
        <v>0</v>
      </c>
    </row>
    <row r="412" spans="1:21" x14ac:dyDescent="0.25">
      <c r="A412" t="s">
        <v>84</v>
      </c>
      <c r="B412" s="24">
        <v>29</v>
      </c>
      <c r="C412" t="s">
        <v>112</v>
      </c>
      <c r="D412" t="s">
        <v>35</v>
      </c>
      <c r="E412" t="s">
        <v>215</v>
      </c>
      <c r="F412" t="s">
        <v>36</v>
      </c>
      <c r="H412" t="s">
        <v>10</v>
      </c>
      <c r="I412" t="s">
        <v>219</v>
      </c>
      <c r="J412">
        <v>11</v>
      </c>
      <c r="L412">
        <v>11</v>
      </c>
      <c r="N412">
        <f>Таблица1[[#This Row],[Часов на заказчика  в работе]]+Таблица1[[#This Row],[Часов на заказчика  дежурство]]</f>
        <v>11</v>
      </c>
      <c r="O4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2" s="9">
        <v>200000</v>
      </c>
      <c r="R412" s="9"/>
      <c r="S412" s="5">
        <v>1</v>
      </c>
      <c r="T4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табеле]])*S412,0)</f>
        <v>6666.6666666666661</v>
      </c>
      <c r="U412" s="5">
        <f>IF(Таблица1[[#This Row],[ТТН]]&gt;0,Таблица1[[#This Row],[Ставка за ТТН]]*Таблица1[[#This Row],[ТТН]],0)</f>
        <v>0</v>
      </c>
    </row>
    <row r="413" spans="1:21" x14ac:dyDescent="0.25">
      <c r="A413" t="s">
        <v>84</v>
      </c>
      <c r="B413" s="24">
        <v>30</v>
      </c>
      <c r="C413" t="s">
        <v>109</v>
      </c>
      <c r="D413" t="s">
        <v>35</v>
      </c>
      <c r="E413" t="s">
        <v>215</v>
      </c>
      <c r="F413" t="s">
        <v>36</v>
      </c>
      <c r="H413" t="s">
        <v>10</v>
      </c>
      <c r="I413" t="s">
        <v>219</v>
      </c>
      <c r="J413">
        <v>11</v>
      </c>
      <c r="L413">
        <v>11</v>
      </c>
      <c r="N413">
        <f>Таблица1[[#This Row],[Часов на заказчика  в работе]]+Таблица1[[#This Row],[Часов на заказчика  дежурство]]</f>
        <v>11</v>
      </c>
      <c r="O4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3" s="9">
        <v>200000</v>
      </c>
      <c r="R413" s="9"/>
      <c r="S413" s="5">
        <v>1</v>
      </c>
      <c r="T4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табеле]])*S413,0)</f>
        <v>6666.6666666666661</v>
      </c>
      <c r="U413" s="5">
        <f>IF(Таблица1[[#This Row],[ТТН]]&gt;0,Таблица1[[#This Row],[Ставка за ТТН]]*Таблица1[[#This Row],[ТТН]],0)</f>
        <v>0</v>
      </c>
    </row>
    <row r="414" spans="1:21" x14ac:dyDescent="0.25">
      <c r="A414" t="s">
        <v>84</v>
      </c>
      <c r="B414" s="24">
        <v>1</v>
      </c>
      <c r="C414" t="s">
        <v>109</v>
      </c>
      <c r="D414" t="s">
        <v>39</v>
      </c>
      <c r="E414" t="s">
        <v>215</v>
      </c>
      <c r="F414" t="s">
        <v>40</v>
      </c>
      <c r="H414" t="s">
        <v>10</v>
      </c>
      <c r="I414" t="s">
        <v>219</v>
      </c>
      <c r="J414">
        <v>22</v>
      </c>
      <c r="L414">
        <v>22</v>
      </c>
      <c r="N414">
        <f>Таблица1[[#This Row],[Часов на заказчика  в работе]]+Таблица1[[#This Row],[Часов на заказчика  дежурство]]</f>
        <v>22</v>
      </c>
      <c r="O4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4" s="9">
        <v>170000</v>
      </c>
      <c r="R414" s="9"/>
      <c r="S414" s="5">
        <v>1</v>
      </c>
      <c r="T4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табеле]])*S414,0)</f>
        <v>11333.333333333332</v>
      </c>
      <c r="U414" s="5">
        <f>IF(Таблица1[[#This Row],[ТТН]]&gt;0,Таблица1[[#This Row],[Ставка за ТТН]]*Таблица1[[#This Row],[ТТН]],0)</f>
        <v>0</v>
      </c>
    </row>
    <row r="415" spans="1:21" x14ac:dyDescent="0.25">
      <c r="A415" t="s">
        <v>84</v>
      </c>
      <c r="B415" s="24">
        <v>2</v>
      </c>
      <c r="C415" t="s">
        <v>109</v>
      </c>
      <c r="D415" t="s">
        <v>39</v>
      </c>
      <c r="E415" t="s">
        <v>215</v>
      </c>
      <c r="F415" t="s">
        <v>40</v>
      </c>
      <c r="H415" t="s">
        <v>10</v>
      </c>
      <c r="I415" t="s">
        <v>219</v>
      </c>
      <c r="J415">
        <v>22</v>
      </c>
      <c r="L415">
        <v>22</v>
      </c>
      <c r="N415">
        <f>Таблица1[[#This Row],[Часов на заказчика  в работе]]+Таблица1[[#This Row],[Часов на заказчика  дежурство]]</f>
        <v>22</v>
      </c>
      <c r="O4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5" s="9">
        <v>170000</v>
      </c>
      <c r="R415" s="9"/>
      <c r="S415" s="5">
        <v>1</v>
      </c>
      <c r="T4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табеле]])*S415,0)</f>
        <v>11333.333333333332</v>
      </c>
      <c r="U415" s="5">
        <f>IF(Таблица1[[#This Row],[ТТН]]&gt;0,Таблица1[[#This Row],[Ставка за ТТН]]*Таблица1[[#This Row],[ТТН]],0)</f>
        <v>0</v>
      </c>
    </row>
    <row r="416" spans="1:21" x14ac:dyDescent="0.25">
      <c r="A416" t="s">
        <v>84</v>
      </c>
      <c r="B416" s="24">
        <v>3</v>
      </c>
      <c r="C416" t="s">
        <v>109</v>
      </c>
      <c r="D416" t="s">
        <v>39</v>
      </c>
      <c r="E416" t="s">
        <v>215</v>
      </c>
      <c r="F416" t="s">
        <v>40</v>
      </c>
      <c r="H416" t="s">
        <v>10</v>
      </c>
      <c r="I416" t="s">
        <v>219</v>
      </c>
      <c r="J416">
        <v>11</v>
      </c>
      <c r="L416">
        <v>11</v>
      </c>
      <c r="N416">
        <f>Таблица1[[#This Row],[Часов на заказчика  в работе]]+Таблица1[[#This Row],[Часов на заказчика  дежурство]]</f>
        <v>11</v>
      </c>
      <c r="O4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6" s="9">
        <v>170000</v>
      </c>
      <c r="R416" s="9"/>
      <c r="S416" s="5">
        <v>1</v>
      </c>
      <c r="T4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табеле]])*S416,0)</f>
        <v>5666.6666666666661</v>
      </c>
      <c r="U416" s="5">
        <f>IF(Таблица1[[#This Row],[ТТН]]&gt;0,Таблица1[[#This Row],[Ставка за ТТН]]*Таблица1[[#This Row],[ТТН]],0)</f>
        <v>0</v>
      </c>
    </row>
    <row r="417" spans="1:21" x14ac:dyDescent="0.25">
      <c r="A417" t="s">
        <v>84</v>
      </c>
      <c r="B417" s="24">
        <v>4</v>
      </c>
      <c r="C417" t="s">
        <v>109</v>
      </c>
      <c r="D417" t="s">
        <v>39</v>
      </c>
      <c r="E417" t="s">
        <v>215</v>
      </c>
      <c r="F417" t="s">
        <v>40</v>
      </c>
      <c r="H417" t="s">
        <v>10</v>
      </c>
      <c r="I417" t="s">
        <v>219</v>
      </c>
      <c r="J417">
        <v>11</v>
      </c>
      <c r="L417">
        <v>11</v>
      </c>
      <c r="N417">
        <f>Таблица1[[#This Row],[Часов на заказчика  в работе]]+Таблица1[[#This Row],[Часов на заказчика  дежурство]]</f>
        <v>11</v>
      </c>
      <c r="O4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7" s="9">
        <v>170000</v>
      </c>
      <c r="R417" s="9"/>
      <c r="S417" s="5">
        <v>1</v>
      </c>
      <c r="T4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табеле]])*S417,0)</f>
        <v>5666.6666666666661</v>
      </c>
      <c r="U417" s="5">
        <f>IF(Таблица1[[#This Row],[ТТН]]&gt;0,Таблица1[[#This Row],[Ставка за ТТН]]*Таблица1[[#This Row],[ТТН]],0)</f>
        <v>0</v>
      </c>
    </row>
    <row r="418" spans="1:21" x14ac:dyDescent="0.25">
      <c r="A418" t="s">
        <v>84</v>
      </c>
      <c r="B418" s="24">
        <v>5</v>
      </c>
      <c r="C418" t="s">
        <v>109</v>
      </c>
      <c r="D418" t="s">
        <v>39</v>
      </c>
      <c r="E418" t="s">
        <v>215</v>
      </c>
      <c r="F418" t="s">
        <v>40</v>
      </c>
      <c r="H418" t="s">
        <v>10</v>
      </c>
      <c r="I418" t="s">
        <v>219</v>
      </c>
      <c r="J418">
        <v>22</v>
      </c>
      <c r="L418">
        <v>22</v>
      </c>
      <c r="N418">
        <f>Таблица1[[#This Row],[Часов на заказчика  в работе]]+Таблица1[[#This Row],[Часов на заказчика  дежурство]]</f>
        <v>22</v>
      </c>
      <c r="O4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8" s="9">
        <v>170000</v>
      </c>
      <c r="R418" s="9"/>
      <c r="S418" s="5">
        <v>1</v>
      </c>
      <c r="T4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табеле]])*S418,0)</f>
        <v>11333.333333333332</v>
      </c>
      <c r="U418" s="5">
        <f>IF(Таблица1[[#This Row],[ТТН]]&gt;0,Таблица1[[#This Row],[Ставка за ТТН]]*Таблица1[[#This Row],[ТТН]],0)</f>
        <v>0</v>
      </c>
    </row>
    <row r="419" spans="1:21" x14ac:dyDescent="0.25">
      <c r="A419" t="s">
        <v>84</v>
      </c>
      <c r="B419" s="24">
        <v>6</v>
      </c>
      <c r="C419" t="s">
        <v>109</v>
      </c>
      <c r="D419" t="s">
        <v>39</v>
      </c>
      <c r="E419" t="s">
        <v>215</v>
      </c>
      <c r="F419" t="s">
        <v>40</v>
      </c>
      <c r="H419" t="s">
        <v>10</v>
      </c>
      <c r="I419" t="s">
        <v>219</v>
      </c>
      <c r="J419">
        <v>22</v>
      </c>
      <c r="L419">
        <v>22</v>
      </c>
      <c r="N419">
        <f>Таблица1[[#This Row],[Часов на заказчика  в работе]]+Таблица1[[#This Row],[Часов на заказчика  дежурство]]</f>
        <v>22</v>
      </c>
      <c r="O4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19" s="9">
        <v>170000</v>
      </c>
      <c r="R419" s="9"/>
      <c r="S419" s="5">
        <v>1</v>
      </c>
      <c r="T4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табеле]])*S419,0)</f>
        <v>11333.333333333332</v>
      </c>
      <c r="U419" s="5">
        <f>IF(Таблица1[[#This Row],[ТТН]]&gt;0,Таблица1[[#This Row],[Ставка за ТТН]]*Таблица1[[#This Row],[ТТН]],0)</f>
        <v>0</v>
      </c>
    </row>
    <row r="420" spans="1:21" x14ac:dyDescent="0.25">
      <c r="A420" t="s">
        <v>84</v>
      </c>
      <c r="B420" s="24">
        <v>7</v>
      </c>
      <c r="C420" t="s">
        <v>109</v>
      </c>
      <c r="D420" t="s">
        <v>39</v>
      </c>
      <c r="E420" t="s">
        <v>215</v>
      </c>
      <c r="F420" t="s">
        <v>40</v>
      </c>
      <c r="H420" t="s">
        <v>10</v>
      </c>
      <c r="I420" t="s">
        <v>219</v>
      </c>
      <c r="J420">
        <v>22</v>
      </c>
      <c r="L420">
        <v>22</v>
      </c>
      <c r="N420">
        <f>Таблица1[[#This Row],[Часов на заказчика  в работе]]+Таблица1[[#This Row],[Часов на заказчика  дежурство]]</f>
        <v>22</v>
      </c>
      <c r="O4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0" s="9">
        <v>170000</v>
      </c>
      <c r="R420" s="9"/>
      <c r="S420" s="5">
        <v>1</v>
      </c>
      <c r="T4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табеле]])*S420,0)</f>
        <v>11333.333333333332</v>
      </c>
      <c r="U420" s="5">
        <f>IF(Таблица1[[#This Row],[ТТН]]&gt;0,Таблица1[[#This Row],[Ставка за ТТН]]*Таблица1[[#This Row],[ТТН]],0)</f>
        <v>0</v>
      </c>
    </row>
    <row r="421" spans="1:21" x14ac:dyDescent="0.25">
      <c r="A421" t="s">
        <v>84</v>
      </c>
      <c r="B421" s="24">
        <v>8</v>
      </c>
      <c r="C421" t="s">
        <v>109</v>
      </c>
      <c r="D421" t="s">
        <v>39</v>
      </c>
      <c r="E421" t="s">
        <v>215</v>
      </c>
      <c r="F421" t="s">
        <v>40</v>
      </c>
      <c r="H421" t="s">
        <v>10</v>
      </c>
      <c r="I421" t="s">
        <v>219</v>
      </c>
      <c r="J421">
        <v>22</v>
      </c>
      <c r="L421">
        <v>22</v>
      </c>
      <c r="N421">
        <f>Таблица1[[#This Row],[Часов на заказчика  в работе]]+Таблица1[[#This Row],[Часов на заказчика  дежурство]]</f>
        <v>22</v>
      </c>
      <c r="O4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1" s="9">
        <v>170000</v>
      </c>
      <c r="R421" s="9"/>
      <c r="S421" s="5">
        <v>1</v>
      </c>
      <c r="T4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табеле]])*S421,0)</f>
        <v>11333.333333333332</v>
      </c>
      <c r="U421" s="5">
        <f>IF(Таблица1[[#This Row],[ТТН]]&gt;0,Таблица1[[#This Row],[Ставка за ТТН]]*Таблица1[[#This Row],[ТТН]],0)</f>
        <v>0</v>
      </c>
    </row>
    <row r="422" spans="1:21" x14ac:dyDescent="0.25">
      <c r="A422" t="s">
        <v>84</v>
      </c>
      <c r="B422" s="24">
        <v>9</v>
      </c>
      <c r="C422" t="s">
        <v>109</v>
      </c>
      <c r="D422" t="s">
        <v>39</v>
      </c>
      <c r="E422" t="s">
        <v>215</v>
      </c>
      <c r="F422" t="s">
        <v>40</v>
      </c>
      <c r="H422" t="s">
        <v>10</v>
      </c>
      <c r="I422" t="s">
        <v>219</v>
      </c>
      <c r="J422">
        <v>22</v>
      </c>
      <c r="L422">
        <v>22</v>
      </c>
      <c r="N422">
        <f>Таблица1[[#This Row],[Часов на заказчика  в работе]]+Таблица1[[#This Row],[Часов на заказчика  дежурство]]</f>
        <v>22</v>
      </c>
      <c r="O4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2" s="9">
        <v>170000</v>
      </c>
      <c r="R422" s="9"/>
      <c r="S422" s="5">
        <v>1</v>
      </c>
      <c r="T4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табеле]])*S422,0)</f>
        <v>11333.333333333332</v>
      </c>
      <c r="U422" s="5">
        <f>IF(Таблица1[[#This Row],[ТТН]]&gt;0,Таблица1[[#This Row],[Ставка за ТТН]]*Таблица1[[#This Row],[ТТН]],0)</f>
        <v>0</v>
      </c>
    </row>
    <row r="423" spans="1:21" x14ac:dyDescent="0.25">
      <c r="A423" t="s">
        <v>84</v>
      </c>
      <c r="B423" s="24">
        <v>10</v>
      </c>
      <c r="C423" t="s">
        <v>109</v>
      </c>
      <c r="D423" t="s">
        <v>39</v>
      </c>
      <c r="E423" t="s">
        <v>215</v>
      </c>
      <c r="F423" t="s">
        <v>40</v>
      </c>
      <c r="H423" t="s">
        <v>10</v>
      </c>
      <c r="I423" t="s">
        <v>219</v>
      </c>
      <c r="J423">
        <v>22</v>
      </c>
      <c r="L423">
        <v>22</v>
      </c>
      <c r="N423">
        <f>Таблица1[[#This Row],[Часов на заказчика  в работе]]+Таблица1[[#This Row],[Часов на заказчика  дежурство]]</f>
        <v>22</v>
      </c>
      <c r="O4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3" s="9">
        <v>170000</v>
      </c>
      <c r="R423" s="9"/>
      <c r="S423" s="5">
        <v>1</v>
      </c>
      <c r="T4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табеле]])*S423,0)</f>
        <v>11333.333333333332</v>
      </c>
      <c r="U423" s="5">
        <f>IF(Таблица1[[#This Row],[ТТН]]&gt;0,Таблица1[[#This Row],[Ставка за ТТН]]*Таблица1[[#This Row],[ТТН]],0)</f>
        <v>0</v>
      </c>
    </row>
    <row r="424" spans="1:21" x14ac:dyDescent="0.25">
      <c r="A424" t="s">
        <v>84</v>
      </c>
      <c r="B424" s="24">
        <v>11</v>
      </c>
      <c r="C424" t="s">
        <v>109</v>
      </c>
      <c r="D424" t="s">
        <v>39</v>
      </c>
      <c r="E424" t="s">
        <v>215</v>
      </c>
      <c r="F424" t="s">
        <v>40</v>
      </c>
      <c r="H424" t="s">
        <v>10</v>
      </c>
      <c r="I424" t="s">
        <v>219</v>
      </c>
      <c r="J424">
        <v>22</v>
      </c>
      <c r="L424">
        <v>22</v>
      </c>
      <c r="N424">
        <f>Таблица1[[#This Row],[Часов на заказчика  в работе]]+Таблица1[[#This Row],[Часов на заказчика  дежурство]]</f>
        <v>22</v>
      </c>
      <c r="O4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4" s="9">
        <v>170000</v>
      </c>
      <c r="R424" s="9"/>
      <c r="S424" s="5">
        <v>1</v>
      </c>
      <c r="T4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табеле]])*S424,0)</f>
        <v>11333.333333333332</v>
      </c>
      <c r="U424" s="5">
        <f>IF(Таблица1[[#This Row],[ТТН]]&gt;0,Таблица1[[#This Row],[Ставка за ТТН]]*Таблица1[[#This Row],[ТТН]],0)</f>
        <v>0</v>
      </c>
    </row>
    <row r="425" spans="1:21" x14ac:dyDescent="0.25">
      <c r="A425" t="s">
        <v>84</v>
      </c>
      <c r="B425" s="24">
        <v>12</v>
      </c>
      <c r="C425" t="s">
        <v>109</v>
      </c>
      <c r="D425" t="s">
        <v>39</v>
      </c>
      <c r="E425" t="s">
        <v>215</v>
      </c>
      <c r="F425" t="s">
        <v>40</v>
      </c>
      <c r="H425" t="s">
        <v>10</v>
      </c>
      <c r="I425" t="s">
        <v>219</v>
      </c>
      <c r="J425">
        <v>22</v>
      </c>
      <c r="L425">
        <v>22</v>
      </c>
      <c r="N425">
        <f>Таблица1[[#This Row],[Часов на заказчика  в работе]]+Таблица1[[#This Row],[Часов на заказчика  дежурство]]</f>
        <v>22</v>
      </c>
      <c r="O4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5" s="9">
        <v>170000</v>
      </c>
      <c r="R425" s="9"/>
      <c r="S425" s="5">
        <v>1</v>
      </c>
      <c r="T4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табеле]])*S425,0)</f>
        <v>11333.333333333332</v>
      </c>
      <c r="U425" s="5">
        <f>IF(Таблица1[[#This Row],[ТТН]]&gt;0,Таблица1[[#This Row],[Ставка за ТТН]]*Таблица1[[#This Row],[ТТН]],0)</f>
        <v>0</v>
      </c>
    </row>
    <row r="426" spans="1:21" x14ac:dyDescent="0.25">
      <c r="A426" t="s">
        <v>84</v>
      </c>
      <c r="B426" s="24">
        <v>13</v>
      </c>
      <c r="C426" t="s">
        <v>109</v>
      </c>
      <c r="D426" t="s">
        <v>39</v>
      </c>
      <c r="E426" t="s">
        <v>215</v>
      </c>
      <c r="F426" t="s">
        <v>40</v>
      </c>
      <c r="H426" t="s">
        <v>10</v>
      </c>
      <c r="I426" t="s">
        <v>219</v>
      </c>
      <c r="J426">
        <v>22</v>
      </c>
      <c r="L426">
        <v>22</v>
      </c>
      <c r="N426">
        <f>Таблица1[[#This Row],[Часов на заказчика  в работе]]+Таблица1[[#This Row],[Часов на заказчика  дежурство]]</f>
        <v>22</v>
      </c>
      <c r="O4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6" s="9">
        <v>170000</v>
      </c>
      <c r="R426" s="9"/>
      <c r="S426" s="5">
        <v>1</v>
      </c>
      <c r="T4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табеле]])*S426,0)</f>
        <v>11333.333333333332</v>
      </c>
      <c r="U426" s="5">
        <f>IF(Таблица1[[#This Row],[ТТН]]&gt;0,Таблица1[[#This Row],[Ставка за ТТН]]*Таблица1[[#This Row],[ТТН]],0)</f>
        <v>0</v>
      </c>
    </row>
    <row r="427" spans="1:21" x14ac:dyDescent="0.25">
      <c r="A427" t="s">
        <v>84</v>
      </c>
      <c r="B427" s="24">
        <v>14</v>
      </c>
      <c r="C427" t="s">
        <v>109</v>
      </c>
      <c r="D427" t="s">
        <v>39</v>
      </c>
      <c r="E427" t="s">
        <v>215</v>
      </c>
      <c r="F427" t="s">
        <v>40</v>
      </c>
      <c r="H427" t="s">
        <v>10</v>
      </c>
      <c r="I427" t="s">
        <v>219</v>
      </c>
      <c r="J427">
        <v>11</v>
      </c>
      <c r="L427">
        <v>11</v>
      </c>
      <c r="N427">
        <f>Таблица1[[#This Row],[Часов на заказчика  в работе]]+Таблица1[[#This Row],[Часов на заказчика  дежурство]]</f>
        <v>11</v>
      </c>
      <c r="O4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7" s="9">
        <v>170000</v>
      </c>
      <c r="R427" s="9"/>
      <c r="S427" s="5">
        <v>1</v>
      </c>
      <c r="T4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табеле]])*S427,0)</f>
        <v>5666.6666666666661</v>
      </c>
      <c r="U427" s="5">
        <f>IF(Таблица1[[#This Row],[ТТН]]&gt;0,Таблица1[[#This Row],[Ставка за ТТН]]*Таблица1[[#This Row],[ТТН]],0)</f>
        <v>0</v>
      </c>
    </row>
    <row r="428" spans="1:21" x14ac:dyDescent="0.25">
      <c r="A428" t="s">
        <v>84</v>
      </c>
      <c r="B428" s="24">
        <v>15</v>
      </c>
      <c r="C428" t="s">
        <v>109</v>
      </c>
      <c r="D428" t="s">
        <v>39</v>
      </c>
      <c r="E428" t="s">
        <v>215</v>
      </c>
      <c r="F428" t="s">
        <v>40</v>
      </c>
      <c r="H428" t="s">
        <v>10</v>
      </c>
      <c r="I428" t="s">
        <v>219</v>
      </c>
      <c r="J428">
        <v>11</v>
      </c>
      <c r="L428">
        <v>11</v>
      </c>
      <c r="N428">
        <f>Таблица1[[#This Row],[Часов на заказчика  в работе]]+Таблица1[[#This Row],[Часов на заказчика  дежурство]]</f>
        <v>11</v>
      </c>
      <c r="O4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8" s="9">
        <v>170000</v>
      </c>
      <c r="R428" s="9"/>
      <c r="S428" s="5">
        <v>1</v>
      </c>
      <c r="T4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табеле]])*S428,0)</f>
        <v>5666.6666666666661</v>
      </c>
      <c r="U428" s="5">
        <f>IF(Таблица1[[#This Row],[ТТН]]&gt;0,Таблица1[[#This Row],[Ставка за ТТН]]*Таблица1[[#This Row],[ТТН]],0)</f>
        <v>0</v>
      </c>
    </row>
    <row r="429" spans="1:21" x14ac:dyDescent="0.25">
      <c r="A429" t="s">
        <v>84</v>
      </c>
      <c r="B429" s="24">
        <v>16</v>
      </c>
      <c r="C429" t="s">
        <v>109</v>
      </c>
      <c r="D429" t="s">
        <v>39</v>
      </c>
      <c r="E429" t="s">
        <v>215</v>
      </c>
      <c r="F429" t="s">
        <v>40</v>
      </c>
      <c r="H429" t="s">
        <v>10</v>
      </c>
      <c r="I429" t="s">
        <v>219</v>
      </c>
      <c r="J429">
        <v>11</v>
      </c>
      <c r="L429">
        <v>11</v>
      </c>
      <c r="N429">
        <f>Таблица1[[#This Row],[Часов на заказчика  в работе]]+Таблица1[[#This Row],[Часов на заказчика  дежурство]]</f>
        <v>11</v>
      </c>
      <c r="O4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29" s="9">
        <v>170000</v>
      </c>
      <c r="R429" s="9"/>
      <c r="S429" s="5">
        <v>1</v>
      </c>
      <c r="T4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табеле]])*S429,0)</f>
        <v>5666.6666666666661</v>
      </c>
      <c r="U429" s="5">
        <f>IF(Таблица1[[#This Row],[ТТН]]&gt;0,Таблица1[[#This Row],[Ставка за ТТН]]*Таблица1[[#This Row],[ТТН]],0)</f>
        <v>0</v>
      </c>
    </row>
    <row r="430" spans="1:21" x14ac:dyDescent="0.25">
      <c r="A430" t="s">
        <v>84</v>
      </c>
      <c r="B430" s="24">
        <v>17</v>
      </c>
      <c r="C430" t="s">
        <v>109</v>
      </c>
      <c r="D430" t="s">
        <v>39</v>
      </c>
      <c r="E430" t="s">
        <v>215</v>
      </c>
      <c r="F430" t="s">
        <v>40</v>
      </c>
      <c r="H430" t="s">
        <v>10</v>
      </c>
      <c r="I430" t="s">
        <v>219</v>
      </c>
      <c r="J430">
        <v>11</v>
      </c>
      <c r="L430">
        <v>11</v>
      </c>
      <c r="N430">
        <f>Таблица1[[#This Row],[Часов на заказчика  в работе]]+Таблица1[[#This Row],[Часов на заказчика  дежурство]]</f>
        <v>11</v>
      </c>
      <c r="O4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0" s="9">
        <v>170000</v>
      </c>
      <c r="R430" s="9"/>
      <c r="S430" s="5">
        <v>1</v>
      </c>
      <c r="T4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табеле]])*S430,0)</f>
        <v>5666.6666666666661</v>
      </c>
      <c r="U430" s="5">
        <f>IF(Таблица1[[#This Row],[ТТН]]&gt;0,Таблица1[[#This Row],[Ставка за ТТН]]*Таблица1[[#This Row],[ТТН]],0)</f>
        <v>0</v>
      </c>
    </row>
    <row r="431" spans="1:21" x14ac:dyDescent="0.25">
      <c r="A431" t="s">
        <v>84</v>
      </c>
      <c r="B431" s="24">
        <v>18</v>
      </c>
      <c r="C431" t="s">
        <v>109</v>
      </c>
      <c r="D431" t="s">
        <v>39</v>
      </c>
      <c r="E431" t="s">
        <v>215</v>
      </c>
      <c r="F431" t="s">
        <v>40</v>
      </c>
      <c r="H431" t="s">
        <v>10</v>
      </c>
      <c r="I431" t="s">
        <v>219</v>
      </c>
      <c r="J431">
        <v>22</v>
      </c>
      <c r="L431">
        <v>22</v>
      </c>
      <c r="N431">
        <f>Таблица1[[#This Row],[Часов на заказчика  в работе]]+Таблица1[[#This Row],[Часов на заказчика  дежурство]]</f>
        <v>22</v>
      </c>
      <c r="O4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1" s="9">
        <v>170000</v>
      </c>
      <c r="R431" s="9"/>
      <c r="S431" s="5">
        <v>1</v>
      </c>
      <c r="T4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табеле]])*S431,0)</f>
        <v>11333.333333333332</v>
      </c>
      <c r="U431" s="5">
        <f>IF(Таблица1[[#This Row],[ТТН]]&gt;0,Таблица1[[#This Row],[Ставка за ТТН]]*Таблица1[[#This Row],[ТТН]],0)</f>
        <v>0</v>
      </c>
    </row>
    <row r="432" spans="1:21" x14ac:dyDescent="0.25">
      <c r="A432" t="s">
        <v>84</v>
      </c>
      <c r="B432" s="24">
        <v>19</v>
      </c>
      <c r="C432" t="s">
        <v>109</v>
      </c>
      <c r="D432" t="s">
        <v>39</v>
      </c>
      <c r="E432" t="s">
        <v>215</v>
      </c>
      <c r="F432" t="s">
        <v>40</v>
      </c>
      <c r="H432" t="s">
        <v>10</v>
      </c>
      <c r="I432" t="s">
        <v>219</v>
      </c>
      <c r="J432">
        <v>11</v>
      </c>
      <c r="L432">
        <v>11</v>
      </c>
      <c r="N432">
        <f>Таблица1[[#This Row],[Часов на заказчика  в работе]]+Таблица1[[#This Row],[Часов на заказчика  дежурство]]</f>
        <v>11</v>
      </c>
      <c r="O4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2" s="9">
        <v>170000</v>
      </c>
      <c r="R432" s="9"/>
      <c r="S432" s="5">
        <v>1</v>
      </c>
      <c r="T4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табеле]])*S432,0)</f>
        <v>5666.6666666666661</v>
      </c>
      <c r="U432" s="5">
        <f>IF(Таблица1[[#This Row],[ТТН]]&gt;0,Таблица1[[#This Row],[Ставка за ТТН]]*Таблица1[[#This Row],[ТТН]],0)</f>
        <v>0</v>
      </c>
    </row>
    <row r="433" spans="1:21" x14ac:dyDescent="0.25">
      <c r="A433" t="s">
        <v>84</v>
      </c>
      <c r="B433" s="24">
        <v>20</v>
      </c>
      <c r="C433" t="s">
        <v>109</v>
      </c>
      <c r="D433" t="s">
        <v>39</v>
      </c>
      <c r="E433" t="s">
        <v>215</v>
      </c>
      <c r="F433" t="s">
        <v>40</v>
      </c>
      <c r="H433" t="s">
        <v>10</v>
      </c>
      <c r="I433" t="s">
        <v>219</v>
      </c>
      <c r="J433">
        <v>22</v>
      </c>
      <c r="L433">
        <v>22</v>
      </c>
      <c r="N433">
        <f>Таблица1[[#This Row],[Часов на заказчика  в работе]]+Таблица1[[#This Row],[Часов на заказчика  дежурство]]</f>
        <v>22</v>
      </c>
      <c r="O4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3" s="9">
        <v>170000</v>
      </c>
      <c r="R433" s="9"/>
      <c r="S433" s="5">
        <v>1</v>
      </c>
      <c r="T4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табеле]])*S433,0)</f>
        <v>11333.333333333332</v>
      </c>
      <c r="U433" s="5">
        <f>IF(Таблица1[[#This Row],[ТТН]]&gt;0,Таблица1[[#This Row],[Ставка за ТТН]]*Таблица1[[#This Row],[ТТН]],0)</f>
        <v>0</v>
      </c>
    </row>
    <row r="434" spans="1:21" x14ac:dyDescent="0.25">
      <c r="A434" t="s">
        <v>84</v>
      </c>
      <c r="B434" s="24">
        <v>21</v>
      </c>
      <c r="C434" t="s">
        <v>109</v>
      </c>
      <c r="D434" t="s">
        <v>39</v>
      </c>
      <c r="E434" t="s">
        <v>215</v>
      </c>
      <c r="F434" t="s">
        <v>40</v>
      </c>
      <c r="H434" t="s">
        <v>10</v>
      </c>
      <c r="I434" t="s">
        <v>219</v>
      </c>
      <c r="J434">
        <v>11</v>
      </c>
      <c r="L434">
        <v>11</v>
      </c>
      <c r="N434">
        <f>Таблица1[[#This Row],[Часов на заказчика  в работе]]+Таблица1[[#This Row],[Часов на заказчика  дежурство]]</f>
        <v>11</v>
      </c>
      <c r="O4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4" s="9">
        <v>170000</v>
      </c>
      <c r="R434" s="9"/>
      <c r="S434" s="5">
        <v>1</v>
      </c>
      <c r="T4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табеле]])*S434,0)</f>
        <v>5666.6666666666661</v>
      </c>
      <c r="U434" s="5">
        <f>IF(Таблица1[[#This Row],[ТТН]]&gt;0,Таблица1[[#This Row],[Ставка за ТТН]]*Таблица1[[#This Row],[ТТН]],0)</f>
        <v>0</v>
      </c>
    </row>
    <row r="435" spans="1:21" x14ac:dyDescent="0.25">
      <c r="A435" t="s">
        <v>84</v>
      </c>
      <c r="B435" s="24">
        <v>22</v>
      </c>
      <c r="C435" t="s">
        <v>109</v>
      </c>
      <c r="D435" t="s">
        <v>39</v>
      </c>
      <c r="E435" t="s">
        <v>215</v>
      </c>
      <c r="F435" t="s">
        <v>40</v>
      </c>
      <c r="H435" t="s">
        <v>10</v>
      </c>
      <c r="I435" t="s">
        <v>219</v>
      </c>
      <c r="J435">
        <v>11</v>
      </c>
      <c r="L435">
        <v>11</v>
      </c>
      <c r="N435">
        <f>Таблица1[[#This Row],[Часов на заказчика  в работе]]+Таблица1[[#This Row],[Часов на заказчика  дежурство]]</f>
        <v>11</v>
      </c>
      <c r="O4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5" s="9">
        <v>170000</v>
      </c>
      <c r="R435" s="9"/>
      <c r="S435" s="5">
        <v>1</v>
      </c>
      <c r="T4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табеле]])*S435,0)</f>
        <v>5666.6666666666661</v>
      </c>
      <c r="U435" s="5">
        <f>IF(Таблица1[[#This Row],[ТТН]]&gt;0,Таблица1[[#This Row],[Ставка за ТТН]]*Таблица1[[#This Row],[ТТН]],0)</f>
        <v>0</v>
      </c>
    </row>
    <row r="436" spans="1:21" x14ac:dyDescent="0.25">
      <c r="A436" t="s">
        <v>84</v>
      </c>
      <c r="B436" s="24">
        <v>23</v>
      </c>
      <c r="C436" t="s">
        <v>109</v>
      </c>
      <c r="D436" t="s">
        <v>39</v>
      </c>
      <c r="E436" t="s">
        <v>215</v>
      </c>
      <c r="F436" t="s">
        <v>40</v>
      </c>
      <c r="H436" t="s">
        <v>10</v>
      </c>
      <c r="I436" t="s">
        <v>219</v>
      </c>
      <c r="J436">
        <v>11</v>
      </c>
      <c r="L436">
        <v>11</v>
      </c>
      <c r="N436">
        <f>Таблица1[[#This Row],[Часов на заказчика  в работе]]+Таблица1[[#This Row],[Часов на заказчика  дежурство]]</f>
        <v>11</v>
      </c>
      <c r="O4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6" s="9">
        <v>170000</v>
      </c>
      <c r="R436" s="9"/>
      <c r="S436" s="5">
        <v>1</v>
      </c>
      <c r="T4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табеле]])*S436,0)</f>
        <v>5666.6666666666661</v>
      </c>
      <c r="U436" s="5">
        <f>IF(Таблица1[[#This Row],[ТТН]]&gt;0,Таблица1[[#This Row],[Ставка за ТТН]]*Таблица1[[#This Row],[ТТН]],0)</f>
        <v>0</v>
      </c>
    </row>
    <row r="437" spans="1:21" x14ac:dyDescent="0.25">
      <c r="A437" t="s">
        <v>84</v>
      </c>
      <c r="B437" s="24">
        <v>24</v>
      </c>
      <c r="C437" t="s">
        <v>109</v>
      </c>
      <c r="D437" t="s">
        <v>39</v>
      </c>
      <c r="E437" t="s">
        <v>215</v>
      </c>
      <c r="F437" t="s">
        <v>40</v>
      </c>
      <c r="H437" t="s">
        <v>10</v>
      </c>
      <c r="I437" t="s">
        <v>219</v>
      </c>
      <c r="J437">
        <v>22</v>
      </c>
      <c r="L437">
        <v>22</v>
      </c>
      <c r="N437">
        <f>Таблица1[[#This Row],[Часов на заказчика  в работе]]+Таблица1[[#This Row],[Часов на заказчика  дежурство]]</f>
        <v>22</v>
      </c>
      <c r="O4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7" s="9">
        <v>170000</v>
      </c>
      <c r="R437" s="9"/>
      <c r="S437" s="5">
        <v>1</v>
      </c>
      <c r="T4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табеле]])*S437,0)</f>
        <v>11333.333333333332</v>
      </c>
      <c r="U437" s="5">
        <f>IF(Таблица1[[#This Row],[ТТН]]&gt;0,Таблица1[[#This Row],[Ставка за ТТН]]*Таблица1[[#This Row],[ТТН]],0)</f>
        <v>0</v>
      </c>
    </row>
    <row r="438" spans="1:21" x14ac:dyDescent="0.25">
      <c r="A438" t="s">
        <v>84</v>
      </c>
      <c r="B438" s="24">
        <v>25</v>
      </c>
      <c r="C438" t="s">
        <v>109</v>
      </c>
      <c r="D438" t="s">
        <v>39</v>
      </c>
      <c r="E438" t="s">
        <v>215</v>
      </c>
      <c r="F438" t="s">
        <v>40</v>
      </c>
      <c r="H438" t="s">
        <v>10</v>
      </c>
      <c r="I438" t="s">
        <v>219</v>
      </c>
      <c r="J438">
        <v>22</v>
      </c>
      <c r="L438">
        <v>22</v>
      </c>
      <c r="N438">
        <f>Таблица1[[#This Row],[Часов на заказчика  в работе]]+Таблица1[[#This Row],[Часов на заказчика  дежурство]]</f>
        <v>22</v>
      </c>
      <c r="O4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8" s="9">
        <v>170000</v>
      </c>
      <c r="R438" s="9"/>
      <c r="S438" s="5">
        <v>1</v>
      </c>
      <c r="T4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табеле]])*S438,0)</f>
        <v>11333.333333333332</v>
      </c>
      <c r="U438" s="5">
        <f>IF(Таблица1[[#This Row],[ТТН]]&gt;0,Таблица1[[#This Row],[Ставка за ТТН]]*Таблица1[[#This Row],[ТТН]],0)</f>
        <v>0</v>
      </c>
    </row>
    <row r="439" spans="1:21" x14ac:dyDescent="0.25">
      <c r="A439" t="s">
        <v>84</v>
      </c>
      <c r="B439" s="24">
        <v>26</v>
      </c>
      <c r="C439" t="s">
        <v>109</v>
      </c>
      <c r="D439" t="s">
        <v>39</v>
      </c>
      <c r="E439" t="s">
        <v>215</v>
      </c>
      <c r="F439" t="s">
        <v>40</v>
      </c>
      <c r="H439" t="s">
        <v>10</v>
      </c>
      <c r="I439" t="s">
        <v>219</v>
      </c>
      <c r="J439">
        <v>11</v>
      </c>
      <c r="L439">
        <v>11</v>
      </c>
      <c r="N439">
        <f>Таблица1[[#This Row],[Часов на заказчика  в работе]]+Таблица1[[#This Row],[Часов на заказчика  дежурство]]</f>
        <v>11</v>
      </c>
      <c r="O4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39" s="9">
        <v>170000</v>
      </c>
      <c r="R439" s="9"/>
      <c r="S439" s="5">
        <v>1</v>
      </c>
      <c r="T4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табеле]])*S439,0)</f>
        <v>5666.6666666666661</v>
      </c>
      <c r="U439" s="5">
        <f>IF(Таблица1[[#This Row],[ТТН]]&gt;0,Таблица1[[#This Row],[Ставка за ТТН]]*Таблица1[[#This Row],[ТТН]],0)</f>
        <v>0</v>
      </c>
    </row>
    <row r="440" spans="1:21" x14ac:dyDescent="0.25">
      <c r="A440" t="s">
        <v>84</v>
      </c>
      <c r="B440" s="24">
        <v>27</v>
      </c>
      <c r="C440" t="s">
        <v>109</v>
      </c>
      <c r="D440" t="s">
        <v>39</v>
      </c>
      <c r="E440" t="s">
        <v>215</v>
      </c>
      <c r="F440" t="s">
        <v>40</v>
      </c>
      <c r="H440" t="s">
        <v>10</v>
      </c>
      <c r="I440" t="s">
        <v>219</v>
      </c>
      <c r="J440">
        <v>11</v>
      </c>
      <c r="L440">
        <v>11</v>
      </c>
      <c r="N440">
        <f>Таблица1[[#This Row],[Часов на заказчика  в работе]]+Таблица1[[#This Row],[Часов на заказчика  дежурство]]</f>
        <v>11</v>
      </c>
      <c r="O4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0" s="9">
        <v>170000</v>
      </c>
      <c r="R440" s="9"/>
      <c r="S440" s="5">
        <v>1</v>
      </c>
      <c r="T4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табеле]])*S440,0)</f>
        <v>5666.6666666666661</v>
      </c>
      <c r="U440" s="5">
        <f>IF(Таблица1[[#This Row],[ТТН]]&gt;0,Таблица1[[#This Row],[Ставка за ТТН]]*Таблица1[[#This Row],[ТТН]],0)</f>
        <v>0</v>
      </c>
    </row>
    <row r="441" spans="1:21" x14ac:dyDescent="0.25">
      <c r="A441" t="s">
        <v>84</v>
      </c>
      <c r="B441" s="24">
        <v>28</v>
      </c>
      <c r="C441" t="s">
        <v>109</v>
      </c>
      <c r="D441" t="s">
        <v>39</v>
      </c>
      <c r="E441" t="s">
        <v>215</v>
      </c>
      <c r="F441" t="s">
        <v>40</v>
      </c>
      <c r="H441" t="s">
        <v>10</v>
      </c>
      <c r="I441" t="s">
        <v>219</v>
      </c>
      <c r="J441">
        <v>11</v>
      </c>
      <c r="L441">
        <v>11</v>
      </c>
      <c r="N441">
        <f>Таблица1[[#This Row],[Часов на заказчика  в работе]]+Таблица1[[#This Row],[Часов на заказчика  дежурство]]</f>
        <v>11</v>
      </c>
      <c r="O4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1" s="9">
        <v>170000</v>
      </c>
      <c r="R441" s="9"/>
      <c r="S441" s="5">
        <v>1</v>
      </c>
      <c r="T4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табеле]])*S441,0)</f>
        <v>5666.6666666666661</v>
      </c>
      <c r="U441" s="5">
        <f>IF(Таблица1[[#This Row],[ТТН]]&gt;0,Таблица1[[#This Row],[Ставка за ТТН]]*Таблица1[[#This Row],[ТТН]],0)</f>
        <v>0</v>
      </c>
    </row>
    <row r="442" spans="1:21" x14ac:dyDescent="0.25">
      <c r="A442" t="s">
        <v>84</v>
      </c>
      <c r="B442" s="24">
        <v>29</v>
      </c>
      <c r="C442" t="s">
        <v>109</v>
      </c>
      <c r="D442" t="s">
        <v>39</v>
      </c>
      <c r="E442" t="s">
        <v>215</v>
      </c>
      <c r="F442" t="s">
        <v>40</v>
      </c>
      <c r="H442" t="s">
        <v>10</v>
      </c>
      <c r="I442" t="s">
        <v>219</v>
      </c>
      <c r="J442">
        <v>11</v>
      </c>
      <c r="L442">
        <v>11</v>
      </c>
      <c r="N442">
        <f>Таблица1[[#This Row],[Часов на заказчика  в работе]]+Таблица1[[#This Row],[Часов на заказчика  дежурство]]</f>
        <v>11</v>
      </c>
      <c r="O4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2" s="9">
        <v>170000</v>
      </c>
      <c r="R442" s="9"/>
      <c r="S442" s="5">
        <v>1</v>
      </c>
      <c r="T4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табеле]])*S442,0)</f>
        <v>5666.6666666666661</v>
      </c>
      <c r="U442" s="5">
        <f>IF(Таблица1[[#This Row],[ТТН]]&gt;0,Таблица1[[#This Row],[Ставка за ТТН]]*Таблица1[[#This Row],[ТТН]],0)</f>
        <v>0</v>
      </c>
    </row>
    <row r="443" spans="1:21" x14ac:dyDescent="0.25">
      <c r="A443" t="s">
        <v>84</v>
      </c>
      <c r="B443" s="24">
        <v>30</v>
      </c>
      <c r="C443" t="s">
        <v>113</v>
      </c>
      <c r="D443" t="s">
        <v>39</v>
      </c>
      <c r="E443" t="s">
        <v>215</v>
      </c>
      <c r="F443" t="s">
        <v>40</v>
      </c>
      <c r="H443" t="s">
        <v>10</v>
      </c>
      <c r="I443" t="s">
        <v>219</v>
      </c>
      <c r="J443">
        <v>11</v>
      </c>
      <c r="L443">
        <v>11</v>
      </c>
      <c r="N443">
        <f>Таблица1[[#This Row],[Часов на заказчика  в работе]]+Таблица1[[#This Row],[Часов на заказчика  дежурство]]</f>
        <v>11</v>
      </c>
      <c r="O4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3" s="9">
        <v>170000</v>
      </c>
      <c r="R443" s="9"/>
      <c r="S443" s="5">
        <v>1</v>
      </c>
      <c r="T4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табеле]])*S443,0)</f>
        <v>5666.6666666666661</v>
      </c>
      <c r="U443" s="5">
        <f>IF(Таблица1[[#This Row],[ТТН]]&gt;0,Таблица1[[#This Row],[Ставка за ТТН]]*Таблица1[[#This Row],[ТТН]],0)</f>
        <v>0</v>
      </c>
    </row>
    <row r="444" spans="1:21" x14ac:dyDescent="0.25">
      <c r="A444" t="s">
        <v>84</v>
      </c>
      <c r="B444" s="24">
        <v>1</v>
      </c>
      <c r="C444" t="s">
        <v>113</v>
      </c>
      <c r="D444" t="s">
        <v>12</v>
      </c>
      <c r="E444" t="s">
        <v>215</v>
      </c>
      <c r="F444" t="s">
        <v>42</v>
      </c>
      <c r="H444" t="s">
        <v>10</v>
      </c>
      <c r="I444" t="s">
        <v>219</v>
      </c>
      <c r="J444">
        <v>22</v>
      </c>
      <c r="K444">
        <v>1</v>
      </c>
      <c r="N444">
        <f>Таблица1[[#This Row],[Часов на заказчика  в работе]]+Таблица1[[#This Row],[Часов на заказчика  дежурство]]</f>
        <v>0</v>
      </c>
      <c r="O4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4" s="9">
        <v>135000</v>
      </c>
      <c r="R444" s="9">
        <v>1660</v>
      </c>
      <c r="S444" s="5">
        <v>1</v>
      </c>
      <c r="T4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табеле]])*S444,0)</f>
        <v>9000</v>
      </c>
      <c r="U444" s="5">
        <f>IF(Таблица1[[#This Row],[ТТН]]&gt;0,Таблица1[[#This Row],[Ставка за ТТН]]*Таблица1[[#This Row],[ТТН]],0)</f>
        <v>1660</v>
      </c>
    </row>
    <row r="445" spans="1:21" x14ac:dyDescent="0.25">
      <c r="A445" t="s">
        <v>84</v>
      </c>
      <c r="B445" s="24">
        <v>2</v>
      </c>
      <c r="C445" t="s">
        <v>113</v>
      </c>
      <c r="D445" t="s">
        <v>12</v>
      </c>
      <c r="E445" t="s">
        <v>215</v>
      </c>
      <c r="F445" t="s">
        <v>42</v>
      </c>
      <c r="H445" t="s">
        <v>38</v>
      </c>
      <c r="I445" t="s">
        <v>219</v>
      </c>
      <c r="J445">
        <v>11</v>
      </c>
      <c r="N445">
        <f>Таблица1[[#This Row],[Часов на заказчика  в работе]]+Таблица1[[#This Row],[Часов на заказчика  дежурство]]</f>
        <v>0</v>
      </c>
      <c r="O4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5" s="9">
        <v>135000</v>
      </c>
      <c r="R445" s="9">
        <v>1660</v>
      </c>
      <c r="S445" s="5">
        <v>1</v>
      </c>
      <c r="T4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табеле]])*S445,0)</f>
        <v>4500</v>
      </c>
      <c r="U445" s="5">
        <f>IF(Таблица1[[#This Row],[ТТН]]&gt;0,Таблица1[[#This Row],[Ставка за ТТН]]*Таблица1[[#This Row],[ТТН]],0)</f>
        <v>0</v>
      </c>
    </row>
    <row r="446" spans="1:21" x14ac:dyDescent="0.25">
      <c r="A446" t="s">
        <v>84</v>
      </c>
      <c r="B446" s="24">
        <v>3</v>
      </c>
      <c r="C446" t="s">
        <v>113</v>
      </c>
      <c r="D446" t="s">
        <v>12</v>
      </c>
      <c r="E446" t="s">
        <v>215</v>
      </c>
      <c r="F446" t="s">
        <v>42</v>
      </c>
      <c r="H446" t="s">
        <v>10</v>
      </c>
      <c r="I446" t="s">
        <v>219</v>
      </c>
      <c r="J446">
        <v>11</v>
      </c>
      <c r="K446">
        <v>1</v>
      </c>
      <c r="N446">
        <f>Таблица1[[#This Row],[Часов на заказчика  в работе]]+Таблица1[[#This Row],[Часов на заказчика  дежурство]]</f>
        <v>0</v>
      </c>
      <c r="O4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6" s="9">
        <v>135000</v>
      </c>
      <c r="R446" s="9">
        <v>1660</v>
      </c>
      <c r="S446" s="5">
        <v>1</v>
      </c>
      <c r="T4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табеле]])*S446,0)</f>
        <v>4500</v>
      </c>
      <c r="U446" s="5">
        <f>IF(Таблица1[[#This Row],[ТТН]]&gt;0,Таблица1[[#This Row],[Ставка за ТТН]]*Таблица1[[#This Row],[ТТН]],0)</f>
        <v>1660</v>
      </c>
    </row>
    <row r="447" spans="1:21" x14ac:dyDescent="0.25">
      <c r="A447" t="s">
        <v>84</v>
      </c>
      <c r="B447" s="24">
        <v>4</v>
      </c>
      <c r="C447" t="s">
        <v>113</v>
      </c>
      <c r="D447" t="s">
        <v>12</v>
      </c>
      <c r="E447" t="s">
        <v>215</v>
      </c>
      <c r="F447" t="s">
        <v>42</v>
      </c>
      <c r="H447" t="s">
        <v>10</v>
      </c>
      <c r="I447" t="s">
        <v>219</v>
      </c>
      <c r="J447">
        <v>11</v>
      </c>
      <c r="N447">
        <f>Таблица1[[#This Row],[Часов на заказчика  в работе]]+Таблица1[[#This Row],[Часов на заказчика  дежурство]]</f>
        <v>0</v>
      </c>
      <c r="O4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7" s="9">
        <v>135000</v>
      </c>
      <c r="R447" s="9">
        <v>1660</v>
      </c>
      <c r="S447" s="5">
        <v>1</v>
      </c>
      <c r="T4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табеле]])*S447,0)</f>
        <v>4500</v>
      </c>
      <c r="U447" s="5">
        <f>IF(Таблица1[[#This Row],[ТТН]]&gt;0,Таблица1[[#This Row],[Ставка за ТТН]]*Таблица1[[#This Row],[ТТН]],0)</f>
        <v>0</v>
      </c>
    </row>
    <row r="448" spans="1:21" x14ac:dyDescent="0.25">
      <c r="A448" t="s">
        <v>84</v>
      </c>
      <c r="B448" s="24">
        <v>5</v>
      </c>
      <c r="C448" t="s">
        <v>113</v>
      </c>
      <c r="D448" t="s">
        <v>12</v>
      </c>
      <c r="E448" t="s">
        <v>215</v>
      </c>
      <c r="F448" t="s">
        <v>42</v>
      </c>
      <c r="H448" t="s">
        <v>10</v>
      </c>
      <c r="I448" t="s">
        <v>219</v>
      </c>
      <c r="J448">
        <v>22</v>
      </c>
      <c r="K448">
        <v>1</v>
      </c>
      <c r="N448">
        <f>Таблица1[[#This Row],[Часов на заказчика  в работе]]+Таблица1[[#This Row],[Часов на заказчика  дежурство]]</f>
        <v>0</v>
      </c>
      <c r="O4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8" s="9">
        <v>135000</v>
      </c>
      <c r="R448" s="9">
        <v>1660</v>
      </c>
      <c r="S448" s="5">
        <v>1</v>
      </c>
      <c r="T4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табеле]])*S448,0)</f>
        <v>9000</v>
      </c>
      <c r="U448" s="5">
        <f>IF(Таблица1[[#This Row],[ТТН]]&gt;0,Таблица1[[#This Row],[Ставка за ТТН]]*Таблица1[[#This Row],[ТТН]],0)</f>
        <v>1660</v>
      </c>
    </row>
    <row r="449" spans="1:21" x14ac:dyDescent="0.25">
      <c r="A449" t="s">
        <v>84</v>
      </c>
      <c r="B449" s="24">
        <v>6</v>
      </c>
      <c r="C449" t="s">
        <v>113</v>
      </c>
      <c r="D449" t="s">
        <v>12</v>
      </c>
      <c r="E449" t="s">
        <v>215</v>
      </c>
      <c r="F449" t="s">
        <v>42</v>
      </c>
      <c r="H449" t="s">
        <v>38</v>
      </c>
      <c r="I449" t="s">
        <v>219</v>
      </c>
      <c r="J449">
        <v>11</v>
      </c>
      <c r="N449">
        <f>Таблица1[[#This Row],[Часов на заказчика  в работе]]+Таблица1[[#This Row],[Часов на заказчика  дежурство]]</f>
        <v>0</v>
      </c>
      <c r="O4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49" s="9">
        <v>135000</v>
      </c>
      <c r="R449" s="9">
        <v>1660</v>
      </c>
      <c r="S449" s="5">
        <v>1</v>
      </c>
      <c r="T4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табеле]])*S449,0)</f>
        <v>4500</v>
      </c>
      <c r="U449" s="5">
        <f>IF(Таблица1[[#This Row],[ТТН]]&gt;0,Таблица1[[#This Row],[Ставка за ТТН]]*Таблица1[[#This Row],[ТТН]],0)</f>
        <v>0</v>
      </c>
    </row>
    <row r="450" spans="1:21" x14ac:dyDescent="0.25">
      <c r="A450" t="s">
        <v>84</v>
      </c>
      <c r="B450" s="24">
        <v>7</v>
      </c>
      <c r="C450" t="s">
        <v>113</v>
      </c>
      <c r="D450" t="s">
        <v>12</v>
      </c>
      <c r="E450" t="s">
        <v>215</v>
      </c>
      <c r="F450" t="s">
        <v>42</v>
      </c>
      <c r="H450" t="s">
        <v>38</v>
      </c>
      <c r="I450" t="s">
        <v>219</v>
      </c>
      <c r="J450">
        <v>11</v>
      </c>
      <c r="N450">
        <f>Таблица1[[#This Row],[Часов на заказчика  в работе]]+Таблица1[[#This Row],[Часов на заказчика  дежурство]]</f>
        <v>0</v>
      </c>
      <c r="O4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0" s="9">
        <v>135000</v>
      </c>
      <c r="R450" s="9">
        <v>1660</v>
      </c>
      <c r="S450" s="5">
        <v>1</v>
      </c>
      <c r="T4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табеле]])*S450,0)</f>
        <v>4500</v>
      </c>
      <c r="U450" s="5">
        <f>IF(Таблица1[[#This Row],[ТТН]]&gt;0,Таблица1[[#This Row],[Ставка за ТТН]]*Таблица1[[#This Row],[ТТН]],0)</f>
        <v>0</v>
      </c>
    </row>
    <row r="451" spans="1:21" x14ac:dyDescent="0.25">
      <c r="A451" t="s">
        <v>84</v>
      </c>
      <c r="B451" s="24">
        <v>8</v>
      </c>
      <c r="C451" t="s">
        <v>113</v>
      </c>
      <c r="D451" t="s">
        <v>12</v>
      </c>
      <c r="E451" t="s">
        <v>215</v>
      </c>
      <c r="F451" t="s">
        <v>42</v>
      </c>
      <c r="H451" t="s">
        <v>10</v>
      </c>
      <c r="I451" t="s">
        <v>219</v>
      </c>
      <c r="J451">
        <v>11</v>
      </c>
      <c r="N451">
        <f>Таблица1[[#This Row],[Часов на заказчика  в работе]]+Таблица1[[#This Row],[Часов на заказчика  дежурство]]</f>
        <v>0</v>
      </c>
      <c r="O4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1" s="9">
        <v>135000</v>
      </c>
      <c r="R451" s="9">
        <v>1660</v>
      </c>
      <c r="S451" s="5">
        <v>1</v>
      </c>
      <c r="T4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табеле]])*S451,0)</f>
        <v>4500</v>
      </c>
      <c r="U451" s="5">
        <f>IF(Таблица1[[#This Row],[ТТН]]&gt;0,Таблица1[[#This Row],[Ставка за ТТН]]*Таблица1[[#This Row],[ТТН]],0)</f>
        <v>0</v>
      </c>
    </row>
    <row r="452" spans="1:21" x14ac:dyDescent="0.25">
      <c r="A452" t="s">
        <v>84</v>
      </c>
      <c r="B452" s="24">
        <v>9</v>
      </c>
      <c r="C452" t="s">
        <v>113</v>
      </c>
      <c r="D452" t="s">
        <v>12</v>
      </c>
      <c r="E452" t="s">
        <v>215</v>
      </c>
      <c r="F452" t="s">
        <v>42</v>
      </c>
      <c r="H452" t="s">
        <v>10</v>
      </c>
      <c r="I452" t="s">
        <v>219</v>
      </c>
      <c r="J452">
        <v>22</v>
      </c>
      <c r="K452">
        <v>1</v>
      </c>
      <c r="N452">
        <f>Таблица1[[#This Row],[Часов на заказчика  в работе]]+Таблица1[[#This Row],[Часов на заказчика  дежурство]]</f>
        <v>0</v>
      </c>
      <c r="O4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2" s="9">
        <v>135000</v>
      </c>
      <c r="R452" s="9">
        <v>1660</v>
      </c>
      <c r="S452" s="5">
        <v>1</v>
      </c>
      <c r="T4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табеле]])*S452,0)</f>
        <v>9000</v>
      </c>
      <c r="U452" s="5">
        <f>IF(Таблица1[[#This Row],[ТТН]]&gt;0,Таблица1[[#This Row],[Ставка за ТТН]]*Таблица1[[#This Row],[ТТН]],0)</f>
        <v>1660</v>
      </c>
    </row>
    <row r="453" spans="1:21" x14ac:dyDescent="0.25">
      <c r="A453" t="s">
        <v>84</v>
      </c>
      <c r="B453" s="24">
        <v>10</v>
      </c>
      <c r="C453" t="s">
        <v>113</v>
      </c>
      <c r="D453" t="s">
        <v>12</v>
      </c>
      <c r="E453" t="s">
        <v>215</v>
      </c>
      <c r="F453" t="s">
        <v>42</v>
      </c>
      <c r="H453" t="s">
        <v>23</v>
      </c>
      <c r="I453" t="s">
        <v>217</v>
      </c>
      <c r="J453">
        <v>11</v>
      </c>
      <c r="N453">
        <f>Таблица1[[#This Row],[Часов на заказчика  в работе]]+Таблица1[[#This Row],[Часов на заказчика  дежурство]]</f>
        <v>0</v>
      </c>
      <c r="O4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3" s="9">
        <v>135000</v>
      </c>
      <c r="R453" s="9">
        <v>1660</v>
      </c>
      <c r="S453" s="5">
        <v>1</v>
      </c>
      <c r="T4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табеле]])*S453,0)</f>
        <v>4500</v>
      </c>
      <c r="U453" s="5">
        <f>IF(Таблица1[[#This Row],[ТТН]]&gt;0,Таблица1[[#This Row],[Ставка за ТТН]]*Таблица1[[#This Row],[ТТН]],0)</f>
        <v>0</v>
      </c>
    </row>
    <row r="454" spans="1:21" x14ac:dyDescent="0.25">
      <c r="A454" t="s">
        <v>84</v>
      </c>
      <c r="B454" s="24">
        <v>11</v>
      </c>
      <c r="C454" t="s">
        <v>113</v>
      </c>
      <c r="D454" t="s">
        <v>12</v>
      </c>
      <c r="E454" t="s">
        <v>215</v>
      </c>
      <c r="F454" t="s">
        <v>42</v>
      </c>
      <c r="H454" t="s">
        <v>10</v>
      </c>
      <c r="I454" t="s">
        <v>219</v>
      </c>
      <c r="J454">
        <v>11</v>
      </c>
      <c r="K454">
        <v>1</v>
      </c>
      <c r="N454">
        <f>Таблица1[[#This Row],[Часов на заказчика  в работе]]+Таблица1[[#This Row],[Часов на заказчика  дежурство]]</f>
        <v>0</v>
      </c>
      <c r="O4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4" s="9">
        <v>135000</v>
      </c>
      <c r="R454" s="9">
        <v>1660</v>
      </c>
      <c r="S454" s="5">
        <v>1</v>
      </c>
      <c r="T4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табеле]])*S454,0)</f>
        <v>4500</v>
      </c>
      <c r="U454" s="5">
        <f>IF(Таблица1[[#This Row],[ТТН]]&gt;0,Таблица1[[#This Row],[Ставка за ТТН]]*Таблица1[[#This Row],[ТТН]],0)</f>
        <v>1660</v>
      </c>
    </row>
    <row r="455" spans="1:21" x14ac:dyDescent="0.25">
      <c r="A455" t="s">
        <v>84</v>
      </c>
      <c r="B455" s="24">
        <v>12</v>
      </c>
      <c r="C455" t="s">
        <v>113</v>
      </c>
      <c r="D455" t="s">
        <v>12</v>
      </c>
      <c r="E455" t="s">
        <v>215</v>
      </c>
      <c r="F455" t="s">
        <v>42</v>
      </c>
      <c r="H455" t="s">
        <v>10</v>
      </c>
      <c r="I455" t="s">
        <v>219</v>
      </c>
      <c r="J455">
        <v>11</v>
      </c>
      <c r="N455">
        <f>Таблица1[[#This Row],[Часов на заказчика  в работе]]+Таблица1[[#This Row],[Часов на заказчика  дежурство]]</f>
        <v>0</v>
      </c>
      <c r="O4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5" s="9">
        <v>135000</v>
      </c>
      <c r="R455" s="9">
        <v>1660</v>
      </c>
      <c r="S455" s="5">
        <v>1</v>
      </c>
      <c r="T4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табеле]])*S455,0)</f>
        <v>4500</v>
      </c>
      <c r="U455" s="5">
        <f>IF(Таблица1[[#This Row],[ТТН]]&gt;0,Таблица1[[#This Row],[Ставка за ТТН]]*Таблица1[[#This Row],[ТТН]],0)</f>
        <v>0</v>
      </c>
    </row>
    <row r="456" spans="1:21" x14ac:dyDescent="0.25">
      <c r="A456" t="s">
        <v>84</v>
      </c>
      <c r="B456" s="24">
        <v>13</v>
      </c>
      <c r="C456" t="s">
        <v>113</v>
      </c>
      <c r="D456" t="s">
        <v>12</v>
      </c>
      <c r="E456" t="s">
        <v>215</v>
      </c>
      <c r="F456" t="s">
        <v>42</v>
      </c>
      <c r="H456" t="s">
        <v>10</v>
      </c>
      <c r="I456" t="s">
        <v>219</v>
      </c>
      <c r="J456">
        <v>22</v>
      </c>
      <c r="K456">
        <v>1</v>
      </c>
      <c r="N456">
        <f>Таблица1[[#This Row],[Часов на заказчика  в работе]]+Таблица1[[#This Row],[Часов на заказчика  дежурство]]</f>
        <v>0</v>
      </c>
      <c r="O4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6" s="9">
        <v>135000</v>
      </c>
      <c r="R456" s="9">
        <v>1660</v>
      </c>
      <c r="S456" s="5">
        <v>1</v>
      </c>
      <c r="T4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табеле]])*S456,0)</f>
        <v>9000</v>
      </c>
      <c r="U456" s="5">
        <f>IF(Таблица1[[#This Row],[ТТН]]&gt;0,Таблица1[[#This Row],[Ставка за ТТН]]*Таблица1[[#This Row],[ТТН]],0)</f>
        <v>1660</v>
      </c>
    </row>
    <row r="457" spans="1:21" x14ac:dyDescent="0.25">
      <c r="A457" t="s">
        <v>84</v>
      </c>
      <c r="B457" s="24">
        <v>14</v>
      </c>
      <c r="C457" t="s">
        <v>113</v>
      </c>
      <c r="D457" t="s">
        <v>12</v>
      </c>
      <c r="E457" t="s">
        <v>215</v>
      </c>
      <c r="F457" t="s">
        <v>42</v>
      </c>
      <c r="H457" t="s">
        <v>10</v>
      </c>
      <c r="I457" t="s">
        <v>219</v>
      </c>
      <c r="J457">
        <v>11</v>
      </c>
      <c r="N457">
        <f>Таблица1[[#This Row],[Часов на заказчика  в работе]]+Таблица1[[#This Row],[Часов на заказчика  дежурство]]</f>
        <v>0</v>
      </c>
      <c r="O4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7" s="9">
        <v>135000</v>
      </c>
      <c r="R457" s="9">
        <v>1660</v>
      </c>
      <c r="S457" s="5">
        <v>1</v>
      </c>
      <c r="T4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табеле]])*S457,0)</f>
        <v>4500</v>
      </c>
      <c r="U457" s="5">
        <f>IF(Таблица1[[#This Row],[ТТН]]&gt;0,Таблица1[[#This Row],[Ставка за ТТН]]*Таблица1[[#This Row],[ТТН]],0)</f>
        <v>0</v>
      </c>
    </row>
    <row r="458" spans="1:21" x14ac:dyDescent="0.25">
      <c r="A458" t="s">
        <v>84</v>
      </c>
      <c r="B458" s="24">
        <v>15</v>
      </c>
      <c r="C458" t="s">
        <v>113</v>
      </c>
      <c r="D458" t="s">
        <v>12</v>
      </c>
      <c r="E458" t="s">
        <v>215</v>
      </c>
      <c r="F458" t="s">
        <v>42</v>
      </c>
      <c r="H458" t="s">
        <v>10</v>
      </c>
      <c r="I458" t="s">
        <v>219</v>
      </c>
      <c r="J458">
        <v>22</v>
      </c>
      <c r="K458">
        <v>1</v>
      </c>
      <c r="N458">
        <f>Таблица1[[#This Row],[Часов на заказчика  в работе]]+Таблица1[[#This Row],[Часов на заказчика  дежурство]]</f>
        <v>0</v>
      </c>
      <c r="O4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8" s="9">
        <v>135000</v>
      </c>
      <c r="R458" s="9">
        <v>1660</v>
      </c>
      <c r="S458" s="5">
        <v>1</v>
      </c>
      <c r="T4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табеле]])*S458,0)</f>
        <v>9000</v>
      </c>
      <c r="U458" s="5">
        <f>IF(Таблица1[[#This Row],[ТТН]]&gt;0,Таблица1[[#This Row],[Ставка за ТТН]]*Таблица1[[#This Row],[ТТН]],0)</f>
        <v>1660</v>
      </c>
    </row>
    <row r="459" spans="1:21" x14ac:dyDescent="0.25">
      <c r="A459" t="s">
        <v>84</v>
      </c>
      <c r="B459" s="24">
        <v>16</v>
      </c>
      <c r="C459" t="s">
        <v>113</v>
      </c>
      <c r="D459" t="s">
        <v>12</v>
      </c>
      <c r="E459" t="s">
        <v>215</v>
      </c>
      <c r="F459" t="s">
        <v>42</v>
      </c>
      <c r="H459" t="s">
        <v>10</v>
      </c>
      <c r="I459" t="s">
        <v>219</v>
      </c>
      <c r="J459">
        <v>11</v>
      </c>
      <c r="K459">
        <v>1</v>
      </c>
      <c r="N459">
        <f>Таблица1[[#This Row],[Часов на заказчика  в работе]]+Таблица1[[#This Row],[Часов на заказчика  дежурство]]</f>
        <v>0</v>
      </c>
      <c r="O4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59" s="9">
        <v>135000</v>
      </c>
      <c r="R459" s="9">
        <v>1660</v>
      </c>
      <c r="S459" s="5">
        <v>1</v>
      </c>
      <c r="T4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табеле]])*S459,0)</f>
        <v>4500</v>
      </c>
      <c r="U459" s="5">
        <f>IF(Таблица1[[#This Row],[ТТН]]&gt;0,Таблица1[[#This Row],[Ставка за ТТН]]*Таблица1[[#This Row],[ТТН]],0)</f>
        <v>1660</v>
      </c>
    </row>
    <row r="460" spans="1:21" x14ac:dyDescent="0.25">
      <c r="A460" t="s">
        <v>84</v>
      </c>
      <c r="B460" s="24">
        <v>17</v>
      </c>
      <c r="C460" t="s">
        <v>113</v>
      </c>
      <c r="D460" t="s">
        <v>12</v>
      </c>
      <c r="E460" t="s">
        <v>215</v>
      </c>
      <c r="F460" t="s">
        <v>42</v>
      </c>
      <c r="H460" t="s">
        <v>10</v>
      </c>
      <c r="I460" t="s">
        <v>219</v>
      </c>
      <c r="J460">
        <v>11</v>
      </c>
      <c r="N460">
        <f>Таблица1[[#This Row],[Часов на заказчика  в работе]]+Таблица1[[#This Row],[Часов на заказчика  дежурство]]</f>
        <v>0</v>
      </c>
      <c r="O4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0" s="9">
        <v>135000</v>
      </c>
      <c r="R460" s="9">
        <v>1660</v>
      </c>
      <c r="S460" s="5">
        <v>1</v>
      </c>
      <c r="T4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табеле]])*S460,0)</f>
        <v>4500</v>
      </c>
      <c r="U460" s="5">
        <f>IF(Таблица1[[#This Row],[ТТН]]&gt;0,Таблица1[[#This Row],[Ставка за ТТН]]*Таблица1[[#This Row],[ТТН]],0)</f>
        <v>0</v>
      </c>
    </row>
    <row r="461" spans="1:21" x14ac:dyDescent="0.25">
      <c r="A461" t="s">
        <v>84</v>
      </c>
      <c r="B461" s="24">
        <v>18</v>
      </c>
      <c r="C461" t="s">
        <v>113</v>
      </c>
      <c r="D461" t="s">
        <v>12</v>
      </c>
      <c r="E461" t="s">
        <v>215</v>
      </c>
      <c r="F461" t="s">
        <v>42</v>
      </c>
      <c r="H461" t="s">
        <v>10</v>
      </c>
      <c r="I461" t="s">
        <v>219</v>
      </c>
      <c r="J461">
        <v>11</v>
      </c>
      <c r="N461">
        <f>Таблица1[[#This Row],[Часов на заказчика  в работе]]+Таблица1[[#This Row],[Часов на заказчика  дежурство]]</f>
        <v>0</v>
      </c>
      <c r="O4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1" s="9">
        <v>135000</v>
      </c>
      <c r="R461" s="9">
        <v>1660</v>
      </c>
      <c r="S461" s="5">
        <v>1</v>
      </c>
      <c r="T4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табеле]])*S461,0)</f>
        <v>4500</v>
      </c>
      <c r="U461" s="5">
        <f>IF(Таблица1[[#This Row],[ТТН]]&gt;0,Таблица1[[#This Row],[Ставка за ТТН]]*Таблица1[[#This Row],[ТТН]],0)</f>
        <v>0</v>
      </c>
    </row>
    <row r="462" spans="1:21" x14ac:dyDescent="0.25">
      <c r="A462" t="s">
        <v>84</v>
      </c>
      <c r="B462" s="24">
        <v>19</v>
      </c>
      <c r="C462" t="s">
        <v>113</v>
      </c>
      <c r="D462" t="s">
        <v>12</v>
      </c>
      <c r="E462" t="s">
        <v>215</v>
      </c>
      <c r="F462" t="s">
        <v>42</v>
      </c>
      <c r="H462" t="s">
        <v>10</v>
      </c>
      <c r="I462" t="s">
        <v>219</v>
      </c>
      <c r="J462">
        <v>22</v>
      </c>
      <c r="N462">
        <f>Таблица1[[#This Row],[Часов на заказчика  в работе]]+Таблица1[[#This Row],[Часов на заказчика  дежурство]]</f>
        <v>0</v>
      </c>
      <c r="O4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2" s="9">
        <v>135000</v>
      </c>
      <c r="R462" s="9">
        <v>1660</v>
      </c>
      <c r="S462" s="5">
        <v>1</v>
      </c>
      <c r="T4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табеле]])*S462,0)</f>
        <v>9000</v>
      </c>
      <c r="U462" s="5">
        <f>IF(Таблица1[[#This Row],[ТТН]]&gt;0,Таблица1[[#This Row],[Ставка за ТТН]]*Таблица1[[#This Row],[ТТН]],0)</f>
        <v>0</v>
      </c>
    </row>
    <row r="463" spans="1:21" x14ac:dyDescent="0.25">
      <c r="A463" t="s">
        <v>84</v>
      </c>
      <c r="B463" s="24">
        <v>20</v>
      </c>
      <c r="C463" t="s">
        <v>113</v>
      </c>
      <c r="D463" t="s">
        <v>12</v>
      </c>
      <c r="E463" t="s">
        <v>215</v>
      </c>
      <c r="F463" t="s">
        <v>42</v>
      </c>
      <c r="H463" t="s">
        <v>10</v>
      </c>
      <c r="I463" t="s">
        <v>219</v>
      </c>
      <c r="J463">
        <v>11</v>
      </c>
      <c r="N463">
        <f>Таблица1[[#This Row],[Часов на заказчика  в работе]]+Таблица1[[#This Row],[Часов на заказчика  дежурство]]</f>
        <v>0</v>
      </c>
      <c r="O4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3" s="9">
        <v>135000</v>
      </c>
      <c r="R463" s="9">
        <v>1660</v>
      </c>
      <c r="S463" s="5">
        <v>1</v>
      </c>
      <c r="T4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табеле]])*S463,0)</f>
        <v>4500</v>
      </c>
      <c r="U463" s="5">
        <f>IF(Таблица1[[#This Row],[ТТН]]&gt;0,Таблица1[[#This Row],[Ставка за ТТН]]*Таблица1[[#This Row],[ТТН]],0)</f>
        <v>0</v>
      </c>
    </row>
    <row r="464" spans="1:21" x14ac:dyDescent="0.25">
      <c r="A464" t="s">
        <v>84</v>
      </c>
      <c r="B464" s="24">
        <v>21</v>
      </c>
      <c r="C464" t="s">
        <v>113</v>
      </c>
      <c r="D464" t="s">
        <v>12</v>
      </c>
      <c r="E464" t="s">
        <v>215</v>
      </c>
      <c r="F464" t="s">
        <v>42</v>
      </c>
      <c r="H464" t="s">
        <v>10</v>
      </c>
      <c r="I464" t="s">
        <v>219</v>
      </c>
      <c r="J464">
        <v>11</v>
      </c>
      <c r="N464">
        <f>Таблица1[[#This Row],[Часов на заказчика  в работе]]+Таблица1[[#This Row],[Часов на заказчика  дежурство]]</f>
        <v>0</v>
      </c>
      <c r="O4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4" s="9">
        <v>135000</v>
      </c>
      <c r="R464" s="9">
        <v>1660</v>
      </c>
      <c r="S464" s="5">
        <v>1</v>
      </c>
      <c r="T4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табеле]])*S464,0)</f>
        <v>4500</v>
      </c>
      <c r="U464" s="5">
        <f>IF(Таблица1[[#This Row],[ТТН]]&gt;0,Таблица1[[#This Row],[Ставка за ТТН]]*Таблица1[[#This Row],[ТТН]],0)</f>
        <v>0</v>
      </c>
    </row>
    <row r="465" spans="1:22" x14ac:dyDescent="0.25">
      <c r="A465" t="s">
        <v>84</v>
      </c>
      <c r="B465" s="24">
        <v>22</v>
      </c>
      <c r="C465" t="s">
        <v>113</v>
      </c>
      <c r="D465" t="s">
        <v>12</v>
      </c>
      <c r="E465" t="s">
        <v>215</v>
      </c>
      <c r="F465" t="s">
        <v>42</v>
      </c>
      <c r="H465" t="s">
        <v>10</v>
      </c>
      <c r="I465" t="s">
        <v>219</v>
      </c>
      <c r="J465">
        <v>22</v>
      </c>
      <c r="N465">
        <f>Таблица1[[#This Row],[Часов на заказчика  в работе]]+Таблица1[[#This Row],[Часов на заказчика  дежурство]]</f>
        <v>0</v>
      </c>
      <c r="O4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5" s="9">
        <v>135000</v>
      </c>
      <c r="R465" s="9">
        <v>1660</v>
      </c>
      <c r="S465" s="5">
        <v>1</v>
      </c>
      <c r="T4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табеле]])*S465,0)</f>
        <v>9000</v>
      </c>
      <c r="U465" s="5">
        <f>IF(Таблица1[[#This Row],[ТТН]]&gt;0,Таблица1[[#This Row],[Ставка за ТТН]]*Таблица1[[#This Row],[ТТН]],0)</f>
        <v>0</v>
      </c>
    </row>
    <row r="466" spans="1:22" x14ac:dyDescent="0.25">
      <c r="A466" t="s">
        <v>84</v>
      </c>
      <c r="B466" s="24">
        <v>23</v>
      </c>
      <c r="C466" t="s">
        <v>113</v>
      </c>
      <c r="D466" t="s">
        <v>12</v>
      </c>
      <c r="E466" t="s">
        <v>215</v>
      </c>
      <c r="F466" t="s">
        <v>42</v>
      </c>
      <c r="H466" t="s">
        <v>10</v>
      </c>
      <c r="I466" t="s">
        <v>219</v>
      </c>
      <c r="J466">
        <v>11</v>
      </c>
      <c r="K466">
        <v>1</v>
      </c>
      <c r="N466">
        <f>Таблица1[[#This Row],[Часов на заказчика  в работе]]+Таблица1[[#This Row],[Часов на заказчика  дежурство]]</f>
        <v>0</v>
      </c>
      <c r="O4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6" s="9">
        <v>135000</v>
      </c>
      <c r="R466" s="9">
        <v>5000</v>
      </c>
      <c r="S466" s="5">
        <v>1</v>
      </c>
      <c r="T4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табеле]])*S466,0)</f>
        <v>4500</v>
      </c>
      <c r="U466" s="5">
        <f>IF(Таблица1[[#This Row],[ТТН]]&gt;0,Таблица1[[#This Row],[Ставка за ТТН]]*Таблица1[[#This Row],[ТТН]],0)</f>
        <v>5000</v>
      </c>
      <c r="V466" t="s">
        <v>93</v>
      </c>
    </row>
    <row r="467" spans="1:22" x14ac:dyDescent="0.25">
      <c r="A467" t="s">
        <v>84</v>
      </c>
      <c r="B467" s="24">
        <v>24</v>
      </c>
      <c r="C467" t="s">
        <v>113</v>
      </c>
      <c r="D467" t="s">
        <v>12</v>
      </c>
      <c r="E467" t="s">
        <v>215</v>
      </c>
      <c r="F467" t="s">
        <v>42</v>
      </c>
      <c r="H467" t="s">
        <v>10</v>
      </c>
      <c r="I467" t="s">
        <v>219</v>
      </c>
      <c r="J467">
        <v>22</v>
      </c>
      <c r="N467">
        <f>Таблица1[[#This Row],[Часов на заказчика  в работе]]+Таблица1[[#This Row],[Часов на заказчика  дежурство]]</f>
        <v>0</v>
      </c>
      <c r="O4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7" s="9">
        <v>135000</v>
      </c>
      <c r="R467" s="9">
        <v>1660</v>
      </c>
      <c r="S467" s="5">
        <v>1</v>
      </c>
      <c r="T4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табеле]])*S467,0)</f>
        <v>9000</v>
      </c>
      <c r="U467" s="5">
        <f>IF(Таблица1[[#This Row],[ТТН]]&gt;0,Таблица1[[#This Row],[Ставка за ТТН]]*Таблица1[[#This Row],[ТТН]],0)</f>
        <v>0</v>
      </c>
    </row>
    <row r="468" spans="1:22" x14ac:dyDescent="0.25">
      <c r="A468" t="s">
        <v>84</v>
      </c>
      <c r="B468" s="24">
        <v>25</v>
      </c>
      <c r="C468" t="s">
        <v>113</v>
      </c>
      <c r="D468" t="s">
        <v>12</v>
      </c>
      <c r="E468" t="s">
        <v>215</v>
      </c>
      <c r="F468" t="s">
        <v>42</v>
      </c>
      <c r="H468" t="s">
        <v>10</v>
      </c>
      <c r="I468" t="s">
        <v>219</v>
      </c>
      <c r="J468">
        <v>11</v>
      </c>
      <c r="N468">
        <f>Таблица1[[#This Row],[Часов на заказчика  в работе]]+Таблица1[[#This Row],[Часов на заказчика  дежурство]]</f>
        <v>0</v>
      </c>
      <c r="O4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8" s="9">
        <v>135000</v>
      </c>
      <c r="R468" s="9">
        <v>1660</v>
      </c>
      <c r="S468" s="5">
        <v>1</v>
      </c>
      <c r="T4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табеле]])*S468,0)</f>
        <v>4500</v>
      </c>
      <c r="U468" s="5">
        <f>IF(Таблица1[[#This Row],[ТТН]]&gt;0,Таблица1[[#This Row],[Ставка за ТТН]]*Таблица1[[#This Row],[ТТН]],0)</f>
        <v>0</v>
      </c>
    </row>
    <row r="469" spans="1:22" x14ac:dyDescent="0.25">
      <c r="A469" t="s">
        <v>84</v>
      </c>
      <c r="B469" s="24">
        <v>26</v>
      </c>
      <c r="C469" t="s">
        <v>113</v>
      </c>
      <c r="D469" t="s">
        <v>12</v>
      </c>
      <c r="E469" t="s">
        <v>215</v>
      </c>
      <c r="F469" t="s">
        <v>42</v>
      </c>
      <c r="H469" t="s">
        <v>10</v>
      </c>
      <c r="I469" t="s">
        <v>219</v>
      </c>
      <c r="J469">
        <v>22</v>
      </c>
      <c r="N469">
        <f>Таблица1[[#This Row],[Часов на заказчика  в работе]]+Таблица1[[#This Row],[Часов на заказчика  дежурство]]</f>
        <v>0</v>
      </c>
      <c r="O4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69" s="9">
        <v>135000</v>
      </c>
      <c r="R469" s="9">
        <v>1660</v>
      </c>
      <c r="S469" s="5">
        <v>1</v>
      </c>
      <c r="T4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табеле]])*S469,0)</f>
        <v>9000</v>
      </c>
      <c r="U469" s="5">
        <f>IF(Таблица1[[#This Row],[ТТН]]&gt;0,Таблица1[[#This Row],[Ставка за ТТН]]*Таблица1[[#This Row],[ТТН]],0)</f>
        <v>0</v>
      </c>
    </row>
    <row r="470" spans="1:22" x14ac:dyDescent="0.25">
      <c r="A470" t="s">
        <v>84</v>
      </c>
      <c r="B470" s="24">
        <v>27</v>
      </c>
      <c r="C470" t="s">
        <v>113</v>
      </c>
      <c r="D470" t="s">
        <v>12</v>
      </c>
      <c r="E470" t="s">
        <v>215</v>
      </c>
      <c r="F470" t="s">
        <v>42</v>
      </c>
      <c r="H470" t="s">
        <v>10</v>
      </c>
      <c r="I470" t="s">
        <v>219</v>
      </c>
      <c r="J470">
        <v>11</v>
      </c>
      <c r="K470">
        <v>1</v>
      </c>
      <c r="N470">
        <f>Таблица1[[#This Row],[Часов на заказчика  в работе]]+Таблица1[[#This Row],[Часов на заказчика  дежурство]]</f>
        <v>0</v>
      </c>
      <c r="O4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0" s="9">
        <v>135000</v>
      </c>
      <c r="R470" s="9">
        <v>5000</v>
      </c>
      <c r="S470" s="5">
        <v>1</v>
      </c>
      <c r="T4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табеле]])*S470,0)</f>
        <v>4500</v>
      </c>
      <c r="U470" s="5">
        <f>IF(Таблица1[[#This Row],[ТТН]]&gt;0,Таблица1[[#This Row],[Ставка за ТТН]]*Таблица1[[#This Row],[ТТН]],0)</f>
        <v>5000</v>
      </c>
      <c r="V470" t="s">
        <v>93</v>
      </c>
    </row>
    <row r="471" spans="1:22" x14ac:dyDescent="0.25">
      <c r="A471" t="s">
        <v>84</v>
      </c>
      <c r="B471" s="24">
        <v>28</v>
      </c>
      <c r="C471" t="s">
        <v>113</v>
      </c>
      <c r="D471" t="s">
        <v>12</v>
      </c>
      <c r="E471" t="s">
        <v>215</v>
      </c>
      <c r="F471" t="s">
        <v>42</v>
      </c>
      <c r="H471" t="s">
        <v>10</v>
      </c>
      <c r="I471" t="s">
        <v>219</v>
      </c>
      <c r="J471">
        <v>22</v>
      </c>
      <c r="N471">
        <f>Таблица1[[#This Row],[Часов на заказчика  в работе]]+Таблица1[[#This Row],[Часов на заказчика  дежурство]]</f>
        <v>0</v>
      </c>
      <c r="O4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1" s="9">
        <v>135000</v>
      </c>
      <c r="R471" s="9">
        <v>1660</v>
      </c>
      <c r="S471" s="5">
        <v>1</v>
      </c>
      <c r="T4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табеле]])*S471,0)</f>
        <v>9000</v>
      </c>
      <c r="U471" s="5">
        <f>IF(Таблица1[[#This Row],[ТТН]]&gt;0,Таблица1[[#This Row],[Ставка за ТТН]]*Таблица1[[#This Row],[ТТН]],0)</f>
        <v>0</v>
      </c>
    </row>
    <row r="472" spans="1:22" x14ac:dyDescent="0.25">
      <c r="A472" t="s">
        <v>84</v>
      </c>
      <c r="B472" s="24">
        <v>29</v>
      </c>
      <c r="C472" t="s">
        <v>113</v>
      </c>
      <c r="D472" t="s">
        <v>12</v>
      </c>
      <c r="E472" t="s">
        <v>215</v>
      </c>
      <c r="F472" t="s">
        <v>42</v>
      </c>
      <c r="H472" t="s">
        <v>10</v>
      </c>
      <c r="I472" t="s">
        <v>219</v>
      </c>
      <c r="J472">
        <v>22</v>
      </c>
      <c r="N472">
        <f>Таблица1[[#This Row],[Часов на заказчика  в работе]]+Таблица1[[#This Row],[Часов на заказчика  дежурство]]</f>
        <v>0</v>
      </c>
      <c r="O4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2" s="9">
        <v>135000</v>
      </c>
      <c r="R472" s="9">
        <v>1660</v>
      </c>
      <c r="S472" s="5">
        <v>1</v>
      </c>
      <c r="T4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табеле]])*S472,0)</f>
        <v>9000</v>
      </c>
      <c r="U472" s="5">
        <f>IF(Таблица1[[#This Row],[ТТН]]&gt;0,Таблица1[[#This Row],[Ставка за ТТН]]*Таблица1[[#This Row],[ТТН]],0)</f>
        <v>0</v>
      </c>
    </row>
    <row r="473" spans="1:22" x14ac:dyDescent="0.25">
      <c r="A473" t="s">
        <v>84</v>
      </c>
      <c r="B473" s="24">
        <v>30</v>
      </c>
      <c r="C473" t="s">
        <v>114</v>
      </c>
      <c r="D473" t="s">
        <v>12</v>
      </c>
      <c r="E473" t="s">
        <v>215</v>
      </c>
      <c r="F473" t="s">
        <v>42</v>
      </c>
      <c r="H473" t="s">
        <v>10</v>
      </c>
      <c r="I473" t="s">
        <v>219</v>
      </c>
      <c r="J473">
        <v>22</v>
      </c>
      <c r="K473">
        <v>1</v>
      </c>
      <c r="N473">
        <f>Таблица1[[#This Row],[Часов на заказчика  в работе]]+Таблица1[[#This Row],[Часов на заказчика  дежурство]]</f>
        <v>0</v>
      </c>
      <c r="O4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3" s="9">
        <v>135000</v>
      </c>
      <c r="R473" s="9">
        <v>1660</v>
      </c>
      <c r="S473" s="5">
        <v>1</v>
      </c>
      <c r="T4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табеле]])*S473,0)</f>
        <v>9000</v>
      </c>
      <c r="U473" s="5">
        <f>IF(Таблица1[[#This Row],[ТТН]]&gt;0,Таблица1[[#This Row],[Ставка за ТТН]]*Таблица1[[#This Row],[ТТН]],0)</f>
        <v>1660</v>
      </c>
    </row>
    <row r="474" spans="1:22" x14ac:dyDescent="0.25">
      <c r="A474" t="s">
        <v>84</v>
      </c>
      <c r="B474" s="24">
        <v>1</v>
      </c>
      <c r="C474" t="s">
        <v>114</v>
      </c>
      <c r="D474" t="s">
        <v>32</v>
      </c>
      <c r="E474" t="s">
        <v>214</v>
      </c>
      <c r="F474" t="s">
        <v>31</v>
      </c>
      <c r="H474" t="s">
        <v>10</v>
      </c>
      <c r="I474" t="s">
        <v>221</v>
      </c>
      <c r="J474">
        <v>11</v>
      </c>
      <c r="L474">
        <v>11</v>
      </c>
      <c r="N474">
        <f>Таблица1[[#This Row],[Часов на заказчика  в работе]]+Таблица1[[#This Row],[Часов на заказчика  дежурство]]</f>
        <v>11</v>
      </c>
      <c r="O4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4" s="9">
        <v>160000</v>
      </c>
      <c r="R474" s="9"/>
      <c r="S474" s="5">
        <v>1</v>
      </c>
      <c r="T4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табеле]])*S474,0)</f>
        <v>5333.3333333333339</v>
      </c>
      <c r="U474" s="5">
        <f>IF(Таблица1[[#This Row],[ТТН]]&gt;0,Таблица1[[#This Row],[Ставка за ТТН]]*Таблица1[[#This Row],[ТТН]],0)</f>
        <v>0</v>
      </c>
    </row>
    <row r="475" spans="1:22" x14ac:dyDescent="0.25">
      <c r="A475" t="s">
        <v>84</v>
      </c>
      <c r="B475" s="24">
        <v>2</v>
      </c>
      <c r="C475" t="s">
        <v>114</v>
      </c>
      <c r="D475" t="s">
        <v>32</v>
      </c>
      <c r="E475" t="s">
        <v>214</v>
      </c>
      <c r="F475" t="s">
        <v>31</v>
      </c>
      <c r="H475" t="s">
        <v>10</v>
      </c>
      <c r="I475" t="s">
        <v>221</v>
      </c>
      <c r="J475">
        <v>11</v>
      </c>
      <c r="L475">
        <v>11</v>
      </c>
      <c r="N475">
        <f>Таблица1[[#This Row],[Часов на заказчика  в работе]]+Таблица1[[#This Row],[Часов на заказчика  дежурство]]</f>
        <v>11</v>
      </c>
      <c r="O4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5" s="9">
        <v>160000</v>
      </c>
      <c r="R475" s="9"/>
      <c r="S475" s="5">
        <v>1</v>
      </c>
      <c r="T4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табеле]])*S475,0)</f>
        <v>5333.3333333333339</v>
      </c>
      <c r="U475" s="5">
        <f>IF(Таблица1[[#This Row],[ТТН]]&gt;0,Таблица1[[#This Row],[Ставка за ТТН]]*Таблица1[[#This Row],[ТТН]],0)</f>
        <v>0</v>
      </c>
    </row>
    <row r="476" spans="1:22" x14ac:dyDescent="0.25">
      <c r="A476" t="s">
        <v>84</v>
      </c>
      <c r="B476" s="24">
        <v>3</v>
      </c>
      <c r="C476" t="s">
        <v>114</v>
      </c>
      <c r="D476" t="s">
        <v>32</v>
      </c>
      <c r="E476" t="s">
        <v>214</v>
      </c>
      <c r="F476" t="s">
        <v>31</v>
      </c>
      <c r="H476" t="s">
        <v>10</v>
      </c>
      <c r="I476" t="s">
        <v>221</v>
      </c>
      <c r="J476">
        <v>11</v>
      </c>
      <c r="L476">
        <v>11</v>
      </c>
      <c r="N476">
        <f>Таблица1[[#This Row],[Часов на заказчика  в работе]]+Таблица1[[#This Row],[Часов на заказчика  дежурство]]</f>
        <v>11</v>
      </c>
      <c r="O4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6" s="9">
        <v>160000</v>
      </c>
      <c r="R476" s="9"/>
      <c r="S476" s="5">
        <v>1</v>
      </c>
      <c r="T4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табеле]])*S476,0)</f>
        <v>5333.3333333333339</v>
      </c>
      <c r="U476" s="5">
        <f>IF(Таблица1[[#This Row],[ТТН]]&gt;0,Таблица1[[#This Row],[Ставка за ТТН]]*Таблица1[[#This Row],[ТТН]],0)</f>
        <v>0</v>
      </c>
    </row>
    <row r="477" spans="1:22" x14ac:dyDescent="0.25">
      <c r="A477" t="s">
        <v>84</v>
      </c>
      <c r="B477" s="24">
        <v>4</v>
      </c>
      <c r="C477" t="s">
        <v>114</v>
      </c>
      <c r="D477" t="s">
        <v>32</v>
      </c>
      <c r="E477" t="s">
        <v>214</v>
      </c>
      <c r="F477" t="s">
        <v>31</v>
      </c>
      <c r="H477" t="s">
        <v>10</v>
      </c>
      <c r="I477" t="s">
        <v>221</v>
      </c>
      <c r="J477">
        <v>11</v>
      </c>
      <c r="L477">
        <v>11</v>
      </c>
      <c r="N477">
        <f>Таблица1[[#This Row],[Часов на заказчика  в работе]]+Таблица1[[#This Row],[Часов на заказчика  дежурство]]</f>
        <v>11</v>
      </c>
      <c r="O4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7" s="9">
        <v>160000</v>
      </c>
      <c r="R477" s="9"/>
      <c r="S477" s="5">
        <v>1</v>
      </c>
      <c r="T4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табеле]])*S477,0)</f>
        <v>5333.3333333333339</v>
      </c>
      <c r="U477" s="5">
        <f>IF(Таблица1[[#This Row],[ТТН]]&gt;0,Таблица1[[#This Row],[Ставка за ТТН]]*Таблица1[[#This Row],[ТТН]],0)</f>
        <v>0</v>
      </c>
    </row>
    <row r="478" spans="1:22" x14ac:dyDescent="0.25">
      <c r="A478" t="s">
        <v>84</v>
      </c>
      <c r="B478" s="24">
        <v>5</v>
      </c>
      <c r="C478" t="s">
        <v>114</v>
      </c>
      <c r="D478" t="s">
        <v>32</v>
      </c>
      <c r="E478" t="s">
        <v>214</v>
      </c>
      <c r="F478" t="s">
        <v>31</v>
      </c>
      <c r="H478" t="s">
        <v>10</v>
      </c>
      <c r="I478" t="s">
        <v>221</v>
      </c>
      <c r="J478">
        <v>11</v>
      </c>
      <c r="L478">
        <v>11</v>
      </c>
      <c r="N478">
        <f>Таблица1[[#This Row],[Часов на заказчика  в работе]]+Таблица1[[#This Row],[Часов на заказчика  дежурство]]</f>
        <v>11</v>
      </c>
      <c r="O4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8" s="9">
        <v>160000</v>
      </c>
      <c r="R478" s="9"/>
      <c r="S478" s="5">
        <v>1</v>
      </c>
      <c r="T4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табеле]])*S478,0)</f>
        <v>5333.3333333333339</v>
      </c>
      <c r="U478" s="5">
        <f>IF(Таблица1[[#This Row],[ТТН]]&gt;0,Таблица1[[#This Row],[Ставка за ТТН]]*Таблица1[[#This Row],[ТТН]],0)</f>
        <v>0</v>
      </c>
    </row>
    <row r="479" spans="1:22" x14ac:dyDescent="0.25">
      <c r="A479" t="s">
        <v>84</v>
      </c>
      <c r="B479" s="24">
        <v>6</v>
      </c>
      <c r="C479" t="s">
        <v>114</v>
      </c>
      <c r="D479" t="s">
        <v>32</v>
      </c>
      <c r="E479" t="s">
        <v>214</v>
      </c>
      <c r="F479" t="s">
        <v>31</v>
      </c>
      <c r="H479" t="s">
        <v>10</v>
      </c>
      <c r="I479" t="s">
        <v>221</v>
      </c>
      <c r="J479">
        <v>11</v>
      </c>
      <c r="L479">
        <v>11</v>
      </c>
      <c r="N479">
        <f>Таблица1[[#This Row],[Часов на заказчика  в работе]]+Таблица1[[#This Row],[Часов на заказчика  дежурство]]</f>
        <v>11</v>
      </c>
      <c r="O4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79" s="9">
        <v>160000</v>
      </c>
      <c r="R479" s="9"/>
      <c r="S479" s="5">
        <v>1</v>
      </c>
      <c r="T4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табеле]])*S479,0)</f>
        <v>5333.3333333333339</v>
      </c>
      <c r="U479" s="5">
        <f>IF(Таблица1[[#This Row],[ТТН]]&gt;0,Таблица1[[#This Row],[Ставка за ТТН]]*Таблица1[[#This Row],[ТТН]],0)</f>
        <v>0</v>
      </c>
    </row>
    <row r="480" spans="1:22" x14ac:dyDescent="0.25">
      <c r="A480" t="s">
        <v>84</v>
      </c>
      <c r="B480" s="24">
        <v>7</v>
      </c>
      <c r="C480" t="s">
        <v>114</v>
      </c>
      <c r="D480" t="s">
        <v>32</v>
      </c>
      <c r="E480" t="s">
        <v>214</v>
      </c>
      <c r="F480" t="s">
        <v>31</v>
      </c>
      <c r="H480" t="s">
        <v>10</v>
      </c>
      <c r="I480" t="s">
        <v>221</v>
      </c>
      <c r="J480">
        <v>11</v>
      </c>
      <c r="L480">
        <v>11</v>
      </c>
      <c r="N480">
        <f>Таблица1[[#This Row],[Часов на заказчика  в работе]]+Таблица1[[#This Row],[Часов на заказчика  дежурство]]</f>
        <v>11</v>
      </c>
      <c r="O4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0" s="9">
        <v>160000</v>
      </c>
      <c r="R480" s="9"/>
      <c r="S480" s="5">
        <v>1</v>
      </c>
      <c r="T4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табеле]])*S480,0)</f>
        <v>5333.3333333333339</v>
      </c>
      <c r="U480" s="5">
        <f>IF(Таблица1[[#This Row],[ТТН]]&gt;0,Таблица1[[#This Row],[Ставка за ТТН]]*Таблица1[[#This Row],[ТТН]],0)</f>
        <v>0</v>
      </c>
    </row>
    <row r="481" spans="1:21" x14ac:dyDescent="0.25">
      <c r="A481" t="s">
        <v>84</v>
      </c>
      <c r="B481" s="24">
        <v>8</v>
      </c>
      <c r="C481" t="s">
        <v>114</v>
      </c>
      <c r="D481" t="s">
        <v>32</v>
      </c>
      <c r="E481" t="s">
        <v>214</v>
      </c>
      <c r="F481" t="s">
        <v>31</v>
      </c>
      <c r="H481" t="s">
        <v>10</v>
      </c>
      <c r="I481" t="s">
        <v>221</v>
      </c>
      <c r="J481">
        <v>11</v>
      </c>
      <c r="L481">
        <v>11</v>
      </c>
      <c r="N481">
        <f>Таблица1[[#This Row],[Часов на заказчика  в работе]]+Таблица1[[#This Row],[Часов на заказчика  дежурство]]</f>
        <v>11</v>
      </c>
      <c r="O4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1" s="9">
        <v>160000</v>
      </c>
      <c r="R481" s="9"/>
      <c r="S481" s="5">
        <v>1</v>
      </c>
      <c r="T4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табеле]])*S481,0)</f>
        <v>5333.3333333333339</v>
      </c>
      <c r="U481" s="5">
        <f>IF(Таблица1[[#This Row],[ТТН]]&gt;0,Таблица1[[#This Row],[Ставка за ТТН]]*Таблица1[[#This Row],[ТТН]],0)</f>
        <v>0</v>
      </c>
    </row>
    <row r="482" spans="1:21" x14ac:dyDescent="0.25">
      <c r="A482" t="s">
        <v>84</v>
      </c>
      <c r="B482" s="24">
        <v>9</v>
      </c>
      <c r="C482" t="s">
        <v>114</v>
      </c>
      <c r="D482" t="s">
        <v>32</v>
      </c>
      <c r="E482" t="s">
        <v>214</v>
      </c>
      <c r="F482" t="s">
        <v>31</v>
      </c>
      <c r="H482" t="s">
        <v>10</v>
      </c>
      <c r="I482" t="s">
        <v>221</v>
      </c>
      <c r="J482">
        <v>11</v>
      </c>
      <c r="L482">
        <v>11</v>
      </c>
      <c r="N482">
        <f>Таблица1[[#This Row],[Часов на заказчика  в работе]]+Таблица1[[#This Row],[Часов на заказчика  дежурство]]</f>
        <v>11</v>
      </c>
      <c r="O4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2" s="9">
        <v>160000</v>
      </c>
      <c r="R482" s="9"/>
      <c r="S482" s="5">
        <v>1</v>
      </c>
      <c r="T4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табеле]])*S482,0)</f>
        <v>5333.3333333333339</v>
      </c>
      <c r="U482" s="5">
        <f>IF(Таблица1[[#This Row],[ТТН]]&gt;0,Таблица1[[#This Row],[Ставка за ТТН]]*Таблица1[[#This Row],[ТТН]],0)</f>
        <v>0</v>
      </c>
    </row>
    <row r="483" spans="1:21" x14ac:dyDescent="0.25">
      <c r="A483" t="s">
        <v>84</v>
      </c>
      <c r="B483" s="24">
        <v>10</v>
      </c>
      <c r="C483" t="s">
        <v>114</v>
      </c>
      <c r="D483" t="s">
        <v>32</v>
      </c>
      <c r="E483" t="s">
        <v>214</v>
      </c>
      <c r="F483" t="s">
        <v>31</v>
      </c>
      <c r="H483" t="s">
        <v>10</v>
      </c>
      <c r="I483" t="s">
        <v>221</v>
      </c>
      <c r="J483">
        <v>11</v>
      </c>
      <c r="L483">
        <v>11</v>
      </c>
      <c r="N483">
        <f>Таблица1[[#This Row],[Часов на заказчика  в работе]]+Таблица1[[#This Row],[Часов на заказчика  дежурство]]</f>
        <v>11</v>
      </c>
      <c r="O4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3" s="9">
        <v>160000</v>
      </c>
      <c r="R483" s="9"/>
      <c r="S483" s="5">
        <v>1</v>
      </c>
      <c r="T4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табеле]])*S483,0)</f>
        <v>5333.3333333333339</v>
      </c>
      <c r="U483" s="5">
        <f>IF(Таблица1[[#This Row],[ТТН]]&gt;0,Таблица1[[#This Row],[Ставка за ТТН]]*Таблица1[[#This Row],[ТТН]],0)</f>
        <v>0</v>
      </c>
    </row>
    <row r="484" spans="1:21" x14ac:dyDescent="0.25">
      <c r="A484" t="s">
        <v>84</v>
      </c>
      <c r="B484" s="24">
        <v>11</v>
      </c>
      <c r="C484" t="s">
        <v>114</v>
      </c>
      <c r="D484" t="s">
        <v>32</v>
      </c>
      <c r="E484" t="s">
        <v>214</v>
      </c>
      <c r="F484" t="s">
        <v>31</v>
      </c>
      <c r="H484" t="s">
        <v>10</v>
      </c>
      <c r="I484" t="s">
        <v>221</v>
      </c>
      <c r="J484">
        <v>11</v>
      </c>
      <c r="L484">
        <v>11</v>
      </c>
      <c r="N484">
        <f>Таблица1[[#This Row],[Часов на заказчика  в работе]]+Таблица1[[#This Row],[Часов на заказчика  дежурство]]</f>
        <v>11</v>
      </c>
      <c r="O4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4" s="9">
        <v>160000</v>
      </c>
      <c r="R484" s="9"/>
      <c r="S484" s="5">
        <v>1</v>
      </c>
      <c r="T4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табеле]])*S484,0)</f>
        <v>5333.3333333333339</v>
      </c>
      <c r="U484" s="5">
        <f>IF(Таблица1[[#This Row],[ТТН]]&gt;0,Таблица1[[#This Row],[Ставка за ТТН]]*Таблица1[[#This Row],[ТТН]],0)</f>
        <v>0</v>
      </c>
    </row>
    <row r="485" spans="1:21" x14ac:dyDescent="0.25">
      <c r="A485" t="s">
        <v>84</v>
      </c>
      <c r="B485" s="24">
        <v>12</v>
      </c>
      <c r="C485" t="s">
        <v>114</v>
      </c>
      <c r="D485" t="s">
        <v>32</v>
      </c>
      <c r="E485" t="s">
        <v>214</v>
      </c>
      <c r="F485" t="s">
        <v>31</v>
      </c>
      <c r="H485" t="s">
        <v>10</v>
      </c>
      <c r="I485" t="s">
        <v>221</v>
      </c>
      <c r="J485">
        <v>11</v>
      </c>
      <c r="L485">
        <v>11</v>
      </c>
      <c r="N485">
        <f>Таблица1[[#This Row],[Часов на заказчика  в работе]]+Таблица1[[#This Row],[Часов на заказчика  дежурство]]</f>
        <v>11</v>
      </c>
      <c r="O4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5" s="9">
        <v>160000</v>
      </c>
      <c r="R485" s="9"/>
      <c r="S485" s="5">
        <v>1</v>
      </c>
      <c r="T4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табеле]])*S485,0)</f>
        <v>5333.3333333333339</v>
      </c>
      <c r="U485" s="5">
        <f>IF(Таблица1[[#This Row],[ТТН]]&gt;0,Таблица1[[#This Row],[Ставка за ТТН]]*Таблица1[[#This Row],[ТТН]],0)</f>
        <v>0</v>
      </c>
    </row>
    <row r="486" spans="1:21" x14ac:dyDescent="0.25">
      <c r="A486" t="s">
        <v>84</v>
      </c>
      <c r="B486" s="24">
        <v>13</v>
      </c>
      <c r="C486" t="s">
        <v>114</v>
      </c>
      <c r="D486" t="s">
        <v>32</v>
      </c>
      <c r="E486" t="s">
        <v>214</v>
      </c>
      <c r="F486" t="s">
        <v>31</v>
      </c>
      <c r="H486" t="s">
        <v>10</v>
      </c>
      <c r="I486" t="s">
        <v>221</v>
      </c>
      <c r="J486">
        <v>11</v>
      </c>
      <c r="L486">
        <v>11</v>
      </c>
      <c r="N486">
        <f>Таблица1[[#This Row],[Часов на заказчика  в работе]]+Таблица1[[#This Row],[Часов на заказчика  дежурство]]</f>
        <v>11</v>
      </c>
      <c r="O4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6" s="9">
        <v>160000</v>
      </c>
      <c r="R486" s="9"/>
      <c r="S486" s="5">
        <v>1</v>
      </c>
      <c r="T4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табеле]])*S486,0)</f>
        <v>5333.3333333333339</v>
      </c>
      <c r="U486" s="5">
        <f>IF(Таблица1[[#This Row],[ТТН]]&gt;0,Таблица1[[#This Row],[Ставка за ТТН]]*Таблица1[[#This Row],[ТТН]],0)</f>
        <v>0</v>
      </c>
    </row>
    <row r="487" spans="1:21" x14ac:dyDescent="0.25">
      <c r="A487" t="s">
        <v>84</v>
      </c>
      <c r="B487" s="24">
        <v>14</v>
      </c>
      <c r="C487" t="s">
        <v>114</v>
      </c>
      <c r="D487" t="s">
        <v>32</v>
      </c>
      <c r="E487" t="s">
        <v>214</v>
      </c>
      <c r="F487" t="s">
        <v>31</v>
      </c>
      <c r="H487" t="s">
        <v>24</v>
      </c>
      <c r="I487" t="s">
        <v>217</v>
      </c>
      <c r="J487">
        <v>8</v>
      </c>
      <c r="N487">
        <f>Таблица1[[#This Row],[Часов на заказчика  в работе]]+Таблица1[[#This Row],[Часов на заказчика  дежурство]]</f>
        <v>0</v>
      </c>
      <c r="O4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7" s="9">
        <v>160000</v>
      </c>
      <c r="R487" s="9"/>
      <c r="S487" s="5">
        <v>1</v>
      </c>
      <c r="T4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табеле]])*S487,0)</f>
        <v>0</v>
      </c>
      <c r="U487" s="5">
        <f>IF(Таблица1[[#This Row],[ТТН]]&gt;0,Таблица1[[#This Row],[Ставка за ТТН]]*Таблица1[[#This Row],[ТТН]],0)</f>
        <v>0</v>
      </c>
    </row>
    <row r="488" spans="1:21" x14ac:dyDescent="0.25">
      <c r="A488" t="s">
        <v>84</v>
      </c>
      <c r="B488" s="24">
        <v>15</v>
      </c>
      <c r="C488" t="s">
        <v>114</v>
      </c>
      <c r="D488" t="s">
        <v>32</v>
      </c>
      <c r="E488" t="s">
        <v>214</v>
      </c>
      <c r="F488" t="s">
        <v>31</v>
      </c>
      <c r="H488" t="s">
        <v>24</v>
      </c>
      <c r="I488" t="s">
        <v>217</v>
      </c>
      <c r="J488">
        <v>8</v>
      </c>
      <c r="N488">
        <f>Таблица1[[#This Row],[Часов на заказчика  в работе]]+Таблица1[[#This Row],[Часов на заказчика  дежурство]]</f>
        <v>0</v>
      </c>
      <c r="O4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8" s="9">
        <v>160000</v>
      </c>
      <c r="R488" s="9"/>
      <c r="S488" s="5">
        <v>1</v>
      </c>
      <c r="T4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табеле]])*S488,0)</f>
        <v>0</v>
      </c>
      <c r="U488" s="5">
        <f>IF(Таблица1[[#This Row],[ТТН]]&gt;0,Таблица1[[#This Row],[Ставка за ТТН]]*Таблица1[[#This Row],[ТТН]],0)</f>
        <v>0</v>
      </c>
    </row>
    <row r="489" spans="1:21" x14ac:dyDescent="0.25">
      <c r="A489" t="s">
        <v>84</v>
      </c>
      <c r="B489" s="24">
        <v>16</v>
      </c>
      <c r="C489" t="s">
        <v>114</v>
      </c>
      <c r="D489" t="s">
        <v>32</v>
      </c>
      <c r="E489" t="s">
        <v>214</v>
      </c>
      <c r="F489" t="s">
        <v>31</v>
      </c>
      <c r="H489" t="s">
        <v>24</v>
      </c>
      <c r="I489" t="s">
        <v>217</v>
      </c>
      <c r="J489">
        <v>8</v>
      </c>
      <c r="N489">
        <f>Таблица1[[#This Row],[Часов на заказчика  в работе]]+Таблица1[[#This Row],[Часов на заказчика  дежурство]]</f>
        <v>0</v>
      </c>
      <c r="O4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89" s="9">
        <v>160000</v>
      </c>
      <c r="R489" s="9"/>
      <c r="S489" s="5">
        <v>1</v>
      </c>
      <c r="T4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табеле]])*S489,0)</f>
        <v>0</v>
      </c>
      <c r="U489" s="5">
        <f>IF(Таблица1[[#This Row],[ТТН]]&gt;0,Таблица1[[#This Row],[Ставка за ТТН]]*Таблица1[[#This Row],[ТТН]],0)</f>
        <v>0</v>
      </c>
    </row>
    <row r="490" spans="1:21" x14ac:dyDescent="0.25">
      <c r="A490" t="s">
        <v>84</v>
      </c>
      <c r="B490" s="24">
        <v>17</v>
      </c>
      <c r="C490" t="s">
        <v>114</v>
      </c>
      <c r="D490" t="s">
        <v>32</v>
      </c>
      <c r="E490" t="s">
        <v>214</v>
      </c>
      <c r="F490" t="s">
        <v>31</v>
      </c>
      <c r="H490" t="s">
        <v>24</v>
      </c>
      <c r="I490" t="s">
        <v>217</v>
      </c>
      <c r="J490">
        <v>8</v>
      </c>
      <c r="N490">
        <f>Таблица1[[#This Row],[Часов на заказчика  в работе]]+Таблица1[[#This Row],[Часов на заказчика  дежурство]]</f>
        <v>0</v>
      </c>
      <c r="O4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0" s="9">
        <v>160000</v>
      </c>
      <c r="R490" s="9"/>
      <c r="S490" s="5">
        <v>1</v>
      </c>
      <c r="T4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табеле]])*S490,0)</f>
        <v>0</v>
      </c>
      <c r="U490" s="5">
        <f>IF(Таблица1[[#This Row],[ТТН]]&gt;0,Таблица1[[#This Row],[Ставка за ТТН]]*Таблица1[[#This Row],[ТТН]],0)</f>
        <v>0</v>
      </c>
    </row>
    <row r="491" spans="1:21" x14ac:dyDescent="0.25">
      <c r="A491" t="s">
        <v>84</v>
      </c>
      <c r="B491" s="24">
        <v>18</v>
      </c>
      <c r="C491" t="s">
        <v>114</v>
      </c>
      <c r="D491" t="s">
        <v>32</v>
      </c>
      <c r="E491" t="s">
        <v>214</v>
      </c>
      <c r="F491" t="s">
        <v>31</v>
      </c>
      <c r="H491" t="s">
        <v>29</v>
      </c>
      <c r="I491" t="s">
        <v>217</v>
      </c>
      <c r="J491">
        <v>8</v>
      </c>
      <c r="N491">
        <f>Таблица1[[#This Row],[Часов на заказчика  в работе]]+Таблица1[[#This Row],[Часов на заказчика  дежурство]]</f>
        <v>0</v>
      </c>
      <c r="O4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1" s="9">
        <v>160000</v>
      </c>
      <c r="R491" s="9"/>
      <c r="S491" s="5">
        <v>1</v>
      </c>
      <c r="T4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табеле]])*S491,0)</f>
        <v>0</v>
      </c>
      <c r="U491" s="5">
        <f>IF(Таблица1[[#This Row],[ТТН]]&gt;0,Таблица1[[#This Row],[Ставка за ТТН]]*Таблица1[[#This Row],[ТТН]],0)</f>
        <v>0</v>
      </c>
    </row>
    <row r="492" spans="1:21" x14ac:dyDescent="0.25">
      <c r="A492" t="s">
        <v>84</v>
      </c>
      <c r="B492" s="24">
        <v>19</v>
      </c>
      <c r="C492" t="s">
        <v>114</v>
      </c>
      <c r="D492" t="s">
        <v>32</v>
      </c>
      <c r="E492" t="s">
        <v>214</v>
      </c>
      <c r="F492" t="s">
        <v>31</v>
      </c>
      <c r="H492" t="s">
        <v>29</v>
      </c>
      <c r="I492" t="s">
        <v>217</v>
      </c>
      <c r="J492">
        <v>8</v>
      </c>
      <c r="N492">
        <f>Таблица1[[#This Row],[Часов на заказчика  в работе]]+Таблица1[[#This Row],[Часов на заказчика  дежурство]]</f>
        <v>0</v>
      </c>
      <c r="O4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2" s="9">
        <v>160000</v>
      </c>
      <c r="R492" s="9"/>
      <c r="S492" s="5">
        <v>1</v>
      </c>
      <c r="T4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табеле]])*S492,0)</f>
        <v>0</v>
      </c>
      <c r="U492" s="5">
        <f>IF(Таблица1[[#This Row],[ТТН]]&gt;0,Таблица1[[#This Row],[Ставка за ТТН]]*Таблица1[[#This Row],[ТТН]],0)</f>
        <v>0</v>
      </c>
    </row>
    <row r="493" spans="1:21" x14ac:dyDescent="0.25">
      <c r="A493" t="s">
        <v>84</v>
      </c>
      <c r="B493" s="24">
        <v>20</v>
      </c>
      <c r="C493" t="s">
        <v>114</v>
      </c>
      <c r="D493" t="s">
        <v>32</v>
      </c>
      <c r="E493" t="s">
        <v>214</v>
      </c>
      <c r="F493" t="s">
        <v>31</v>
      </c>
      <c r="H493" t="s">
        <v>30</v>
      </c>
      <c r="I493" t="s">
        <v>217</v>
      </c>
      <c r="J493">
        <v>1</v>
      </c>
      <c r="N493">
        <f>Таблица1[[#This Row],[Часов на заказчика  в работе]]+Таблица1[[#This Row],[Часов на заказчика  дежурство]]</f>
        <v>0</v>
      </c>
      <c r="O4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3" s="9">
        <v>160000</v>
      </c>
      <c r="R493" s="9"/>
      <c r="S493" s="5">
        <v>1</v>
      </c>
      <c r="T4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табеле]])*S493,0)</f>
        <v>0</v>
      </c>
      <c r="U493" s="5">
        <f>IF(Таблица1[[#This Row],[ТТН]]&gt;0,Таблица1[[#This Row],[Ставка за ТТН]]*Таблица1[[#This Row],[ТТН]],0)</f>
        <v>0</v>
      </c>
    </row>
    <row r="494" spans="1:21" x14ac:dyDescent="0.25">
      <c r="A494" t="s">
        <v>84</v>
      </c>
      <c r="B494" s="24">
        <v>21</v>
      </c>
      <c r="C494" t="s">
        <v>114</v>
      </c>
      <c r="D494" t="s">
        <v>32</v>
      </c>
      <c r="E494" t="s">
        <v>214</v>
      </c>
      <c r="F494" t="s">
        <v>31</v>
      </c>
      <c r="H494" t="s">
        <v>30</v>
      </c>
      <c r="I494" t="s">
        <v>217</v>
      </c>
      <c r="J494">
        <v>1</v>
      </c>
      <c r="N494">
        <f>Таблица1[[#This Row],[Часов на заказчика  в работе]]+Таблица1[[#This Row],[Часов на заказчика  дежурство]]</f>
        <v>0</v>
      </c>
      <c r="O4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4" s="9">
        <v>160000</v>
      </c>
      <c r="R494" s="9"/>
      <c r="S494" s="5">
        <v>1</v>
      </c>
      <c r="T4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табеле]])*S494,0)</f>
        <v>0</v>
      </c>
      <c r="U494" s="5">
        <f>IF(Таблица1[[#This Row],[ТТН]]&gt;0,Таблица1[[#This Row],[Ставка за ТТН]]*Таблица1[[#This Row],[ТТН]],0)</f>
        <v>0</v>
      </c>
    </row>
    <row r="495" spans="1:21" x14ac:dyDescent="0.25">
      <c r="A495" t="s">
        <v>84</v>
      </c>
      <c r="B495" s="24">
        <v>22</v>
      </c>
      <c r="C495" t="s">
        <v>114</v>
      </c>
      <c r="D495" t="s">
        <v>32</v>
      </c>
      <c r="E495" t="s">
        <v>214</v>
      </c>
      <c r="F495" t="s">
        <v>31</v>
      </c>
      <c r="H495" t="s">
        <v>29</v>
      </c>
      <c r="I495" t="s">
        <v>217</v>
      </c>
      <c r="J495">
        <v>8</v>
      </c>
      <c r="N495">
        <f>Таблица1[[#This Row],[Часов на заказчика  в работе]]+Таблица1[[#This Row],[Часов на заказчика  дежурство]]</f>
        <v>0</v>
      </c>
      <c r="O4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5" s="9">
        <v>160000</v>
      </c>
      <c r="R495" s="9"/>
      <c r="S495" s="5">
        <v>1</v>
      </c>
      <c r="T4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табеле]])*S495,0)</f>
        <v>0</v>
      </c>
      <c r="U495" s="5">
        <f>IF(Таблица1[[#This Row],[ТТН]]&gt;0,Таблица1[[#This Row],[Ставка за ТТН]]*Таблица1[[#This Row],[ТТН]],0)</f>
        <v>0</v>
      </c>
    </row>
    <row r="496" spans="1:21" x14ac:dyDescent="0.25">
      <c r="A496" t="s">
        <v>84</v>
      </c>
      <c r="B496" s="24">
        <v>23</v>
      </c>
      <c r="C496" t="s">
        <v>114</v>
      </c>
      <c r="D496" t="s">
        <v>32</v>
      </c>
      <c r="E496" t="s">
        <v>214</v>
      </c>
      <c r="F496" t="s">
        <v>31</v>
      </c>
      <c r="H496" t="s">
        <v>29</v>
      </c>
      <c r="I496" t="s">
        <v>217</v>
      </c>
      <c r="J496">
        <v>8</v>
      </c>
      <c r="N496">
        <f>Таблица1[[#This Row],[Часов на заказчика  в работе]]+Таблица1[[#This Row],[Часов на заказчика  дежурство]]</f>
        <v>0</v>
      </c>
      <c r="O4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6" s="9">
        <v>160000</v>
      </c>
      <c r="R496" s="9"/>
      <c r="S496" s="5">
        <v>1</v>
      </c>
      <c r="T4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табеле]])*S496,0)</f>
        <v>0</v>
      </c>
      <c r="U496" s="5">
        <f>IF(Таблица1[[#This Row],[ТТН]]&gt;0,Таблица1[[#This Row],[Ставка за ТТН]]*Таблица1[[#This Row],[ТТН]],0)</f>
        <v>0</v>
      </c>
    </row>
    <row r="497" spans="1:21" x14ac:dyDescent="0.25">
      <c r="A497" t="s">
        <v>84</v>
      </c>
      <c r="B497" s="24">
        <v>24</v>
      </c>
      <c r="C497" t="s">
        <v>114</v>
      </c>
      <c r="D497" t="s">
        <v>32</v>
      </c>
      <c r="E497" t="s">
        <v>214</v>
      </c>
      <c r="F497" t="s">
        <v>31</v>
      </c>
      <c r="H497" t="s">
        <v>29</v>
      </c>
      <c r="I497" t="s">
        <v>217</v>
      </c>
      <c r="J497">
        <v>8</v>
      </c>
      <c r="N497">
        <f>Таблица1[[#This Row],[Часов на заказчика  в работе]]+Таблица1[[#This Row],[Часов на заказчика  дежурство]]</f>
        <v>0</v>
      </c>
      <c r="O4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7" s="9">
        <v>160000</v>
      </c>
      <c r="R497" s="9"/>
      <c r="S497" s="5">
        <v>1</v>
      </c>
      <c r="T4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табеле]])*S497,0)</f>
        <v>0</v>
      </c>
      <c r="U497" s="5">
        <f>IF(Таблица1[[#This Row],[ТТН]]&gt;0,Таблица1[[#This Row],[Ставка за ТТН]]*Таблица1[[#This Row],[ТТН]],0)</f>
        <v>0</v>
      </c>
    </row>
    <row r="498" spans="1:21" x14ac:dyDescent="0.25">
      <c r="A498" t="s">
        <v>84</v>
      </c>
      <c r="B498" s="24">
        <v>25</v>
      </c>
      <c r="C498" t="s">
        <v>114</v>
      </c>
      <c r="D498" t="s">
        <v>32</v>
      </c>
      <c r="E498" t="s">
        <v>214</v>
      </c>
      <c r="F498" t="s">
        <v>31</v>
      </c>
      <c r="H498" t="s">
        <v>29</v>
      </c>
      <c r="I498" t="s">
        <v>217</v>
      </c>
      <c r="J498">
        <v>8</v>
      </c>
      <c r="N498">
        <f>Таблица1[[#This Row],[Часов на заказчика  в работе]]+Таблица1[[#This Row],[Часов на заказчика  дежурство]]</f>
        <v>0</v>
      </c>
      <c r="O4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8" s="9">
        <v>160000</v>
      </c>
      <c r="R498" s="9"/>
      <c r="S498" s="5">
        <v>1</v>
      </c>
      <c r="T4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табеле]])*S498,0)</f>
        <v>0</v>
      </c>
      <c r="U498" s="5">
        <f>IF(Таблица1[[#This Row],[ТТН]]&gt;0,Таблица1[[#This Row],[Ставка за ТТН]]*Таблица1[[#This Row],[ТТН]],0)</f>
        <v>0</v>
      </c>
    </row>
    <row r="499" spans="1:21" x14ac:dyDescent="0.25">
      <c r="A499" t="s">
        <v>84</v>
      </c>
      <c r="B499" s="24">
        <v>26</v>
      </c>
      <c r="C499" t="s">
        <v>114</v>
      </c>
      <c r="D499" t="s">
        <v>32</v>
      </c>
      <c r="E499" t="s">
        <v>214</v>
      </c>
      <c r="F499" t="s">
        <v>31</v>
      </c>
      <c r="H499" t="s">
        <v>29</v>
      </c>
      <c r="I499" t="s">
        <v>217</v>
      </c>
      <c r="J499">
        <v>8</v>
      </c>
      <c r="N499">
        <f>Таблица1[[#This Row],[Часов на заказчика  в работе]]+Таблица1[[#This Row],[Часов на заказчика  дежурство]]</f>
        <v>0</v>
      </c>
      <c r="O4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99" s="9">
        <v>160000</v>
      </c>
      <c r="R499" s="9"/>
      <c r="S499" s="5">
        <v>1</v>
      </c>
      <c r="T4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табеле]])*S499,0)</f>
        <v>0</v>
      </c>
      <c r="U499" s="5">
        <f>IF(Таблица1[[#This Row],[ТТН]]&gt;0,Таблица1[[#This Row],[Ставка за ТТН]]*Таблица1[[#This Row],[ТТН]],0)</f>
        <v>0</v>
      </c>
    </row>
    <row r="500" spans="1:21" x14ac:dyDescent="0.25">
      <c r="A500" t="s">
        <v>84</v>
      </c>
      <c r="B500" s="24">
        <v>27</v>
      </c>
      <c r="C500" t="s">
        <v>114</v>
      </c>
      <c r="D500" t="s">
        <v>32</v>
      </c>
      <c r="E500" t="s">
        <v>214</v>
      </c>
      <c r="F500" t="s">
        <v>31</v>
      </c>
      <c r="H500" t="s">
        <v>30</v>
      </c>
      <c r="I500" t="s">
        <v>217</v>
      </c>
      <c r="J500">
        <v>1</v>
      </c>
      <c r="N500">
        <f>Таблица1[[#This Row],[Часов на заказчика  в работе]]+Таблица1[[#This Row],[Часов на заказчика  дежурство]]</f>
        <v>0</v>
      </c>
      <c r="O5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0" s="9">
        <v>160000</v>
      </c>
      <c r="R500" s="9"/>
      <c r="S500" s="5">
        <v>1</v>
      </c>
      <c r="T5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табеле]])*S500,0)</f>
        <v>0</v>
      </c>
      <c r="U500" s="5">
        <f>IF(Таблица1[[#This Row],[ТТН]]&gt;0,Таблица1[[#This Row],[Ставка за ТТН]]*Таблица1[[#This Row],[ТТН]],0)</f>
        <v>0</v>
      </c>
    </row>
    <row r="501" spans="1:21" x14ac:dyDescent="0.25">
      <c r="A501" t="s">
        <v>84</v>
      </c>
      <c r="B501" s="24">
        <v>28</v>
      </c>
      <c r="C501" t="s">
        <v>114</v>
      </c>
      <c r="D501" t="s">
        <v>32</v>
      </c>
      <c r="E501" t="s">
        <v>214</v>
      </c>
      <c r="F501" t="s">
        <v>31</v>
      </c>
      <c r="H501" t="s">
        <v>30</v>
      </c>
      <c r="I501" t="s">
        <v>217</v>
      </c>
      <c r="J501">
        <v>1</v>
      </c>
      <c r="N501">
        <f>Таблица1[[#This Row],[Часов на заказчика  в работе]]+Таблица1[[#This Row],[Часов на заказчика  дежурство]]</f>
        <v>0</v>
      </c>
      <c r="O5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1" s="9">
        <v>160000</v>
      </c>
      <c r="R501" s="9"/>
      <c r="S501" s="5">
        <v>1</v>
      </c>
      <c r="T5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табеле]])*S501,0)</f>
        <v>0</v>
      </c>
      <c r="U501" s="5">
        <f>IF(Таблица1[[#This Row],[ТТН]]&gt;0,Таблица1[[#This Row],[Ставка за ТТН]]*Таблица1[[#This Row],[ТТН]],0)</f>
        <v>0</v>
      </c>
    </row>
    <row r="502" spans="1:21" x14ac:dyDescent="0.25">
      <c r="A502" t="s">
        <v>84</v>
      </c>
      <c r="B502" s="24">
        <v>29</v>
      </c>
      <c r="C502" t="s">
        <v>114</v>
      </c>
      <c r="D502" t="s">
        <v>32</v>
      </c>
      <c r="E502" t="s">
        <v>214</v>
      </c>
      <c r="F502" t="s">
        <v>31</v>
      </c>
      <c r="H502" t="s">
        <v>29</v>
      </c>
      <c r="I502" t="s">
        <v>217</v>
      </c>
      <c r="J502">
        <v>8</v>
      </c>
      <c r="N502">
        <f>Таблица1[[#This Row],[Часов на заказчика  в работе]]+Таблица1[[#This Row],[Часов на заказчика  дежурство]]</f>
        <v>0</v>
      </c>
      <c r="O5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2" s="9">
        <v>160000</v>
      </c>
      <c r="R502" s="9"/>
      <c r="S502" s="5">
        <v>1</v>
      </c>
      <c r="T5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табеле]])*S502,0)</f>
        <v>0</v>
      </c>
      <c r="U502" s="5">
        <f>IF(Таблица1[[#This Row],[ТТН]]&gt;0,Таблица1[[#This Row],[Ставка за ТТН]]*Таблица1[[#This Row],[ТТН]],0)</f>
        <v>0</v>
      </c>
    </row>
    <row r="503" spans="1:21" x14ac:dyDescent="0.25">
      <c r="A503" t="s">
        <v>84</v>
      </c>
      <c r="B503" s="24">
        <v>30</v>
      </c>
      <c r="C503" t="s">
        <v>115</v>
      </c>
      <c r="D503" t="s">
        <v>32</v>
      </c>
      <c r="E503" t="s">
        <v>214</v>
      </c>
      <c r="F503" t="s">
        <v>31</v>
      </c>
      <c r="H503" t="s">
        <v>29</v>
      </c>
      <c r="I503" t="s">
        <v>217</v>
      </c>
      <c r="J503">
        <v>8</v>
      </c>
      <c r="N503">
        <f>Таблица1[[#This Row],[Часов на заказчика  в работе]]+Таблица1[[#This Row],[Часов на заказчика  дежурство]]</f>
        <v>0</v>
      </c>
      <c r="O5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3" s="9">
        <v>160000</v>
      </c>
      <c r="R503" s="9"/>
      <c r="S503" s="5">
        <v>1</v>
      </c>
      <c r="T5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табеле]])*S503,0)</f>
        <v>0</v>
      </c>
      <c r="U503" s="5">
        <f>IF(Таблица1[[#This Row],[ТТН]]&gt;0,Таблица1[[#This Row],[Ставка за ТТН]]*Таблица1[[#This Row],[ТТН]],0)</f>
        <v>0</v>
      </c>
    </row>
    <row r="504" spans="1:21" x14ac:dyDescent="0.25">
      <c r="A504" t="s">
        <v>84</v>
      </c>
      <c r="B504" s="24">
        <v>1</v>
      </c>
      <c r="C504" t="s">
        <v>115</v>
      </c>
      <c r="D504" t="s">
        <v>32</v>
      </c>
      <c r="E504" t="s">
        <v>214</v>
      </c>
      <c r="F504" t="s">
        <v>31</v>
      </c>
      <c r="H504" t="s">
        <v>10</v>
      </c>
      <c r="I504" t="s">
        <v>221</v>
      </c>
      <c r="J504">
        <v>11</v>
      </c>
      <c r="L504">
        <v>11</v>
      </c>
      <c r="N504">
        <f>Таблица1[[#This Row],[Часов на заказчика  в работе]]+Таблица1[[#This Row],[Часов на заказчика  дежурство]]</f>
        <v>11</v>
      </c>
      <c r="O5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4" s="9">
        <v>160000</v>
      </c>
      <c r="R504" s="9"/>
      <c r="S504" s="5">
        <v>1</v>
      </c>
      <c r="T5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табеле]])*S504,0)</f>
        <v>5333.3333333333339</v>
      </c>
      <c r="U504" s="5">
        <f>IF(Таблица1[[#This Row],[ТТН]]&gt;0,Таблица1[[#This Row],[Ставка за ТТН]]*Таблица1[[#This Row],[ТТН]],0)</f>
        <v>0</v>
      </c>
    </row>
    <row r="505" spans="1:21" x14ac:dyDescent="0.25">
      <c r="A505" t="s">
        <v>84</v>
      </c>
      <c r="B505" s="24">
        <v>2</v>
      </c>
      <c r="C505" t="s">
        <v>115</v>
      </c>
      <c r="D505" t="s">
        <v>32</v>
      </c>
      <c r="E505" t="s">
        <v>214</v>
      </c>
      <c r="F505" t="s">
        <v>31</v>
      </c>
      <c r="H505" t="s">
        <v>10</v>
      </c>
      <c r="I505" t="s">
        <v>221</v>
      </c>
      <c r="J505">
        <v>11</v>
      </c>
      <c r="L505">
        <v>11</v>
      </c>
      <c r="N505">
        <f>Таблица1[[#This Row],[Часов на заказчика  в работе]]+Таблица1[[#This Row],[Часов на заказчика  дежурство]]</f>
        <v>11</v>
      </c>
      <c r="O5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5" s="9">
        <v>160000</v>
      </c>
      <c r="R505" s="9"/>
      <c r="S505" s="5">
        <v>1</v>
      </c>
      <c r="T5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табеле]])*S505,0)</f>
        <v>5333.3333333333339</v>
      </c>
      <c r="U505" s="5">
        <f>IF(Таблица1[[#This Row],[ТТН]]&gt;0,Таблица1[[#This Row],[Ставка за ТТН]]*Таблица1[[#This Row],[ТТН]],0)</f>
        <v>0</v>
      </c>
    </row>
    <row r="506" spans="1:21" x14ac:dyDescent="0.25">
      <c r="A506" t="s">
        <v>84</v>
      </c>
      <c r="B506" s="24">
        <v>3</v>
      </c>
      <c r="C506" t="s">
        <v>115</v>
      </c>
      <c r="D506" t="s">
        <v>32</v>
      </c>
      <c r="E506" t="s">
        <v>214</v>
      </c>
      <c r="F506" t="s">
        <v>31</v>
      </c>
      <c r="H506" t="s">
        <v>10</v>
      </c>
      <c r="I506" t="s">
        <v>221</v>
      </c>
      <c r="J506">
        <v>11</v>
      </c>
      <c r="L506">
        <v>11</v>
      </c>
      <c r="N506">
        <f>Таблица1[[#This Row],[Часов на заказчика  в работе]]+Таблица1[[#This Row],[Часов на заказчика  дежурство]]</f>
        <v>11</v>
      </c>
      <c r="O5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6" s="9">
        <v>160000</v>
      </c>
      <c r="R506" s="9"/>
      <c r="S506" s="5">
        <v>1</v>
      </c>
      <c r="T5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табеле]])*S506,0)</f>
        <v>5333.3333333333339</v>
      </c>
      <c r="U506" s="5">
        <f>IF(Таблица1[[#This Row],[ТТН]]&gt;0,Таблица1[[#This Row],[Ставка за ТТН]]*Таблица1[[#This Row],[ТТН]],0)</f>
        <v>0</v>
      </c>
    </row>
    <row r="507" spans="1:21" x14ac:dyDescent="0.25">
      <c r="A507" t="s">
        <v>84</v>
      </c>
      <c r="B507" s="24">
        <v>4</v>
      </c>
      <c r="C507" t="s">
        <v>115</v>
      </c>
      <c r="D507" t="s">
        <v>32</v>
      </c>
      <c r="E507" t="s">
        <v>214</v>
      </c>
      <c r="F507" t="s">
        <v>31</v>
      </c>
      <c r="H507" t="s">
        <v>10</v>
      </c>
      <c r="I507" t="s">
        <v>221</v>
      </c>
      <c r="J507">
        <v>11</v>
      </c>
      <c r="L507">
        <v>11</v>
      </c>
      <c r="N507">
        <f>Таблица1[[#This Row],[Часов на заказчика  в работе]]+Таблица1[[#This Row],[Часов на заказчика  дежурство]]</f>
        <v>11</v>
      </c>
      <c r="O5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7" s="9">
        <v>160000</v>
      </c>
      <c r="R507" s="9"/>
      <c r="S507" s="5">
        <v>1</v>
      </c>
      <c r="T5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табеле]])*S507,0)</f>
        <v>5333.3333333333339</v>
      </c>
      <c r="U507" s="5">
        <f>IF(Таблица1[[#This Row],[ТТН]]&gt;0,Таблица1[[#This Row],[Ставка за ТТН]]*Таблица1[[#This Row],[ТТН]],0)</f>
        <v>0</v>
      </c>
    </row>
    <row r="508" spans="1:21" x14ac:dyDescent="0.25">
      <c r="A508" t="s">
        <v>84</v>
      </c>
      <c r="B508" s="24">
        <v>5</v>
      </c>
      <c r="C508" t="s">
        <v>115</v>
      </c>
      <c r="D508" t="s">
        <v>32</v>
      </c>
      <c r="E508" t="s">
        <v>214</v>
      </c>
      <c r="F508" t="s">
        <v>31</v>
      </c>
      <c r="H508" t="s">
        <v>10</v>
      </c>
      <c r="I508" t="s">
        <v>221</v>
      </c>
      <c r="J508">
        <v>11</v>
      </c>
      <c r="L508">
        <v>11</v>
      </c>
      <c r="N508">
        <f>Таблица1[[#This Row],[Часов на заказчика  в работе]]+Таблица1[[#This Row],[Часов на заказчика  дежурство]]</f>
        <v>11</v>
      </c>
      <c r="O5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8" s="9">
        <v>160000</v>
      </c>
      <c r="R508" s="9"/>
      <c r="S508" s="5">
        <v>1</v>
      </c>
      <c r="T5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табеле]])*S508,0)</f>
        <v>5333.3333333333339</v>
      </c>
      <c r="U508" s="5">
        <f>IF(Таблица1[[#This Row],[ТТН]]&gt;0,Таблица1[[#This Row],[Ставка за ТТН]]*Таблица1[[#This Row],[ТТН]],0)</f>
        <v>0</v>
      </c>
    </row>
    <row r="509" spans="1:21" x14ac:dyDescent="0.25">
      <c r="A509" t="s">
        <v>84</v>
      </c>
      <c r="B509" s="24">
        <v>6</v>
      </c>
      <c r="C509" t="s">
        <v>115</v>
      </c>
      <c r="D509" t="s">
        <v>32</v>
      </c>
      <c r="E509" t="s">
        <v>214</v>
      </c>
      <c r="F509" t="s">
        <v>31</v>
      </c>
      <c r="H509" t="s">
        <v>10</v>
      </c>
      <c r="I509" t="s">
        <v>221</v>
      </c>
      <c r="J509">
        <v>11</v>
      </c>
      <c r="L509">
        <v>11</v>
      </c>
      <c r="N509">
        <f>Таблица1[[#This Row],[Часов на заказчика  в работе]]+Таблица1[[#This Row],[Часов на заказчика  дежурство]]</f>
        <v>11</v>
      </c>
      <c r="O5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09" s="9">
        <v>160000</v>
      </c>
      <c r="R509" s="9"/>
      <c r="S509" s="5">
        <v>1</v>
      </c>
      <c r="T5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табеле]])*S509,0)</f>
        <v>5333.3333333333339</v>
      </c>
      <c r="U509" s="5">
        <f>IF(Таблица1[[#This Row],[ТТН]]&gt;0,Таблица1[[#This Row],[Ставка за ТТН]]*Таблица1[[#This Row],[ТТН]],0)</f>
        <v>0</v>
      </c>
    </row>
    <row r="510" spans="1:21" x14ac:dyDescent="0.25">
      <c r="A510" t="s">
        <v>84</v>
      </c>
      <c r="B510" s="24">
        <v>7</v>
      </c>
      <c r="C510" t="s">
        <v>115</v>
      </c>
      <c r="D510" t="s">
        <v>32</v>
      </c>
      <c r="E510" t="s">
        <v>214</v>
      </c>
      <c r="F510" t="s">
        <v>31</v>
      </c>
      <c r="H510" t="s">
        <v>10</v>
      </c>
      <c r="I510" t="s">
        <v>221</v>
      </c>
      <c r="J510">
        <v>11</v>
      </c>
      <c r="L510">
        <v>11</v>
      </c>
      <c r="N510">
        <f>Таблица1[[#This Row],[Часов на заказчика  в работе]]+Таблица1[[#This Row],[Часов на заказчика  дежурство]]</f>
        <v>11</v>
      </c>
      <c r="O5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0" s="9">
        <v>160000</v>
      </c>
      <c r="R510" s="9"/>
      <c r="S510" s="5">
        <v>1</v>
      </c>
      <c r="T5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табеле]])*S510,0)</f>
        <v>5333.3333333333339</v>
      </c>
      <c r="U510" s="5">
        <f>IF(Таблица1[[#This Row],[ТТН]]&gt;0,Таблица1[[#This Row],[Ставка за ТТН]]*Таблица1[[#This Row],[ТТН]],0)</f>
        <v>0</v>
      </c>
    </row>
    <row r="511" spans="1:21" x14ac:dyDescent="0.25">
      <c r="A511" t="s">
        <v>84</v>
      </c>
      <c r="B511" s="24">
        <v>8</v>
      </c>
      <c r="C511" t="s">
        <v>115</v>
      </c>
      <c r="D511" t="s">
        <v>32</v>
      </c>
      <c r="E511" t="s">
        <v>214</v>
      </c>
      <c r="F511" t="s">
        <v>31</v>
      </c>
      <c r="H511" t="s">
        <v>10</v>
      </c>
      <c r="I511" t="s">
        <v>221</v>
      </c>
      <c r="J511">
        <v>11</v>
      </c>
      <c r="L511">
        <v>11</v>
      </c>
      <c r="N511">
        <f>Таблица1[[#This Row],[Часов на заказчика  в работе]]+Таблица1[[#This Row],[Часов на заказчика  дежурство]]</f>
        <v>11</v>
      </c>
      <c r="O5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1" s="9">
        <v>160000</v>
      </c>
      <c r="R511" s="9"/>
      <c r="S511" s="5">
        <v>1</v>
      </c>
      <c r="T5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табеле]])*S511,0)</f>
        <v>5333.3333333333339</v>
      </c>
      <c r="U511" s="5">
        <f>IF(Таблица1[[#This Row],[ТТН]]&gt;0,Таблица1[[#This Row],[Ставка за ТТН]]*Таблица1[[#This Row],[ТТН]],0)</f>
        <v>0</v>
      </c>
    </row>
    <row r="512" spans="1:21" x14ac:dyDescent="0.25">
      <c r="A512" t="s">
        <v>84</v>
      </c>
      <c r="B512" s="24">
        <v>9</v>
      </c>
      <c r="C512" t="s">
        <v>115</v>
      </c>
      <c r="D512" t="s">
        <v>32</v>
      </c>
      <c r="E512" t="s">
        <v>214</v>
      </c>
      <c r="F512" t="s">
        <v>31</v>
      </c>
      <c r="H512" t="s">
        <v>10</v>
      </c>
      <c r="I512" t="s">
        <v>221</v>
      </c>
      <c r="J512">
        <v>11</v>
      </c>
      <c r="L512">
        <v>11</v>
      </c>
      <c r="N512">
        <f>Таблица1[[#This Row],[Часов на заказчика  в работе]]+Таблица1[[#This Row],[Часов на заказчика  дежурство]]</f>
        <v>11</v>
      </c>
      <c r="O5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2" s="9">
        <v>160000</v>
      </c>
      <c r="R512" s="9"/>
      <c r="S512" s="5">
        <v>1</v>
      </c>
      <c r="T5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табеле]])*S512,0)</f>
        <v>5333.3333333333339</v>
      </c>
      <c r="U512" s="5">
        <f>IF(Таблица1[[#This Row],[ТТН]]&gt;0,Таблица1[[#This Row],[Ставка за ТТН]]*Таблица1[[#This Row],[ТТН]],0)</f>
        <v>0</v>
      </c>
    </row>
    <row r="513" spans="1:21" x14ac:dyDescent="0.25">
      <c r="A513" t="s">
        <v>84</v>
      </c>
      <c r="B513" s="24">
        <v>10</v>
      </c>
      <c r="C513" t="s">
        <v>115</v>
      </c>
      <c r="D513" t="s">
        <v>32</v>
      </c>
      <c r="E513" t="s">
        <v>214</v>
      </c>
      <c r="F513" t="s">
        <v>31</v>
      </c>
      <c r="H513" t="s">
        <v>10</v>
      </c>
      <c r="I513" t="s">
        <v>221</v>
      </c>
      <c r="J513">
        <v>11</v>
      </c>
      <c r="L513">
        <v>11</v>
      </c>
      <c r="N513">
        <f>Таблица1[[#This Row],[Часов на заказчика  в работе]]+Таблица1[[#This Row],[Часов на заказчика  дежурство]]</f>
        <v>11</v>
      </c>
      <c r="O5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3" s="9">
        <v>160000</v>
      </c>
      <c r="R513" s="9"/>
      <c r="S513" s="5">
        <v>1</v>
      </c>
      <c r="T5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табеле]])*S513,0)</f>
        <v>5333.3333333333339</v>
      </c>
      <c r="U513" s="5">
        <f>IF(Таблица1[[#This Row],[ТТН]]&gt;0,Таблица1[[#This Row],[Ставка за ТТН]]*Таблица1[[#This Row],[ТТН]],0)</f>
        <v>0</v>
      </c>
    </row>
    <row r="514" spans="1:21" x14ac:dyDescent="0.25">
      <c r="A514" t="s">
        <v>84</v>
      </c>
      <c r="B514" s="24">
        <v>11</v>
      </c>
      <c r="C514" t="s">
        <v>115</v>
      </c>
      <c r="D514" t="s">
        <v>32</v>
      </c>
      <c r="E514" t="s">
        <v>214</v>
      </c>
      <c r="F514" t="s">
        <v>31</v>
      </c>
      <c r="H514" t="s">
        <v>10</v>
      </c>
      <c r="I514" t="s">
        <v>221</v>
      </c>
      <c r="J514">
        <v>11</v>
      </c>
      <c r="L514">
        <v>11</v>
      </c>
      <c r="N514">
        <f>Таблица1[[#This Row],[Часов на заказчика  в работе]]+Таблица1[[#This Row],[Часов на заказчика  дежурство]]</f>
        <v>11</v>
      </c>
      <c r="O5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4" s="9">
        <v>160000</v>
      </c>
      <c r="R514" s="9"/>
      <c r="S514" s="5">
        <v>1</v>
      </c>
      <c r="T5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табеле]])*S514,0)</f>
        <v>5333.3333333333339</v>
      </c>
      <c r="U514" s="5">
        <f>IF(Таблица1[[#This Row],[ТТН]]&gt;0,Таблица1[[#This Row],[Ставка за ТТН]]*Таблица1[[#This Row],[ТТН]],0)</f>
        <v>0</v>
      </c>
    </row>
    <row r="515" spans="1:21" x14ac:dyDescent="0.25">
      <c r="A515" t="s">
        <v>84</v>
      </c>
      <c r="B515" s="24">
        <v>12</v>
      </c>
      <c r="C515" t="s">
        <v>115</v>
      </c>
      <c r="D515" t="s">
        <v>32</v>
      </c>
      <c r="E515" t="s">
        <v>214</v>
      </c>
      <c r="F515" t="s">
        <v>31</v>
      </c>
      <c r="H515" t="s">
        <v>10</v>
      </c>
      <c r="I515" t="s">
        <v>221</v>
      </c>
      <c r="J515">
        <v>11</v>
      </c>
      <c r="L515">
        <v>11</v>
      </c>
      <c r="N515">
        <f>Таблица1[[#This Row],[Часов на заказчика  в работе]]+Таблица1[[#This Row],[Часов на заказчика  дежурство]]</f>
        <v>11</v>
      </c>
      <c r="O5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5" s="9">
        <v>160000</v>
      </c>
      <c r="R515" s="9"/>
      <c r="S515" s="5">
        <v>1</v>
      </c>
      <c r="T5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табеле]])*S515,0)</f>
        <v>5333.3333333333339</v>
      </c>
      <c r="U515" s="5">
        <f>IF(Таблица1[[#This Row],[ТТН]]&gt;0,Таблица1[[#This Row],[Ставка за ТТН]]*Таблица1[[#This Row],[ТТН]],0)</f>
        <v>0</v>
      </c>
    </row>
    <row r="516" spans="1:21" x14ac:dyDescent="0.25">
      <c r="A516" t="s">
        <v>84</v>
      </c>
      <c r="B516" s="24">
        <v>13</v>
      </c>
      <c r="C516" t="s">
        <v>115</v>
      </c>
      <c r="D516" t="s">
        <v>32</v>
      </c>
      <c r="E516" t="s">
        <v>214</v>
      </c>
      <c r="F516" t="s">
        <v>31</v>
      </c>
      <c r="H516" t="s">
        <v>10</v>
      </c>
      <c r="I516" t="s">
        <v>221</v>
      </c>
      <c r="J516">
        <v>11</v>
      </c>
      <c r="L516">
        <v>11</v>
      </c>
      <c r="N516">
        <f>Таблица1[[#This Row],[Часов на заказчика  в работе]]+Таблица1[[#This Row],[Часов на заказчика  дежурство]]</f>
        <v>11</v>
      </c>
      <c r="O5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6" s="9">
        <v>160000</v>
      </c>
      <c r="R516" s="9"/>
      <c r="S516" s="5">
        <v>1</v>
      </c>
      <c r="T5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табеле]])*S516,0)</f>
        <v>5333.3333333333339</v>
      </c>
      <c r="U516" s="5">
        <f>IF(Таблица1[[#This Row],[ТТН]]&gt;0,Таблица1[[#This Row],[Ставка за ТТН]]*Таблица1[[#This Row],[ТТН]],0)</f>
        <v>0</v>
      </c>
    </row>
    <row r="517" spans="1:21" x14ac:dyDescent="0.25">
      <c r="A517" t="s">
        <v>84</v>
      </c>
      <c r="B517" s="24">
        <v>14</v>
      </c>
      <c r="C517" t="s">
        <v>115</v>
      </c>
      <c r="D517" t="s">
        <v>32</v>
      </c>
      <c r="E517" t="s">
        <v>214</v>
      </c>
      <c r="F517" t="s">
        <v>31</v>
      </c>
      <c r="H517" t="s">
        <v>10</v>
      </c>
      <c r="I517" t="s">
        <v>221</v>
      </c>
      <c r="J517">
        <v>11</v>
      </c>
      <c r="L517">
        <v>11</v>
      </c>
      <c r="N517">
        <f>Таблица1[[#This Row],[Часов на заказчика  в работе]]+Таблица1[[#This Row],[Часов на заказчика  дежурство]]</f>
        <v>11</v>
      </c>
      <c r="O5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7" s="9">
        <v>160000</v>
      </c>
      <c r="R517" s="9"/>
      <c r="S517" s="5">
        <v>1</v>
      </c>
      <c r="T5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табеле]])*S517,0)</f>
        <v>5333.3333333333339</v>
      </c>
      <c r="U517" s="5">
        <f>IF(Таблица1[[#This Row],[ТТН]]&gt;0,Таблица1[[#This Row],[Ставка за ТТН]]*Таблица1[[#This Row],[ТТН]],0)</f>
        <v>0</v>
      </c>
    </row>
    <row r="518" spans="1:21" x14ac:dyDescent="0.25">
      <c r="A518" t="s">
        <v>84</v>
      </c>
      <c r="B518" s="24">
        <v>15</v>
      </c>
      <c r="C518" t="s">
        <v>115</v>
      </c>
      <c r="D518" t="s">
        <v>32</v>
      </c>
      <c r="E518" t="s">
        <v>214</v>
      </c>
      <c r="F518" t="s">
        <v>31</v>
      </c>
      <c r="H518" t="s">
        <v>10</v>
      </c>
      <c r="I518" t="s">
        <v>221</v>
      </c>
      <c r="J518">
        <v>11</v>
      </c>
      <c r="L518">
        <v>11</v>
      </c>
      <c r="N518">
        <f>Таблица1[[#This Row],[Часов на заказчика  в работе]]+Таблица1[[#This Row],[Часов на заказчика  дежурство]]</f>
        <v>11</v>
      </c>
      <c r="O5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8" s="9">
        <v>160000</v>
      </c>
      <c r="R518" s="9"/>
      <c r="S518" s="5">
        <v>1</v>
      </c>
      <c r="T5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табеле]])*S518,0)</f>
        <v>5333.3333333333339</v>
      </c>
      <c r="U518" s="5">
        <f>IF(Таблица1[[#This Row],[ТТН]]&gt;0,Таблица1[[#This Row],[Ставка за ТТН]]*Таблица1[[#This Row],[ТТН]],0)</f>
        <v>0</v>
      </c>
    </row>
    <row r="519" spans="1:21" x14ac:dyDescent="0.25">
      <c r="A519" t="s">
        <v>84</v>
      </c>
      <c r="B519" s="24">
        <v>16</v>
      </c>
      <c r="C519" t="s">
        <v>115</v>
      </c>
      <c r="D519" t="s">
        <v>32</v>
      </c>
      <c r="E519" t="s">
        <v>214</v>
      </c>
      <c r="F519" t="s">
        <v>31</v>
      </c>
      <c r="H519" t="s">
        <v>10</v>
      </c>
      <c r="I519" t="s">
        <v>221</v>
      </c>
      <c r="J519">
        <v>11</v>
      </c>
      <c r="L519">
        <v>11</v>
      </c>
      <c r="N519">
        <f>Таблица1[[#This Row],[Часов на заказчика  в работе]]+Таблица1[[#This Row],[Часов на заказчика  дежурство]]</f>
        <v>11</v>
      </c>
      <c r="O5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19" s="9">
        <v>160000</v>
      </c>
      <c r="R519" s="9"/>
      <c r="S519" s="5">
        <v>1</v>
      </c>
      <c r="T5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табеле]])*S519,0)</f>
        <v>5333.3333333333339</v>
      </c>
      <c r="U519" s="5">
        <f>IF(Таблица1[[#This Row],[ТТН]]&gt;0,Таблица1[[#This Row],[Ставка за ТТН]]*Таблица1[[#This Row],[ТТН]],0)</f>
        <v>0</v>
      </c>
    </row>
    <row r="520" spans="1:21" x14ac:dyDescent="0.25">
      <c r="A520" t="s">
        <v>84</v>
      </c>
      <c r="B520" s="24">
        <v>17</v>
      </c>
      <c r="C520" t="s">
        <v>115</v>
      </c>
      <c r="D520" t="s">
        <v>32</v>
      </c>
      <c r="E520" t="s">
        <v>214</v>
      </c>
      <c r="F520" t="s">
        <v>31</v>
      </c>
      <c r="H520" t="s">
        <v>10</v>
      </c>
      <c r="I520" t="s">
        <v>221</v>
      </c>
      <c r="J520">
        <v>11</v>
      </c>
      <c r="L520">
        <v>11</v>
      </c>
      <c r="N520">
        <f>Таблица1[[#This Row],[Часов на заказчика  в работе]]+Таблица1[[#This Row],[Часов на заказчика  дежурство]]</f>
        <v>11</v>
      </c>
      <c r="O5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0" s="9">
        <v>160000</v>
      </c>
      <c r="R520" s="9"/>
      <c r="S520" s="5">
        <v>1</v>
      </c>
      <c r="T5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табеле]])*S520,0)</f>
        <v>5333.3333333333339</v>
      </c>
      <c r="U520" s="5">
        <f>IF(Таблица1[[#This Row],[ТТН]]&gt;0,Таблица1[[#This Row],[Ставка за ТТН]]*Таблица1[[#This Row],[ТТН]],0)</f>
        <v>0</v>
      </c>
    </row>
    <row r="521" spans="1:21" x14ac:dyDescent="0.25">
      <c r="A521" t="s">
        <v>84</v>
      </c>
      <c r="B521" s="24">
        <v>18</v>
      </c>
      <c r="C521" t="s">
        <v>115</v>
      </c>
      <c r="D521" t="s">
        <v>32</v>
      </c>
      <c r="E521" t="s">
        <v>214</v>
      </c>
      <c r="F521" t="s">
        <v>31</v>
      </c>
      <c r="H521" t="s">
        <v>10</v>
      </c>
      <c r="I521" t="s">
        <v>221</v>
      </c>
      <c r="J521">
        <v>11</v>
      </c>
      <c r="L521">
        <v>11</v>
      </c>
      <c r="N521">
        <f>Таблица1[[#This Row],[Часов на заказчика  в работе]]+Таблица1[[#This Row],[Часов на заказчика  дежурство]]</f>
        <v>11</v>
      </c>
      <c r="O5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1" s="9">
        <v>160000</v>
      </c>
      <c r="R521" s="9"/>
      <c r="S521" s="5">
        <v>1</v>
      </c>
      <c r="T5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табеле]])*S521,0)</f>
        <v>5333.3333333333339</v>
      </c>
      <c r="U521" s="5">
        <f>IF(Таблица1[[#This Row],[ТТН]]&gt;0,Таблица1[[#This Row],[Ставка за ТТН]]*Таблица1[[#This Row],[ТТН]],0)</f>
        <v>0</v>
      </c>
    </row>
    <row r="522" spans="1:21" x14ac:dyDescent="0.25">
      <c r="A522" t="s">
        <v>84</v>
      </c>
      <c r="B522" s="24">
        <v>19</v>
      </c>
      <c r="C522" t="s">
        <v>115</v>
      </c>
      <c r="D522" t="s">
        <v>32</v>
      </c>
      <c r="E522" t="s">
        <v>214</v>
      </c>
      <c r="F522" t="s">
        <v>31</v>
      </c>
      <c r="H522" t="s">
        <v>10</v>
      </c>
      <c r="I522" t="s">
        <v>221</v>
      </c>
      <c r="J522">
        <v>11</v>
      </c>
      <c r="L522">
        <v>11</v>
      </c>
      <c r="N522">
        <f>Таблица1[[#This Row],[Часов на заказчика  в работе]]+Таблица1[[#This Row],[Часов на заказчика  дежурство]]</f>
        <v>11</v>
      </c>
      <c r="O5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2" s="9">
        <v>160000</v>
      </c>
      <c r="R522" s="9"/>
      <c r="S522" s="5">
        <v>1</v>
      </c>
      <c r="T5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табеле]])*S522,0)</f>
        <v>5333.3333333333339</v>
      </c>
      <c r="U522" s="5">
        <f>IF(Таблица1[[#This Row],[ТТН]]&gt;0,Таблица1[[#This Row],[Ставка за ТТН]]*Таблица1[[#This Row],[ТТН]],0)</f>
        <v>0</v>
      </c>
    </row>
    <row r="523" spans="1:21" x14ac:dyDescent="0.25">
      <c r="A523" t="s">
        <v>84</v>
      </c>
      <c r="B523" s="24">
        <v>20</v>
      </c>
      <c r="C523" t="s">
        <v>115</v>
      </c>
      <c r="D523" t="s">
        <v>32</v>
      </c>
      <c r="E523" t="s">
        <v>214</v>
      </c>
      <c r="F523" t="s">
        <v>31</v>
      </c>
      <c r="H523" t="s">
        <v>10</v>
      </c>
      <c r="I523" t="s">
        <v>221</v>
      </c>
      <c r="J523">
        <v>11</v>
      </c>
      <c r="L523">
        <v>11</v>
      </c>
      <c r="N523">
        <f>Таблица1[[#This Row],[Часов на заказчика  в работе]]+Таблица1[[#This Row],[Часов на заказчика  дежурство]]</f>
        <v>11</v>
      </c>
      <c r="O5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3" s="9">
        <v>160000</v>
      </c>
      <c r="R523" s="9"/>
      <c r="S523" s="5">
        <v>1</v>
      </c>
      <c r="T5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табеле]])*S523,0)</f>
        <v>5333.3333333333339</v>
      </c>
      <c r="U523" s="5">
        <f>IF(Таблица1[[#This Row],[ТТН]]&gt;0,Таблица1[[#This Row],[Ставка за ТТН]]*Таблица1[[#This Row],[ТТН]],0)</f>
        <v>0</v>
      </c>
    </row>
    <row r="524" spans="1:21" x14ac:dyDescent="0.25">
      <c r="A524" t="s">
        <v>84</v>
      </c>
      <c r="B524" s="24">
        <v>21</v>
      </c>
      <c r="C524" t="s">
        <v>115</v>
      </c>
      <c r="D524" t="s">
        <v>32</v>
      </c>
      <c r="E524" t="s">
        <v>214</v>
      </c>
      <c r="F524" t="s">
        <v>31</v>
      </c>
      <c r="H524" t="s">
        <v>10</v>
      </c>
      <c r="I524" t="s">
        <v>221</v>
      </c>
      <c r="J524">
        <v>11</v>
      </c>
      <c r="L524">
        <v>11</v>
      </c>
      <c r="N524">
        <f>Таблица1[[#This Row],[Часов на заказчика  в работе]]+Таблица1[[#This Row],[Часов на заказчика  дежурство]]</f>
        <v>11</v>
      </c>
      <c r="O5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4" s="9">
        <v>160000</v>
      </c>
      <c r="R524" s="9"/>
      <c r="S524" s="5">
        <v>1</v>
      </c>
      <c r="T5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табеле]])*S524,0)</f>
        <v>5333.3333333333339</v>
      </c>
      <c r="U524" s="5">
        <f>IF(Таблица1[[#This Row],[ТТН]]&gt;0,Таблица1[[#This Row],[Ставка за ТТН]]*Таблица1[[#This Row],[ТТН]],0)</f>
        <v>0</v>
      </c>
    </row>
    <row r="525" spans="1:21" x14ac:dyDescent="0.25">
      <c r="A525" t="s">
        <v>84</v>
      </c>
      <c r="B525" s="24">
        <v>22</v>
      </c>
      <c r="C525" t="s">
        <v>115</v>
      </c>
      <c r="D525" t="s">
        <v>32</v>
      </c>
      <c r="E525" t="s">
        <v>214</v>
      </c>
      <c r="F525" t="s">
        <v>31</v>
      </c>
      <c r="H525" t="s">
        <v>10</v>
      </c>
      <c r="I525" t="s">
        <v>221</v>
      </c>
      <c r="J525">
        <v>11</v>
      </c>
      <c r="L525">
        <v>11</v>
      </c>
      <c r="N525">
        <f>Таблица1[[#This Row],[Часов на заказчика  в работе]]+Таблица1[[#This Row],[Часов на заказчика  дежурство]]</f>
        <v>11</v>
      </c>
      <c r="O5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5" s="9">
        <v>160000</v>
      </c>
      <c r="R525" s="9"/>
      <c r="S525" s="5">
        <v>1</v>
      </c>
      <c r="T5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табеле]])*S525,0)</f>
        <v>5333.3333333333339</v>
      </c>
      <c r="U525" s="5">
        <f>IF(Таблица1[[#This Row],[ТТН]]&gt;0,Таблица1[[#This Row],[Ставка за ТТН]]*Таблица1[[#This Row],[ТТН]],0)</f>
        <v>0</v>
      </c>
    </row>
    <row r="526" spans="1:21" x14ac:dyDescent="0.25">
      <c r="A526" t="s">
        <v>84</v>
      </c>
      <c r="B526" s="24">
        <v>23</v>
      </c>
      <c r="C526" t="s">
        <v>115</v>
      </c>
      <c r="D526" t="s">
        <v>32</v>
      </c>
      <c r="E526" t="s">
        <v>214</v>
      </c>
      <c r="F526" t="s">
        <v>31</v>
      </c>
      <c r="H526" t="s">
        <v>10</v>
      </c>
      <c r="I526" t="s">
        <v>221</v>
      </c>
      <c r="J526">
        <v>11</v>
      </c>
      <c r="L526">
        <v>11</v>
      </c>
      <c r="N526">
        <f>Таблица1[[#This Row],[Часов на заказчика  в работе]]+Таблица1[[#This Row],[Часов на заказчика  дежурство]]</f>
        <v>11</v>
      </c>
      <c r="O5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6" s="9">
        <v>160000</v>
      </c>
      <c r="R526" s="9"/>
      <c r="S526" s="5">
        <v>1</v>
      </c>
      <c r="T5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табеле]])*S526,0)</f>
        <v>5333.3333333333339</v>
      </c>
      <c r="U526" s="5">
        <f>IF(Таблица1[[#This Row],[ТТН]]&gt;0,Таблица1[[#This Row],[Ставка за ТТН]]*Таблица1[[#This Row],[ТТН]],0)</f>
        <v>0</v>
      </c>
    </row>
    <row r="527" spans="1:21" x14ac:dyDescent="0.25">
      <c r="A527" t="s">
        <v>84</v>
      </c>
      <c r="B527" s="24">
        <v>24</v>
      </c>
      <c r="C527" t="s">
        <v>115</v>
      </c>
      <c r="D527" t="s">
        <v>32</v>
      </c>
      <c r="E527" t="s">
        <v>214</v>
      </c>
      <c r="F527" t="s">
        <v>31</v>
      </c>
      <c r="H527" t="s">
        <v>10</v>
      </c>
      <c r="I527" t="s">
        <v>221</v>
      </c>
      <c r="J527">
        <v>11</v>
      </c>
      <c r="L527">
        <v>11</v>
      </c>
      <c r="N527">
        <f>Таблица1[[#This Row],[Часов на заказчика  в работе]]+Таблица1[[#This Row],[Часов на заказчика  дежурство]]</f>
        <v>11</v>
      </c>
      <c r="O5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7" s="9">
        <v>160000</v>
      </c>
      <c r="R527" s="9"/>
      <c r="S527" s="5">
        <v>1</v>
      </c>
      <c r="T5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табеле]])*S527,0)</f>
        <v>5333.3333333333339</v>
      </c>
      <c r="U527" s="5">
        <f>IF(Таблица1[[#This Row],[ТТН]]&gt;0,Таблица1[[#This Row],[Ставка за ТТН]]*Таблица1[[#This Row],[ТТН]],0)</f>
        <v>0</v>
      </c>
    </row>
    <row r="528" spans="1:21" x14ac:dyDescent="0.25">
      <c r="A528" t="s">
        <v>84</v>
      </c>
      <c r="B528" s="24">
        <v>25</v>
      </c>
      <c r="C528" t="s">
        <v>115</v>
      </c>
      <c r="D528" t="s">
        <v>32</v>
      </c>
      <c r="E528" t="s">
        <v>214</v>
      </c>
      <c r="F528" t="s">
        <v>31</v>
      </c>
      <c r="H528" t="s">
        <v>10</v>
      </c>
      <c r="I528" t="s">
        <v>221</v>
      </c>
      <c r="J528">
        <v>11</v>
      </c>
      <c r="L528">
        <v>11</v>
      </c>
      <c r="N528">
        <f>Таблица1[[#This Row],[Часов на заказчика  в работе]]+Таблица1[[#This Row],[Часов на заказчика  дежурство]]</f>
        <v>11</v>
      </c>
      <c r="O5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8" s="9">
        <v>160000</v>
      </c>
      <c r="R528" s="9"/>
      <c r="S528" s="5">
        <v>1</v>
      </c>
      <c r="T5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табеле]])*S528,0)</f>
        <v>5333.3333333333339</v>
      </c>
      <c r="U528" s="5">
        <f>IF(Таблица1[[#This Row],[ТТН]]&gt;0,Таблица1[[#This Row],[Ставка за ТТН]]*Таблица1[[#This Row],[ТТН]],0)</f>
        <v>0</v>
      </c>
    </row>
    <row r="529" spans="1:21" x14ac:dyDescent="0.25">
      <c r="A529" t="s">
        <v>84</v>
      </c>
      <c r="B529" s="24">
        <v>26</v>
      </c>
      <c r="C529" t="s">
        <v>115</v>
      </c>
      <c r="D529" t="s">
        <v>32</v>
      </c>
      <c r="E529" t="s">
        <v>214</v>
      </c>
      <c r="F529" t="s">
        <v>31</v>
      </c>
      <c r="H529" t="s">
        <v>10</v>
      </c>
      <c r="I529" t="s">
        <v>221</v>
      </c>
      <c r="J529">
        <v>11</v>
      </c>
      <c r="L529">
        <v>11</v>
      </c>
      <c r="N529">
        <f>Таблица1[[#This Row],[Часов на заказчика  в работе]]+Таблица1[[#This Row],[Часов на заказчика  дежурство]]</f>
        <v>11</v>
      </c>
      <c r="O5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29" s="9">
        <v>160000</v>
      </c>
      <c r="R529" s="9"/>
      <c r="S529" s="5">
        <v>1</v>
      </c>
      <c r="T5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табеле]])*S529,0)</f>
        <v>5333.3333333333339</v>
      </c>
      <c r="U529" s="5">
        <f>IF(Таблица1[[#This Row],[ТТН]]&gt;0,Таблица1[[#This Row],[Ставка за ТТН]]*Таблица1[[#This Row],[ТТН]],0)</f>
        <v>0</v>
      </c>
    </row>
    <row r="530" spans="1:21" x14ac:dyDescent="0.25">
      <c r="A530" t="s">
        <v>84</v>
      </c>
      <c r="B530" s="24">
        <v>27</v>
      </c>
      <c r="C530" t="s">
        <v>115</v>
      </c>
      <c r="D530" t="s">
        <v>32</v>
      </c>
      <c r="E530" t="s">
        <v>214</v>
      </c>
      <c r="F530" t="s">
        <v>31</v>
      </c>
      <c r="H530" t="s">
        <v>10</v>
      </c>
      <c r="I530" t="s">
        <v>221</v>
      </c>
      <c r="J530">
        <v>11</v>
      </c>
      <c r="L530">
        <v>11</v>
      </c>
      <c r="N530">
        <f>Таблица1[[#This Row],[Часов на заказчика  в работе]]+Таблица1[[#This Row],[Часов на заказчика  дежурство]]</f>
        <v>11</v>
      </c>
      <c r="O5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0" s="9">
        <v>160000</v>
      </c>
      <c r="R530" s="9"/>
      <c r="S530" s="5">
        <v>1</v>
      </c>
      <c r="T5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табеле]])*S530,0)</f>
        <v>5333.3333333333339</v>
      </c>
      <c r="U530" s="5">
        <f>IF(Таблица1[[#This Row],[ТТН]]&gt;0,Таблица1[[#This Row],[Ставка за ТТН]]*Таблица1[[#This Row],[ТТН]],0)</f>
        <v>0</v>
      </c>
    </row>
    <row r="531" spans="1:21" x14ac:dyDescent="0.25">
      <c r="A531" t="s">
        <v>84</v>
      </c>
      <c r="B531" s="24">
        <v>28</v>
      </c>
      <c r="C531" t="s">
        <v>115</v>
      </c>
      <c r="D531" t="s">
        <v>32</v>
      </c>
      <c r="E531" t="s">
        <v>214</v>
      </c>
      <c r="F531" t="s">
        <v>31</v>
      </c>
      <c r="H531" t="s">
        <v>10</v>
      </c>
      <c r="I531" t="s">
        <v>221</v>
      </c>
      <c r="J531">
        <v>11</v>
      </c>
      <c r="L531">
        <v>11</v>
      </c>
      <c r="N531">
        <f>Таблица1[[#This Row],[Часов на заказчика  в работе]]+Таблица1[[#This Row],[Часов на заказчика  дежурство]]</f>
        <v>11</v>
      </c>
      <c r="O5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1" s="9">
        <v>160000</v>
      </c>
      <c r="R531" s="9"/>
      <c r="S531" s="5">
        <v>1</v>
      </c>
      <c r="T5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табеле]])*S531,0)</f>
        <v>5333.3333333333339</v>
      </c>
      <c r="U531" s="5">
        <f>IF(Таблица1[[#This Row],[ТТН]]&gt;0,Таблица1[[#This Row],[Ставка за ТТН]]*Таблица1[[#This Row],[ТТН]],0)</f>
        <v>0</v>
      </c>
    </row>
    <row r="532" spans="1:21" x14ac:dyDescent="0.25">
      <c r="A532" t="s">
        <v>84</v>
      </c>
      <c r="B532" s="24">
        <v>29</v>
      </c>
      <c r="C532" t="s">
        <v>115</v>
      </c>
      <c r="D532" t="s">
        <v>32</v>
      </c>
      <c r="E532" t="s">
        <v>214</v>
      </c>
      <c r="F532" t="s">
        <v>31</v>
      </c>
      <c r="H532" t="s">
        <v>10</v>
      </c>
      <c r="I532" t="s">
        <v>221</v>
      </c>
      <c r="J532">
        <v>11</v>
      </c>
      <c r="L532">
        <v>11</v>
      </c>
      <c r="N532">
        <f>Таблица1[[#This Row],[Часов на заказчика  в работе]]+Таблица1[[#This Row],[Часов на заказчика  дежурство]]</f>
        <v>11</v>
      </c>
      <c r="O5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2" s="9">
        <v>160000</v>
      </c>
      <c r="R532" s="9"/>
      <c r="S532" s="5">
        <v>1</v>
      </c>
      <c r="T5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табеле]])*S532,0)</f>
        <v>5333.3333333333339</v>
      </c>
      <c r="U532" s="5">
        <f>IF(Таблица1[[#This Row],[ТТН]]&gt;0,Таблица1[[#This Row],[Ставка за ТТН]]*Таблица1[[#This Row],[ТТН]],0)</f>
        <v>0</v>
      </c>
    </row>
    <row r="533" spans="1:21" x14ac:dyDescent="0.25">
      <c r="A533" t="s">
        <v>84</v>
      </c>
      <c r="B533" s="24">
        <v>30</v>
      </c>
      <c r="C533" t="s">
        <v>116</v>
      </c>
      <c r="D533" t="s">
        <v>32</v>
      </c>
      <c r="E533" t="s">
        <v>214</v>
      </c>
      <c r="F533" t="s">
        <v>31</v>
      </c>
      <c r="H533" t="s">
        <v>10</v>
      </c>
      <c r="I533" t="s">
        <v>221</v>
      </c>
      <c r="J533">
        <v>11</v>
      </c>
      <c r="L533">
        <v>11</v>
      </c>
      <c r="N533">
        <f>Таблица1[[#This Row],[Часов на заказчика  в работе]]+Таблица1[[#This Row],[Часов на заказчика  дежурство]]</f>
        <v>11</v>
      </c>
      <c r="O5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3" s="9">
        <v>160000</v>
      </c>
      <c r="R533" s="9"/>
      <c r="S533" s="5">
        <v>1</v>
      </c>
      <c r="T5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табеле]])*S533,0)</f>
        <v>5333.3333333333339</v>
      </c>
      <c r="U533" s="5">
        <f>IF(Таблица1[[#This Row],[ТТН]]&gt;0,Таблица1[[#This Row],[Ставка за ТТН]]*Таблица1[[#This Row],[ТТН]],0)</f>
        <v>0</v>
      </c>
    </row>
    <row r="534" spans="1:21" x14ac:dyDescent="0.25">
      <c r="A534" t="s">
        <v>84</v>
      </c>
      <c r="B534" s="24">
        <v>1</v>
      </c>
      <c r="C534" t="s">
        <v>116</v>
      </c>
      <c r="D534" t="s">
        <v>28</v>
      </c>
      <c r="E534" t="s">
        <v>214</v>
      </c>
      <c r="F534" t="s">
        <v>28</v>
      </c>
      <c r="H534" t="s">
        <v>30</v>
      </c>
      <c r="I534" t="s">
        <v>217</v>
      </c>
      <c r="J534">
        <v>1</v>
      </c>
      <c r="N534">
        <f>Таблица1[[#This Row],[Часов на заказчика  в работе]]+Таблица1[[#This Row],[Часов на заказчика  дежурство]]</f>
        <v>0</v>
      </c>
      <c r="O5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4" s="9">
        <v>80000</v>
      </c>
      <c r="R534" s="9"/>
      <c r="S534" s="5">
        <v>1</v>
      </c>
      <c r="T5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табеле]])*S534,0)</f>
        <v>0</v>
      </c>
      <c r="U534" s="5">
        <f>IF(Таблица1[[#This Row],[ТТН]]&gt;0,Таблица1[[#This Row],[Ставка за ТТН]]*Таблица1[[#This Row],[ТТН]],0)</f>
        <v>0</v>
      </c>
    </row>
    <row r="535" spans="1:21" x14ac:dyDescent="0.25">
      <c r="A535" t="s">
        <v>84</v>
      </c>
      <c r="B535" s="24">
        <v>2</v>
      </c>
      <c r="C535" t="s">
        <v>116</v>
      </c>
      <c r="D535" t="s">
        <v>28</v>
      </c>
      <c r="E535" t="s">
        <v>214</v>
      </c>
      <c r="F535" t="s">
        <v>28</v>
      </c>
      <c r="H535" t="s">
        <v>30</v>
      </c>
      <c r="I535" t="s">
        <v>217</v>
      </c>
      <c r="J535">
        <v>1</v>
      </c>
      <c r="N535">
        <f>Таблица1[[#This Row],[Часов на заказчика  в работе]]+Таблица1[[#This Row],[Часов на заказчика  дежурство]]</f>
        <v>0</v>
      </c>
      <c r="O5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5" s="9">
        <v>80000</v>
      </c>
      <c r="R535" s="9"/>
      <c r="S535" s="5">
        <v>1</v>
      </c>
      <c r="T5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табеле]])*S535,0)</f>
        <v>0</v>
      </c>
      <c r="U535" s="5">
        <f>IF(Таблица1[[#This Row],[ТТН]]&gt;0,Таблица1[[#This Row],[Ставка за ТТН]]*Таблица1[[#This Row],[ТТН]],0)</f>
        <v>0</v>
      </c>
    </row>
    <row r="536" spans="1:21" x14ac:dyDescent="0.25">
      <c r="A536" t="s">
        <v>84</v>
      </c>
      <c r="B536" s="24">
        <v>3</v>
      </c>
      <c r="C536" t="s">
        <v>116</v>
      </c>
      <c r="D536" t="s">
        <v>28</v>
      </c>
      <c r="E536" t="s">
        <v>214</v>
      </c>
      <c r="F536" t="s">
        <v>28</v>
      </c>
      <c r="H536" t="s">
        <v>30</v>
      </c>
      <c r="I536" t="s">
        <v>217</v>
      </c>
      <c r="J536">
        <v>1</v>
      </c>
      <c r="N536">
        <f>Таблица1[[#This Row],[Часов на заказчика  в работе]]+Таблица1[[#This Row],[Часов на заказчика  дежурство]]</f>
        <v>0</v>
      </c>
      <c r="O5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6" s="9">
        <v>80000</v>
      </c>
      <c r="R536" s="9"/>
      <c r="S536" s="5">
        <v>1</v>
      </c>
      <c r="T5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табеле]])*S536,0)</f>
        <v>0</v>
      </c>
      <c r="U536" s="5">
        <f>IF(Таблица1[[#This Row],[ТТН]]&gt;0,Таблица1[[#This Row],[Ставка за ТТН]]*Таблица1[[#This Row],[ТТН]],0)</f>
        <v>0</v>
      </c>
    </row>
    <row r="537" spans="1:21" x14ac:dyDescent="0.25">
      <c r="A537" t="s">
        <v>84</v>
      </c>
      <c r="B537" s="24">
        <v>4</v>
      </c>
      <c r="C537" t="s">
        <v>116</v>
      </c>
      <c r="D537" t="s">
        <v>28</v>
      </c>
      <c r="E537" t="s">
        <v>214</v>
      </c>
      <c r="F537" t="s">
        <v>28</v>
      </c>
      <c r="H537" t="s">
        <v>24</v>
      </c>
      <c r="I537" t="s">
        <v>217</v>
      </c>
      <c r="J537">
        <v>8</v>
      </c>
      <c r="N537">
        <f>Таблица1[[#This Row],[Часов на заказчика  в работе]]+Таблица1[[#This Row],[Часов на заказчика  дежурство]]</f>
        <v>0</v>
      </c>
      <c r="O5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7" s="9">
        <v>80000</v>
      </c>
      <c r="R537" s="9"/>
      <c r="S537" s="5">
        <v>1</v>
      </c>
      <c r="T5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табеле]])*S537,0)</f>
        <v>0</v>
      </c>
      <c r="U537" s="5">
        <f>IF(Таблица1[[#This Row],[ТТН]]&gt;0,Таблица1[[#This Row],[Ставка за ТТН]]*Таблица1[[#This Row],[ТТН]],0)</f>
        <v>0</v>
      </c>
    </row>
    <row r="538" spans="1:21" x14ac:dyDescent="0.25">
      <c r="A538" t="s">
        <v>84</v>
      </c>
      <c r="B538" s="24">
        <v>5</v>
      </c>
      <c r="C538" t="s">
        <v>116</v>
      </c>
      <c r="D538" t="s">
        <v>28</v>
      </c>
      <c r="E538" t="s">
        <v>214</v>
      </c>
      <c r="F538" t="s">
        <v>28</v>
      </c>
      <c r="H538" t="s">
        <v>24</v>
      </c>
      <c r="I538" t="s">
        <v>217</v>
      </c>
      <c r="J538">
        <v>8</v>
      </c>
      <c r="N538">
        <f>Таблица1[[#This Row],[Часов на заказчика  в работе]]+Таблица1[[#This Row],[Часов на заказчика  дежурство]]</f>
        <v>0</v>
      </c>
      <c r="O5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8" s="9">
        <v>80000</v>
      </c>
      <c r="R538" s="9"/>
      <c r="S538" s="5">
        <v>1</v>
      </c>
      <c r="T5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табеле]])*S538,0)</f>
        <v>0</v>
      </c>
      <c r="U538" s="5">
        <f>IF(Таблица1[[#This Row],[ТТН]]&gt;0,Таблица1[[#This Row],[Ставка за ТТН]]*Таблица1[[#This Row],[ТТН]],0)</f>
        <v>0</v>
      </c>
    </row>
    <row r="539" spans="1:21" x14ac:dyDescent="0.25">
      <c r="A539" t="s">
        <v>84</v>
      </c>
      <c r="B539" s="24">
        <v>6</v>
      </c>
      <c r="C539" t="s">
        <v>116</v>
      </c>
      <c r="D539" t="s">
        <v>28</v>
      </c>
      <c r="E539" t="s">
        <v>214</v>
      </c>
      <c r="F539" t="s">
        <v>28</v>
      </c>
      <c r="H539" t="s">
        <v>24</v>
      </c>
      <c r="I539" t="s">
        <v>217</v>
      </c>
      <c r="J539">
        <v>8</v>
      </c>
      <c r="N539">
        <f>Таблица1[[#This Row],[Часов на заказчика  в работе]]+Таблица1[[#This Row],[Часов на заказчика  дежурство]]</f>
        <v>0</v>
      </c>
      <c r="O5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39" s="9">
        <v>80000</v>
      </c>
      <c r="R539" s="9"/>
      <c r="S539" s="5">
        <v>1</v>
      </c>
      <c r="T5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табеле]])*S539,0)</f>
        <v>0</v>
      </c>
      <c r="U539" s="5">
        <f>IF(Таблица1[[#This Row],[ТТН]]&gt;0,Таблица1[[#This Row],[Ставка за ТТН]]*Таблица1[[#This Row],[ТТН]],0)</f>
        <v>0</v>
      </c>
    </row>
    <row r="540" spans="1:21" x14ac:dyDescent="0.25">
      <c r="A540" t="s">
        <v>84</v>
      </c>
      <c r="B540" s="24">
        <v>7</v>
      </c>
      <c r="C540" t="s">
        <v>116</v>
      </c>
      <c r="D540" t="s">
        <v>28</v>
      </c>
      <c r="E540" t="s">
        <v>214</v>
      </c>
      <c r="F540" t="s">
        <v>28</v>
      </c>
      <c r="H540" t="s">
        <v>24</v>
      </c>
      <c r="I540" t="s">
        <v>217</v>
      </c>
      <c r="J540">
        <v>8</v>
      </c>
      <c r="N540">
        <f>Таблица1[[#This Row],[Часов на заказчика  в работе]]+Таблица1[[#This Row],[Часов на заказчика  дежурство]]</f>
        <v>0</v>
      </c>
      <c r="O5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0" s="9">
        <v>80000</v>
      </c>
      <c r="R540" s="9"/>
      <c r="S540" s="5">
        <v>1</v>
      </c>
      <c r="T5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табеле]])*S540,0)</f>
        <v>0</v>
      </c>
      <c r="U540" s="5">
        <f>IF(Таблица1[[#This Row],[ТТН]]&gt;0,Таблица1[[#This Row],[Ставка за ТТН]]*Таблица1[[#This Row],[ТТН]],0)</f>
        <v>0</v>
      </c>
    </row>
    <row r="541" spans="1:21" x14ac:dyDescent="0.25">
      <c r="A541" t="s">
        <v>84</v>
      </c>
      <c r="B541" s="24">
        <v>8</v>
      </c>
      <c r="C541" t="s">
        <v>116</v>
      </c>
      <c r="D541" t="s">
        <v>28</v>
      </c>
      <c r="E541" t="s">
        <v>214</v>
      </c>
      <c r="F541" t="s">
        <v>28</v>
      </c>
      <c r="H541" t="s">
        <v>24</v>
      </c>
      <c r="I541" t="s">
        <v>217</v>
      </c>
      <c r="J541">
        <v>8</v>
      </c>
      <c r="N541">
        <f>Таблица1[[#This Row],[Часов на заказчика  в работе]]+Таблица1[[#This Row],[Часов на заказчика  дежурство]]</f>
        <v>0</v>
      </c>
      <c r="O5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1" s="9">
        <v>80000</v>
      </c>
      <c r="R541" s="9"/>
      <c r="S541" s="5">
        <v>1</v>
      </c>
      <c r="T5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табеле]])*S541,0)</f>
        <v>0</v>
      </c>
      <c r="U541" s="5">
        <f>IF(Таблица1[[#This Row],[ТТН]]&gt;0,Таблица1[[#This Row],[Ставка за ТТН]]*Таблица1[[#This Row],[ТТН]],0)</f>
        <v>0</v>
      </c>
    </row>
    <row r="542" spans="1:21" x14ac:dyDescent="0.25">
      <c r="A542" t="s">
        <v>84</v>
      </c>
      <c r="B542" s="24">
        <v>9</v>
      </c>
      <c r="C542" t="s">
        <v>116</v>
      </c>
      <c r="D542" t="s">
        <v>28</v>
      </c>
      <c r="E542" t="s">
        <v>214</v>
      </c>
      <c r="F542" t="s">
        <v>28</v>
      </c>
      <c r="H542" t="s">
        <v>29</v>
      </c>
      <c r="I542" t="s">
        <v>217</v>
      </c>
      <c r="J542">
        <v>8</v>
      </c>
      <c r="N542">
        <f>Таблица1[[#This Row],[Часов на заказчика  в работе]]+Таблица1[[#This Row],[Часов на заказчика  дежурство]]</f>
        <v>0</v>
      </c>
      <c r="O5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2" s="9">
        <v>80000</v>
      </c>
      <c r="R542" s="9"/>
      <c r="S542" s="5">
        <v>1</v>
      </c>
      <c r="T5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табеле]])*S542,0)</f>
        <v>0</v>
      </c>
      <c r="U542" s="5">
        <f>IF(Таблица1[[#This Row],[ТТН]]&gt;0,Таблица1[[#This Row],[Ставка за ТТН]]*Таблица1[[#This Row],[ТТН]],0)</f>
        <v>0</v>
      </c>
    </row>
    <row r="543" spans="1:21" x14ac:dyDescent="0.25">
      <c r="A543" t="s">
        <v>84</v>
      </c>
      <c r="B543" s="24">
        <v>10</v>
      </c>
      <c r="C543" t="s">
        <v>116</v>
      </c>
      <c r="D543" t="s">
        <v>28</v>
      </c>
      <c r="E543" t="s">
        <v>214</v>
      </c>
      <c r="F543" t="s">
        <v>28</v>
      </c>
      <c r="H543" t="s">
        <v>29</v>
      </c>
      <c r="I543" t="s">
        <v>217</v>
      </c>
      <c r="J543">
        <v>8</v>
      </c>
      <c r="N543">
        <f>Таблица1[[#This Row],[Часов на заказчика  в работе]]+Таблица1[[#This Row],[Часов на заказчика  дежурство]]</f>
        <v>0</v>
      </c>
      <c r="O5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3" s="9">
        <v>80000</v>
      </c>
      <c r="R543" s="9"/>
      <c r="S543" s="5">
        <v>1</v>
      </c>
      <c r="T5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табеле]])*S543,0)</f>
        <v>0</v>
      </c>
      <c r="U543" s="5">
        <f>IF(Таблица1[[#This Row],[ТТН]]&gt;0,Таблица1[[#This Row],[Ставка за ТТН]]*Таблица1[[#This Row],[ТТН]],0)</f>
        <v>0</v>
      </c>
    </row>
    <row r="544" spans="1:21" x14ac:dyDescent="0.25">
      <c r="A544" t="s">
        <v>84</v>
      </c>
      <c r="B544" s="24">
        <v>11</v>
      </c>
      <c r="C544" t="s">
        <v>116</v>
      </c>
      <c r="D544" t="s">
        <v>28</v>
      </c>
      <c r="E544" t="s">
        <v>214</v>
      </c>
      <c r="F544" t="s">
        <v>28</v>
      </c>
      <c r="H544" t="s">
        <v>29</v>
      </c>
      <c r="I544" t="s">
        <v>217</v>
      </c>
      <c r="J544">
        <v>8</v>
      </c>
      <c r="N544">
        <f>Таблица1[[#This Row],[Часов на заказчика  в работе]]+Таблица1[[#This Row],[Часов на заказчика  дежурство]]</f>
        <v>0</v>
      </c>
      <c r="O5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4" s="9">
        <v>80000</v>
      </c>
      <c r="R544" s="9"/>
      <c r="S544" s="5">
        <v>1</v>
      </c>
      <c r="T5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табеле]])*S544,0)</f>
        <v>0</v>
      </c>
      <c r="U544" s="5">
        <f>IF(Таблица1[[#This Row],[ТТН]]&gt;0,Таблица1[[#This Row],[Ставка за ТТН]]*Таблица1[[#This Row],[ТТН]],0)</f>
        <v>0</v>
      </c>
    </row>
    <row r="545" spans="1:21" x14ac:dyDescent="0.25">
      <c r="A545" t="s">
        <v>84</v>
      </c>
      <c r="B545" s="24">
        <v>12</v>
      </c>
      <c r="C545" t="s">
        <v>116</v>
      </c>
      <c r="D545" t="s">
        <v>28</v>
      </c>
      <c r="E545" t="s">
        <v>214</v>
      </c>
      <c r="F545" t="s">
        <v>28</v>
      </c>
      <c r="H545" t="s">
        <v>29</v>
      </c>
      <c r="I545" t="s">
        <v>217</v>
      </c>
      <c r="J545">
        <v>8</v>
      </c>
      <c r="N545">
        <f>Таблица1[[#This Row],[Часов на заказчика  в работе]]+Таблица1[[#This Row],[Часов на заказчика  дежурство]]</f>
        <v>0</v>
      </c>
      <c r="O5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5" s="9">
        <v>80000</v>
      </c>
      <c r="R545" s="9"/>
      <c r="S545" s="5">
        <v>1</v>
      </c>
      <c r="T5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табеле]])*S545,0)</f>
        <v>0</v>
      </c>
      <c r="U545" s="5">
        <f>IF(Таблица1[[#This Row],[ТТН]]&gt;0,Таблица1[[#This Row],[Ставка за ТТН]]*Таблица1[[#This Row],[ТТН]],0)</f>
        <v>0</v>
      </c>
    </row>
    <row r="546" spans="1:21" x14ac:dyDescent="0.25">
      <c r="A546" t="s">
        <v>84</v>
      </c>
      <c r="B546" s="24">
        <v>13</v>
      </c>
      <c r="C546" t="s">
        <v>116</v>
      </c>
      <c r="D546" t="s">
        <v>28</v>
      </c>
      <c r="E546" t="s">
        <v>214</v>
      </c>
      <c r="F546" t="s">
        <v>28</v>
      </c>
      <c r="H546" t="s">
        <v>30</v>
      </c>
      <c r="I546" t="s">
        <v>217</v>
      </c>
      <c r="J546">
        <v>1</v>
      </c>
      <c r="N546">
        <f>Таблица1[[#This Row],[Часов на заказчика  в работе]]+Таблица1[[#This Row],[Часов на заказчика  дежурство]]</f>
        <v>0</v>
      </c>
      <c r="O5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6" s="9">
        <v>80000</v>
      </c>
      <c r="R546" s="9"/>
      <c r="S546" s="5">
        <v>1</v>
      </c>
      <c r="T5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табеле]])*S546,0)</f>
        <v>0</v>
      </c>
      <c r="U546" s="5">
        <f>IF(Таблица1[[#This Row],[ТТН]]&gt;0,Таблица1[[#This Row],[Ставка за ТТН]]*Таблица1[[#This Row],[ТТН]],0)</f>
        <v>0</v>
      </c>
    </row>
    <row r="547" spans="1:21" x14ac:dyDescent="0.25">
      <c r="A547" t="s">
        <v>84</v>
      </c>
      <c r="B547" s="24">
        <v>14</v>
      </c>
      <c r="C547" t="s">
        <v>116</v>
      </c>
      <c r="D547" t="s">
        <v>28</v>
      </c>
      <c r="E547" t="s">
        <v>214</v>
      </c>
      <c r="F547" t="s">
        <v>28</v>
      </c>
      <c r="H547" t="s">
        <v>30</v>
      </c>
      <c r="I547" t="s">
        <v>217</v>
      </c>
      <c r="J547">
        <v>1</v>
      </c>
      <c r="N547">
        <f>Таблица1[[#This Row],[Часов на заказчика  в работе]]+Таблица1[[#This Row],[Часов на заказчика  дежурство]]</f>
        <v>0</v>
      </c>
      <c r="O5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7" s="9">
        <v>80000</v>
      </c>
      <c r="R547" s="9"/>
      <c r="S547" s="5">
        <v>1</v>
      </c>
      <c r="T5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табеле]])*S547,0)</f>
        <v>0</v>
      </c>
      <c r="U547" s="5">
        <f>IF(Таблица1[[#This Row],[ТТН]]&gt;0,Таблица1[[#This Row],[Ставка за ТТН]]*Таблица1[[#This Row],[ТТН]],0)</f>
        <v>0</v>
      </c>
    </row>
    <row r="548" spans="1:21" x14ac:dyDescent="0.25">
      <c r="A548" t="s">
        <v>84</v>
      </c>
      <c r="B548" s="24">
        <v>15</v>
      </c>
      <c r="C548" t="s">
        <v>116</v>
      </c>
      <c r="D548" t="s">
        <v>28</v>
      </c>
      <c r="E548" t="s">
        <v>214</v>
      </c>
      <c r="F548" t="s">
        <v>28</v>
      </c>
      <c r="H548" t="s">
        <v>29</v>
      </c>
      <c r="I548" t="s">
        <v>217</v>
      </c>
      <c r="J548">
        <v>8</v>
      </c>
      <c r="N548">
        <f>Таблица1[[#This Row],[Часов на заказчика  в работе]]+Таблица1[[#This Row],[Часов на заказчика  дежурство]]</f>
        <v>0</v>
      </c>
      <c r="O5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8" s="9">
        <v>80000</v>
      </c>
      <c r="R548" s="9"/>
      <c r="S548" s="5">
        <v>1</v>
      </c>
      <c r="T5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табеле]])*S548,0)</f>
        <v>0</v>
      </c>
      <c r="U548" s="5">
        <f>IF(Таблица1[[#This Row],[ТТН]]&gt;0,Таблица1[[#This Row],[Ставка за ТТН]]*Таблица1[[#This Row],[ТТН]],0)</f>
        <v>0</v>
      </c>
    </row>
    <row r="549" spans="1:21" x14ac:dyDescent="0.25">
      <c r="A549" t="s">
        <v>84</v>
      </c>
      <c r="B549" s="24">
        <v>16</v>
      </c>
      <c r="C549" t="s">
        <v>116</v>
      </c>
      <c r="D549" t="s">
        <v>28</v>
      </c>
      <c r="E549" t="s">
        <v>214</v>
      </c>
      <c r="F549" t="s">
        <v>28</v>
      </c>
      <c r="H549" t="s">
        <v>29</v>
      </c>
      <c r="I549" t="s">
        <v>217</v>
      </c>
      <c r="J549">
        <v>8</v>
      </c>
      <c r="N549">
        <f>Таблица1[[#This Row],[Часов на заказчика  в работе]]+Таблица1[[#This Row],[Часов на заказчика  дежурство]]</f>
        <v>0</v>
      </c>
      <c r="O5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49" s="9">
        <v>80000</v>
      </c>
      <c r="R549" s="9"/>
      <c r="S549" s="5">
        <v>1</v>
      </c>
      <c r="T5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табеле]])*S549,0)</f>
        <v>0</v>
      </c>
      <c r="U549" s="5">
        <f>IF(Таблица1[[#This Row],[ТТН]]&gt;0,Таблица1[[#This Row],[Ставка за ТТН]]*Таблица1[[#This Row],[ТТН]],0)</f>
        <v>0</v>
      </c>
    </row>
    <row r="550" spans="1:21" x14ac:dyDescent="0.25">
      <c r="A550" t="s">
        <v>84</v>
      </c>
      <c r="B550" s="24">
        <v>17</v>
      </c>
      <c r="C550" t="s">
        <v>116</v>
      </c>
      <c r="D550" t="s">
        <v>28</v>
      </c>
      <c r="E550" t="s">
        <v>214</v>
      </c>
      <c r="F550" t="s">
        <v>28</v>
      </c>
      <c r="H550" t="s">
        <v>29</v>
      </c>
      <c r="I550" t="s">
        <v>217</v>
      </c>
      <c r="J550">
        <v>8</v>
      </c>
      <c r="N550">
        <f>Таблица1[[#This Row],[Часов на заказчика  в работе]]+Таблица1[[#This Row],[Часов на заказчика  дежурство]]</f>
        <v>0</v>
      </c>
      <c r="O5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0" s="9">
        <v>80000</v>
      </c>
      <c r="R550" s="9"/>
      <c r="S550" s="5">
        <v>1</v>
      </c>
      <c r="T5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табеле]])*S550,0)</f>
        <v>0</v>
      </c>
      <c r="U550" s="5">
        <f>IF(Таблица1[[#This Row],[ТТН]]&gt;0,Таблица1[[#This Row],[Ставка за ТТН]]*Таблица1[[#This Row],[ТТН]],0)</f>
        <v>0</v>
      </c>
    </row>
    <row r="551" spans="1:21" x14ac:dyDescent="0.25">
      <c r="A551" t="s">
        <v>84</v>
      </c>
      <c r="B551" s="24">
        <v>18</v>
      </c>
      <c r="C551" t="s">
        <v>116</v>
      </c>
      <c r="D551" t="s">
        <v>28</v>
      </c>
      <c r="E551" t="s">
        <v>214</v>
      </c>
      <c r="F551" t="s">
        <v>28</v>
      </c>
      <c r="H551" t="s">
        <v>29</v>
      </c>
      <c r="I551" t="s">
        <v>217</v>
      </c>
      <c r="J551">
        <v>8</v>
      </c>
      <c r="N551">
        <f>Таблица1[[#This Row],[Часов на заказчика  в работе]]+Таблица1[[#This Row],[Часов на заказчика  дежурство]]</f>
        <v>0</v>
      </c>
      <c r="O5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1" s="9">
        <v>80000</v>
      </c>
      <c r="R551" s="9"/>
      <c r="S551" s="5">
        <v>1</v>
      </c>
      <c r="T5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табеле]])*S551,0)</f>
        <v>0</v>
      </c>
      <c r="U551" s="5">
        <f>IF(Таблица1[[#This Row],[ТТН]]&gt;0,Таблица1[[#This Row],[Ставка за ТТН]]*Таблица1[[#This Row],[ТТН]],0)</f>
        <v>0</v>
      </c>
    </row>
    <row r="552" spans="1:21" x14ac:dyDescent="0.25">
      <c r="A552" t="s">
        <v>84</v>
      </c>
      <c r="B552" s="24">
        <v>19</v>
      </c>
      <c r="C552" t="s">
        <v>116</v>
      </c>
      <c r="D552" t="s">
        <v>28</v>
      </c>
      <c r="E552" t="s">
        <v>214</v>
      </c>
      <c r="F552" t="s">
        <v>28</v>
      </c>
      <c r="H552" t="s">
        <v>29</v>
      </c>
      <c r="I552" t="s">
        <v>217</v>
      </c>
      <c r="J552">
        <v>8</v>
      </c>
      <c r="N552">
        <f>Таблица1[[#This Row],[Часов на заказчика  в работе]]+Таблица1[[#This Row],[Часов на заказчика  дежурство]]</f>
        <v>0</v>
      </c>
      <c r="O5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2" s="9">
        <v>80000</v>
      </c>
      <c r="R552" s="9"/>
      <c r="S552" s="5">
        <v>1</v>
      </c>
      <c r="T5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табеле]])*S552,0)</f>
        <v>0</v>
      </c>
      <c r="U552" s="5">
        <f>IF(Таблица1[[#This Row],[ТТН]]&gt;0,Таблица1[[#This Row],[Ставка за ТТН]]*Таблица1[[#This Row],[ТТН]],0)</f>
        <v>0</v>
      </c>
    </row>
    <row r="553" spans="1:21" x14ac:dyDescent="0.25">
      <c r="A553" t="s">
        <v>84</v>
      </c>
      <c r="B553" s="24">
        <v>20</v>
      </c>
      <c r="C553" t="s">
        <v>116</v>
      </c>
      <c r="D553" t="s">
        <v>28</v>
      </c>
      <c r="E553" t="s">
        <v>214</v>
      </c>
      <c r="F553" t="s">
        <v>28</v>
      </c>
      <c r="H553" t="s">
        <v>30</v>
      </c>
      <c r="I553" t="s">
        <v>217</v>
      </c>
      <c r="J553">
        <v>1</v>
      </c>
      <c r="N553">
        <f>Таблица1[[#This Row],[Часов на заказчика  в работе]]+Таблица1[[#This Row],[Часов на заказчика  дежурство]]</f>
        <v>0</v>
      </c>
      <c r="O5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3" s="9">
        <v>80000</v>
      </c>
      <c r="R553" s="9"/>
      <c r="S553" s="5">
        <v>1</v>
      </c>
      <c r="T5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табеле]])*S553,0)</f>
        <v>0</v>
      </c>
      <c r="U553" s="5">
        <f>IF(Таблица1[[#This Row],[ТТН]]&gt;0,Таблица1[[#This Row],[Ставка за ТТН]]*Таблица1[[#This Row],[ТТН]],0)</f>
        <v>0</v>
      </c>
    </row>
    <row r="554" spans="1:21" x14ac:dyDescent="0.25">
      <c r="A554" t="s">
        <v>84</v>
      </c>
      <c r="B554" s="24">
        <v>21</v>
      </c>
      <c r="C554" t="s">
        <v>116</v>
      </c>
      <c r="D554" t="s">
        <v>28</v>
      </c>
      <c r="E554" t="s">
        <v>214</v>
      </c>
      <c r="F554" t="s">
        <v>28</v>
      </c>
      <c r="H554" t="s">
        <v>30</v>
      </c>
      <c r="I554" t="s">
        <v>217</v>
      </c>
      <c r="J554">
        <v>1</v>
      </c>
      <c r="N554">
        <f>Таблица1[[#This Row],[Часов на заказчика  в работе]]+Таблица1[[#This Row],[Часов на заказчика  дежурство]]</f>
        <v>0</v>
      </c>
      <c r="O5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4" s="9">
        <v>80000</v>
      </c>
      <c r="R554" s="9"/>
      <c r="S554" s="5">
        <v>1</v>
      </c>
      <c r="T5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табеле]])*S554,0)</f>
        <v>0</v>
      </c>
      <c r="U554" s="5">
        <f>IF(Таблица1[[#This Row],[ТТН]]&gt;0,Таблица1[[#This Row],[Ставка за ТТН]]*Таблица1[[#This Row],[ТТН]],0)</f>
        <v>0</v>
      </c>
    </row>
    <row r="555" spans="1:21" x14ac:dyDescent="0.25">
      <c r="A555" t="s">
        <v>84</v>
      </c>
      <c r="B555" s="24">
        <v>22</v>
      </c>
      <c r="C555" t="s">
        <v>116</v>
      </c>
      <c r="D555" t="s">
        <v>28</v>
      </c>
      <c r="E555" t="s">
        <v>214</v>
      </c>
      <c r="F555" t="s">
        <v>28</v>
      </c>
      <c r="H555" t="s">
        <v>29</v>
      </c>
      <c r="I555" t="s">
        <v>217</v>
      </c>
      <c r="J555">
        <v>8</v>
      </c>
      <c r="N555">
        <f>Таблица1[[#This Row],[Часов на заказчика  в работе]]+Таблица1[[#This Row],[Часов на заказчика  дежурство]]</f>
        <v>0</v>
      </c>
      <c r="O5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5" s="9">
        <v>80000</v>
      </c>
      <c r="R555" s="9"/>
      <c r="S555" s="5">
        <v>1</v>
      </c>
      <c r="T5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табеле]])*S555,0)</f>
        <v>0</v>
      </c>
      <c r="U555" s="5">
        <f>IF(Таблица1[[#This Row],[ТТН]]&gt;0,Таблица1[[#This Row],[Ставка за ТТН]]*Таблица1[[#This Row],[ТТН]],0)</f>
        <v>0</v>
      </c>
    </row>
    <row r="556" spans="1:21" x14ac:dyDescent="0.25">
      <c r="A556" t="s">
        <v>84</v>
      </c>
      <c r="B556" s="24">
        <v>23</v>
      </c>
      <c r="C556" t="s">
        <v>116</v>
      </c>
      <c r="D556" t="s">
        <v>28</v>
      </c>
      <c r="E556" t="s">
        <v>214</v>
      </c>
      <c r="F556" t="s">
        <v>28</v>
      </c>
      <c r="H556" t="s">
        <v>29</v>
      </c>
      <c r="I556" t="s">
        <v>217</v>
      </c>
      <c r="J556">
        <v>8</v>
      </c>
      <c r="N556">
        <f>Таблица1[[#This Row],[Часов на заказчика  в работе]]+Таблица1[[#This Row],[Часов на заказчика  дежурство]]</f>
        <v>0</v>
      </c>
      <c r="O5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6" s="9">
        <v>80000</v>
      </c>
      <c r="R556" s="9"/>
      <c r="S556" s="5">
        <v>1</v>
      </c>
      <c r="T5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табеле]])*S556,0)</f>
        <v>0</v>
      </c>
      <c r="U556" s="5">
        <f>IF(Таблица1[[#This Row],[ТТН]]&gt;0,Таблица1[[#This Row],[Ставка за ТТН]]*Таблица1[[#This Row],[ТТН]],0)</f>
        <v>0</v>
      </c>
    </row>
    <row r="557" spans="1:21" x14ac:dyDescent="0.25">
      <c r="A557" t="s">
        <v>84</v>
      </c>
      <c r="B557" s="24">
        <v>24</v>
      </c>
      <c r="C557" t="s">
        <v>116</v>
      </c>
      <c r="D557" t="s">
        <v>28</v>
      </c>
      <c r="E557" t="s">
        <v>214</v>
      </c>
      <c r="F557" t="s">
        <v>28</v>
      </c>
      <c r="H557" t="s">
        <v>29</v>
      </c>
      <c r="I557" t="s">
        <v>217</v>
      </c>
      <c r="J557">
        <v>8</v>
      </c>
      <c r="N557">
        <f>Таблица1[[#This Row],[Часов на заказчика  в работе]]+Таблица1[[#This Row],[Часов на заказчика  дежурство]]</f>
        <v>0</v>
      </c>
      <c r="O5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7" s="9">
        <v>80000</v>
      </c>
      <c r="R557" s="9"/>
      <c r="S557" s="5">
        <v>1</v>
      </c>
      <c r="T5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табеле]])*S557,0)</f>
        <v>0</v>
      </c>
      <c r="U557" s="5">
        <f>IF(Таблица1[[#This Row],[ТТН]]&gt;0,Таблица1[[#This Row],[Ставка за ТТН]]*Таблица1[[#This Row],[ТТН]],0)</f>
        <v>0</v>
      </c>
    </row>
    <row r="558" spans="1:21" x14ac:dyDescent="0.25">
      <c r="A558" t="s">
        <v>84</v>
      </c>
      <c r="B558" s="24">
        <v>25</v>
      </c>
      <c r="C558" t="s">
        <v>116</v>
      </c>
      <c r="D558" t="s">
        <v>28</v>
      </c>
      <c r="E558" t="s">
        <v>214</v>
      </c>
      <c r="F558" t="s">
        <v>28</v>
      </c>
      <c r="H558" t="s">
        <v>29</v>
      </c>
      <c r="I558" t="s">
        <v>217</v>
      </c>
      <c r="J558">
        <v>8</v>
      </c>
      <c r="N558">
        <f>Таблица1[[#This Row],[Часов на заказчика  в работе]]+Таблица1[[#This Row],[Часов на заказчика  дежурство]]</f>
        <v>0</v>
      </c>
      <c r="O5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8" s="9">
        <v>80000</v>
      </c>
      <c r="R558" s="9"/>
      <c r="S558" s="5">
        <v>1</v>
      </c>
      <c r="T5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табеле]])*S558,0)</f>
        <v>0</v>
      </c>
      <c r="U558" s="5">
        <f>IF(Таблица1[[#This Row],[ТТН]]&gt;0,Таблица1[[#This Row],[Ставка за ТТН]]*Таблица1[[#This Row],[ТТН]],0)</f>
        <v>0</v>
      </c>
    </row>
    <row r="559" spans="1:21" x14ac:dyDescent="0.25">
      <c r="A559" t="s">
        <v>84</v>
      </c>
      <c r="B559" s="24">
        <v>26</v>
      </c>
      <c r="C559" t="s">
        <v>116</v>
      </c>
      <c r="D559" t="s">
        <v>28</v>
      </c>
      <c r="E559" t="s">
        <v>214</v>
      </c>
      <c r="F559" t="s">
        <v>28</v>
      </c>
      <c r="H559" t="s">
        <v>29</v>
      </c>
      <c r="I559" t="s">
        <v>217</v>
      </c>
      <c r="J559">
        <v>8</v>
      </c>
      <c r="N559">
        <f>Таблица1[[#This Row],[Часов на заказчика  в работе]]+Таблица1[[#This Row],[Часов на заказчика  дежурство]]</f>
        <v>0</v>
      </c>
      <c r="O5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59" s="9">
        <v>80000</v>
      </c>
      <c r="R559" s="9"/>
      <c r="S559" s="5">
        <v>1</v>
      </c>
      <c r="T5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табеле]])*S559,0)</f>
        <v>0</v>
      </c>
      <c r="U559" s="5">
        <f>IF(Таблица1[[#This Row],[ТТН]]&gt;0,Таблица1[[#This Row],[Ставка за ТТН]]*Таблица1[[#This Row],[ТТН]],0)</f>
        <v>0</v>
      </c>
    </row>
    <row r="560" spans="1:21" x14ac:dyDescent="0.25">
      <c r="A560" t="s">
        <v>84</v>
      </c>
      <c r="B560" s="24">
        <v>27</v>
      </c>
      <c r="C560" t="s">
        <v>116</v>
      </c>
      <c r="D560" t="s">
        <v>28</v>
      </c>
      <c r="E560" t="s">
        <v>214</v>
      </c>
      <c r="F560" t="s">
        <v>28</v>
      </c>
      <c r="H560" t="s">
        <v>30</v>
      </c>
      <c r="I560" t="s">
        <v>217</v>
      </c>
      <c r="J560">
        <v>1</v>
      </c>
      <c r="N560">
        <f>Таблица1[[#This Row],[Часов на заказчика  в работе]]+Таблица1[[#This Row],[Часов на заказчика  дежурство]]</f>
        <v>0</v>
      </c>
      <c r="O5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0" s="9">
        <v>80000</v>
      </c>
      <c r="R560" s="9"/>
      <c r="S560" s="5">
        <v>1</v>
      </c>
      <c r="T5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табеле]])*S560,0)</f>
        <v>0</v>
      </c>
      <c r="U560" s="5">
        <f>IF(Таблица1[[#This Row],[ТТН]]&gt;0,Таблица1[[#This Row],[Ставка за ТТН]]*Таблица1[[#This Row],[ТТН]],0)</f>
        <v>0</v>
      </c>
    </row>
    <row r="561" spans="1:21" x14ac:dyDescent="0.25">
      <c r="A561" t="s">
        <v>84</v>
      </c>
      <c r="B561" s="24">
        <v>28</v>
      </c>
      <c r="C561" t="s">
        <v>116</v>
      </c>
      <c r="D561" t="s">
        <v>28</v>
      </c>
      <c r="E561" t="s">
        <v>214</v>
      </c>
      <c r="F561" t="s">
        <v>28</v>
      </c>
      <c r="H561" t="s">
        <v>30</v>
      </c>
      <c r="I561" t="s">
        <v>217</v>
      </c>
      <c r="J561">
        <v>1</v>
      </c>
      <c r="N561">
        <f>Таблица1[[#This Row],[Часов на заказчика  в работе]]+Таблица1[[#This Row],[Часов на заказчика  дежурство]]</f>
        <v>0</v>
      </c>
      <c r="O5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1" s="9">
        <v>80000</v>
      </c>
      <c r="R561" s="9"/>
      <c r="S561" s="5">
        <v>1</v>
      </c>
      <c r="T5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табеле]])*S561,0)</f>
        <v>0</v>
      </c>
      <c r="U561" s="5">
        <f>IF(Таблица1[[#This Row],[ТТН]]&gt;0,Таблица1[[#This Row],[Ставка за ТТН]]*Таблица1[[#This Row],[ТТН]],0)</f>
        <v>0</v>
      </c>
    </row>
    <row r="562" spans="1:21" x14ac:dyDescent="0.25">
      <c r="A562" t="s">
        <v>84</v>
      </c>
      <c r="B562" s="24">
        <v>29</v>
      </c>
      <c r="C562" t="s">
        <v>116</v>
      </c>
      <c r="D562" t="s">
        <v>28</v>
      </c>
      <c r="E562" t="s">
        <v>214</v>
      </c>
      <c r="F562" t="s">
        <v>28</v>
      </c>
      <c r="H562" t="s">
        <v>29</v>
      </c>
      <c r="I562" t="s">
        <v>217</v>
      </c>
      <c r="J562">
        <v>8</v>
      </c>
      <c r="N562">
        <f>Таблица1[[#This Row],[Часов на заказчика  в работе]]+Таблица1[[#This Row],[Часов на заказчика  дежурство]]</f>
        <v>0</v>
      </c>
      <c r="O5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2" s="9">
        <v>80000</v>
      </c>
      <c r="R562" s="9"/>
      <c r="S562" s="5">
        <v>1</v>
      </c>
      <c r="T5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табеле]])*S562,0)</f>
        <v>0</v>
      </c>
      <c r="U562" s="5">
        <f>IF(Таблица1[[#This Row],[ТТН]]&gt;0,Таблица1[[#This Row],[Ставка за ТТН]]*Таблица1[[#This Row],[ТТН]],0)</f>
        <v>0</v>
      </c>
    </row>
    <row r="563" spans="1:21" x14ac:dyDescent="0.25">
      <c r="A563" t="s">
        <v>84</v>
      </c>
      <c r="B563" s="24">
        <v>30</v>
      </c>
      <c r="C563" t="s">
        <v>117</v>
      </c>
      <c r="D563" t="s">
        <v>28</v>
      </c>
      <c r="E563" t="s">
        <v>214</v>
      </c>
      <c r="F563" t="s">
        <v>28</v>
      </c>
      <c r="H563" t="s">
        <v>29</v>
      </c>
      <c r="I563" t="s">
        <v>217</v>
      </c>
      <c r="J563">
        <v>8</v>
      </c>
      <c r="N563">
        <f>Таблица1[[#This Row],[Часов на заказчика  в работе]]+Таблица1[[#This Row],[Часов на заказчика  дежурство]]</f>
        <v>0</v>
      </c>
      <c r="O5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3" s="9">
        <v>80000</v>
      </c>
      <c r="R563" s="9"/>
      <c r="S563" s="5">
        <v>1</v>
      </c>
      <c r="T5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табеле]])*S563,0)</f>
        <v>0</v>
      </c>
      <c r="U563" s="5">
        <f>IF(Таблица1[[#This Row],[ТТН]]&gt;0,Таблица1[[#This Row],[Ставка за ТТН]]*Таблица1[[#This Row],[ТТН]],0)</f>
        <v>0</v>
      </c>
    </row>
    <row r="564" spans="1:21" x14ac:dyDescent="0.25">
      <c r="A564" t="s">
        <v>84</v>
      </c>
      <c r="B564" s="24">
        <v>1</v>
      </c>
      <c r="C564" t="s">
        <v>117</v>
      </c>
      <c r="D564" t="s">
        <v>12</v>
      </c>
      <c r="E564" t="s">
        <v>214</v>
      </c>
      <c r="F564" t="s">
        <v>66</v>
      </c>
      <c r="H564" t="s">
        <v>10</v>
      </c>
      <c r="I564" t="s">
        <v>220</v>
      </c>
      <c r="J564">
        <v>11</v>
      </c>
      <c r="L564">
        <v>11</v>
      </c>
      <c r="N564">
        <f>Таблица1[[#This Row],[Часов на заказчика  в работе]]+Таблица1[[#This Row],[Часов на заказчика  дежурство]]</f>
        <v>11</v>
      </c>
      <c r="O5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4" s="9">
        <v>135000</v>
      </c>
      <c r="R564" s="9"/>
      <c r="S564" s="5">
        <v>1</v>
      </c>
      <c r="T5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табеле]])*S564,0)</f>
        <v>4500</v>
      </c>
      <c r="U564" s="5">
        <f>IF(Таблица1[[#This Row],[ТТН]]&gt;0,Таблица1[[#This Row],[Ставка за ТТН]]*Таблица1[[#This Row],[ТТН]],0)</f>
        <v>0</v>
      </c>
    </row>
    <row r="565" spans="1:21" x14ac:dyDescent="0.25">
      <c r="A565" t="s">
        <v>84</v>
      </c>
      <c r="B565" s="24">
        <v>2</v>
      </c>
      <c r="C565" t="s">
        <v>117</v>
      </c>
      <c r="D565" t="s">
        <v>12</v>
      </c>
      <c r="E565" t="s">
        <v>214</v>
      </c>
      <c r="F565" t="s">
        <v>66</v>
      </c>
      <c r="H565" t="s">
        <v>10</v>
      </c>
      <c r="I565" t="s">
        <v>220</v>
      </c>
      <c r="J565">
        <v>11</v>
      </c>
      <c r="L565">
        <v>11</v>
      </c>
      <c r="N565">
        <f>Таблица1[[#This Row],[Часов на заказчика  в работе]]+Таблица1[[#This Row],[Часов на заказчика  дежурство]]</f>
        <v>11</v>
      </c>
      <c r="O5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5" s="9">
        <v>135000</v>
      </c>
      <c r="R565" s="9"/>
      <c r="S565" s="5">
        <v>1</v>
      </c>
      <c r="T5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табеле]])*S565,0)</f>
        <v>4500</v>
      </c>
      <c r="U565" s="5">
        <f>IF(Таблица1[[#This Row],[ТТН]]&gt;0,Таблица1[[#This Row],[Ставка за ТТН]]*Таблица1[[#This Row],[ТТН]],0)</f>
        <v>0</v>
      </c>
    </row>
    <row r="566" spans="1:21" x14ac:dyDescent="0.25">
      <c r="A566" t="s">
        <v>84</v>
      </c>
      <c r="B566" s="24">
        <v>3</v>
      </c>
      <c r="C566" t="s">
        <v>117</v>
      </c>
      <c r="D566" t="s">
        <v>12</v>
      </c>
      <c r="E566" t="s">
        <v>214</v>
      </c>
      <c r="F566" t="s">
        <v>66</v>
      </c>
      <c r="H566" t="s">
        <v>10</v>
      </c>
      <c r="I566" t="s">
        <v>220</v>
      </c>
      <c r="J566">
        <v>11</v>
      </c>
      <c r="L566">
        <v>11</v>
      </c>
      <c r="N566">
        <f>Таблица1[[#This Row],[Часов на заказчика  в работе]]+Таблица1[[#This Row],[Часов на заказчика  дежурство]]</f>
        <v>11</v>
      </c>
      <c r="O5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6" s="9">
        <v>135000</v>
      </c>
      <c r="R566" s="9"/>
      <c r="S566" s="5">
        <v>1</v>
      </c>
      <c r="T5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табеле]])*S566,0)</f>
        <v>4500</v>
      </c>
      <c r="U566" s="5">
        <f>IF(Таблица1[[#This Row],[ТТН]]&gt;0,Таблица1[[#This Row],[Ставка за ТТН]]*Таблица1[[#This Row],[ТТН]],0)</f>
        <v>0</v>
      </c>
    </row>
    <row r="567" spans="1:21" x14ac:dyDescent="0.25">
      <c r="A567" t="s">
        <v>84</v>
      </c>
      <c r="B567" s="24">
        <v>4</v>
      </c>
      <c r="C567" t="s">
        <v>117</v>
      </c>
      <c r="D567" t="s">
        <v>12</v>
      </c>
      <c r="E567" t="s">
        <v>214</v>
      </c>
      <c r="F567" t="s">
        <v>66</v>
      </c>
      <c r="H567" t="s">
        <v>10</v>
      </c>
      <c r="I567" t="s">
        <v>220</v>
      </c>
      <c r="J567">
        <v>11</v>
      </c>
      <c r="L567">
        <v>11</v>
      </c>
      <c r="N567">
        <f>Таблица1[[#This Row],[Часов на заказчика  в работе]]+Таблица1[[#This Row],[Часов на заказчика  дежурство]]</f>
        <v>11</v>
      </c>
      <c r="O5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7" s="9">
        <v>135000</v>
      </c>
      <c r="R567" s="9"/>
      <c r="S567" s="5">
        <v>1</v>
      </c>
      <c r="T5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табеле]])*S567,0)</f>
        <v>4500</v>
      </c>
      <c r="U567" s="5">
        <f>IF(Таблица1[[#This Row],[ТТН]]&gt;0,Таблица1[[#This Row],[Ставка за ТТН]]*Таблица1[[#This Row],[ТТН]],0)</f>
        <v>0</v>
      </c>
    </row>
    <row r="568" spans="1:21" x14ac:dyDescent="0.25">
      <c r="A568" t="s">
        <v>84</v>
      </c>
      <c r="B568" s="24">
        <v>5</v>
      </c>
      <c r="C568" t="s">
        <v>117</v>
      </c>
      <c r="D568" t="s">
        <v>12</v>
      </c>
      <c r="E568" t="s">
        <v>214</v>
      </c>
      <c r="F568" t="s">
        <v>66</v>
      </c>
      <c r="H568" t="s">
        <v>38</v>
      </c>
      <c r="I568" t="s">
        <v>220</v>
      </c>
      <c r="J568">
        <v>11</v>
      </c>
      <c r="L568">
        <v>11</v>
      </c>
      <c r="N568">
        <f>Таблица1[[#This Row],[Часов на заказчика  в работе]]+Таблица1[[#This Row],[Часов на заказчика  дежурство]]</f>
        <v>11</v>
      </c>
      <c r="O5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8" s="9">
        <v>135000</v>
      </c>
      <c r="R568" s="9"/>
      <c r="S568" s="5">
        <v>1</v>
      </c>
      <c r="T5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табеле]])*S568,0)</f>
        <v>4500</v>
      </c>
      <c r="U568" s="5">
        <f>IF(Таблица1[[#This Row],[ТТН]]&gt;0,Таблица1[[#This Row],[Ставка за ТТН]]*Таблица1[[#This Row],[ТТН]],0)</f>
        <v>0</v>
      </c>
    </row>
    <row r="569" spans="1:21" x14ac:dyDescent="0.25">
      <c r="A569" t="s">
        <v>84</v>
      </c>
      <c r="B569" s="24">
        <v>6</v>
      </c>
      <c r="C569" t="s">
        <v>117</v>
      </c>
      <c r="D569" t="s">
        <v>12</v>
      </c>
      <c r="E569" t="s">
        <v>214</v>
      </c>
      <c r="F569" t="s">
        <v>66</v>
      </c>
      <c r="H569" t="s">
        <v>10</v>
      </c>
      <c r="I569" t="s">
        <v>220</v>
      </c>
      <c r="J569">
        <v>11</v>
      </c>
      <c r="L569">
        <v>11</v>
      </c>
      <c r="N569">
        <f>Таблица1[[#This Row],[Часов на заказчика  в работе]]+Таблица1[[#This Row],[Часов на заказчика  дежурство]]</f>
        <v>11</v>
      </c>
      <c r="O5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69" s="9">
        <v>135000</v>
      </c>
      <c r="R569" s="9"/>
      <c r="S569" s="5">
        <v>1</v>
      </c>
      <c r="T5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табеле]])*S569,0)</f>
        <v>4500</v>
      </c>
      <c r="U569" s="5">
        <f>IF(Таблица1[[#This Row],[ТТН]]&gt;0,Таблица1[[#This Row],[Ставка за ТТН]]*Таблица1[[#This Row],[ТТН]],0)</f>
        <v>0</v>
      </c>
    </row>
    <row r="570" spans="1:21" x14ac:dyDescent="0.25">
      <c r="A570" t="s">
        <v>84</v>
      </c>
      <c r="B570" s="24">
        <v>7</v>
      </c>
      <c r="C570" t="s">
        <v>117</v>
      </c>
      <c r="D570" t="s">
        <v>12</v>
      </c>
      <c r="E570" t="s">
        <v>214</v>
      </c>
      <c r="F570" t="s">
        <v>66</v>
      </c>
      <c r="H570" t="s">
        <v>10</v>
      </c>
      <c r="I570" t="s">
        <v>220</v>
      </c>
      <c r="J570">
        <v>11</v>
      </c>
      <c r="L570">
        <v>11</v>
      </c>
      <c r="N570">
        <f>Таблица1[[#This Row],[Часов на заказчика  в работе]]+Таблица1[[#This Row],[Часов на заказчика  дежурство]]</f>
        <v>11</v>
      </c>
      <c r="O5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0" s="9">
        <v>135000</v>
      </c>
      <c r="R570" s="9"/>
      <c r="S570" s="5">
        <v>1</v>
      </c>
      <c r="T5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табеле]])*S570,0)</f>
        <v>4500</v>
      </c>
      <c r="U570" s="5">
        <f>IF(Таблица1[[#This Row],[ТТН]]&gt;0,Таблица1[[#This Row],[Ставка за ТТН]]*Таблица1[[#This Row],[ТТН]],0)</f>
        <v>0</v>
      </c>
    </row>
    <row r="571" spans="1:21" x14ac:dyDescent="0.25">
      <c r="A571" t="s">
        <v>84</v>
      </c>
      <c r="B571" s="24">
        <v>8</v>
      </c>
      <c r="C571" t="s">
        <v>117</v>
      </c>
      <c r="D571" t="s">
        <v>12</v>
      </c>
      <c r="E571" t="s">
        <v>214</v>
      </c>
      <c r="F571" t="s">
        <v>66</v>
      </c>
      <c r="H571" t="s">
        <v>10</v>
      </c>
      <c r="I571" t="s">
        <v>220</v>
      </c>
      <c r="J571">
        <v>11</v>
      </c>
      <c r="L571">
        <v>11</v>
      </c>
      <c r="N571">
        <f>Таблица1[[#This Row],[Часов на заказчика  в работе]]+Таблица1[[#This Row],[Часов на заказчика  дежурство]]</f>
        <v>11</v>
      </c>
      <c r="O5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1" s="9">
        <v>135000</v>
      </c>
      <c r="R571" s="9"/>
      <c r="S571" s="5">
        <v>1</v>
      </c>
      <c r="T5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табеле]])*S571,0)</f>
        <v>4500</v>
      </c>
      <c r="U571" s="5">
        <f>IF(Таблица1[[#This Row],[ТТН]]&gt;0,Таблица1[[#This Row],[Ставка за ТТН]]*Таблица1[[#This Row],[ТТН]],0)</f>
        <v>0</v>
      </c>
    </row>
    <row r="572" spans="1:21" x14ac:dyDescent="0.25">
      <c r="A572" t="s">
        <v>84</v>
      </c>
      <c r="B572" s="24">
        <v>9</v>
      </c>
      <c r="C572" t="s">
        <v>117</v>
      </c>
      <c r="D572" t="s">
        <v>12</v>
      </c>
      <c r="E572" t="s">
        <v>214</v>
      </c>
      <c r="F572" t="s">
        <v>66</v>
      </c>
      <c r="H572" t="s">
        <v>10</v>
      </c>
      <c r="I572" t="s">
        <v>220</v>
      </c>
      <c r="J572">
        <v>11</v>
      </c>
      <c r="L572">
        <v>11</v>
      </c>
      <c r="N572">
        <f>Таблица1[[#This Row],[Часов на заказчика  в работе]]+Таблица1[[#This Row],[Часов на заказчика  дежурство]]</f>
        <v>11</v>
      </c>
      <c r="O5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2" s="9">
        <v>135000</v>
      </c>
      <c r="R572" s="9"/>
      <c r="S572" s="5">
        <v>1</v>
      </c>
      <c r="T5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табеле]])*S572,0)</f>
        <v>4500</v>
      </c>
      <c r="U572" s="5">
        <f>IF(Таблица1[[#This Row],[ТТН]]&gt;0,Таблица1[[#This Row],[Ставка за ТТН]]*Таблица1[[#This Row],[ТТН]],0)</f>
        <v>0</v>
      </c>
    </row>
    <row r="573" spans="1:21" x14ac:dyDescent="0.25">
      <c r="A573" t="s">
        <v>84</v>
      </c>
      <c r="B573" s="24">
        <v>10</v>
      </c>
      <c r="C573" t="s">
        <v>117</v>
      </c>
      <c r="D573" t="s">
        <v>12</v>
      </c>
      <c r="E573" t="s">
        <v>214</v>
      </c>
      <c r="F573" t="s">
        <v>66</v>
      </c>
      <c r="H573" t="s">
        <v>10</v>
      </c>
      <c r="I573" t="s">
        <v>220</v>
      </c>
      <c r="J573">
        <v>11</v>
      </c>
      <c r="L573">
        <v>11</v>
      </c>
      <c r="N573">
        <f>Таблица1[[#This Row],[Часов на заказчика  в работе]]+Таблица1[[#This Row],[Часов на заказчика  дежурство]]</f>
        <v>11</v>
      </c>
      <c r="O5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3" s="9">
        <v>135000</v>
      </c>
      <c r="R573" s="9"/>
      <c r="S573" s="5">
        <v>1</v>
      </c>
      <c r="T5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табеле]])*S573,0)</f>
        <v>4500</v>
      </c>
      <c r="U573" s="5">
        <f>IF(Таблица1[[#This Row],[ТТН]]&gt;0,Таблица1[[#This Row],[Ставка за ТТН]]*Таблица1[[#This Row],[ТТН]],0)</f>
        <v>0</v>
      </c>
    </row>
    <row r="574" spans="1:21" x14ac:dyDescent="0.25">
      <c r="A574" t="s">
        <v>84</v>
      </c>
      <c r="B574" s="24">
        <v>11</v>
      </c>
      <c r="C574" t="s">
        <v>117</v>
      </c>
      <c r="D574" t="s">
        <v>12</v>
      </c>
      <c r="E574" t="s">
        <v>214</v>
      </c>
      <c r="F574" t="s">
        <v>66</v>
      </c>
      <c r="H574" t="s">
        <v>10</v>
      </c>
      <c r="I574" t="s">
        <v>220</v>
      </c>
      <c r="J574">
        <v>11</v>
      </c>
      <c r="L574">
        <v>11</v>
      </c>
      <c r="N574">
        <f>Таблица1[[#This Row],[Часов на заказчика  в работе]]+Таблица1[[#This Row],[Часов на заказчика  дежурство]]</f>
        <v>11</v>
      </c>
      <c r="O5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4" s="9">
        <v>135000</v>
      </c>
      <c r="R574" s="9"/>
      <c r="S574" s="5">
        <v>1</v>
      </c>
      <c r="T5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табеле]])*S574,0)</f>
        <v>4500</v>
      </c>
      <c r="U574" s="5">
        <f>IF(Таблица1[[#This Row],[ТТН]]&gt;0,Таблица1[[#This Row],[Ставка за ТТН]]*Таблица1[[#This Row],[ТТН]],0)</f>
        <v>0</v>
      </c>
    </row>
    <row r="575" spans="1:21" x14ac:dyDescent="0.25">
      <c r="A575" t="s">
        <v>84</v>
      </c>
      <c r="B575" s="24">
        <v>12</v>
      </c>
      <c r="C575" t="s">
        <v>117</v>
      </c>
      <c r="D575" t="s">
        <v>12</v>
      </c>
      <c r="E575" t="s">
        <v>214</v>
      </c>
      <c r="F575" t="s">
        <v>66</v>
      </c>
      <c r="H575" t="s">
        <v>10</v>
      </c>
      <c r="I575" t="s">
        <v>220</v>
      </c>
      <c r="J575">
        <v>11</v>
      </c>
      <c r="L575">
        <v>11</v>
      </c>
      <c r="N575">
        <f>Таблица1[[#This Row],[Часов на заказчика  в работе]]+Таблица1[[#This Row],[Часов на заказчика  дежурство]]</f>
        <v>11</v>
      </c>
      <c r="O5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5" s="9">
        <v>135000</v>
      </c>
      <c r="R575" s="9"/>
      <c r="S575" s="5">
        <v>1</v>
      </c>
      <c r="T5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табеле]])*S575,0)</f>
        <v>4500</v>
      </c>
      <c r="U575" s="5">
        <f>IF(Таблица1[[#This Row],[ТТН]]&gt;0,Таблица1[[#This Row],[Ставка за ТТН]]*Таблица1[[#This Row],[ТТН]],0)</f>
        <v>0</v>
      </c>
    </row>
    <row r="576" spans="1:21" x14ac:dyDescent="0.25">
      <c r="A576" t="s">
        <v>84</v>
      </c>
      <c r="B576" s="24">
        <v>13</v>
      </c>
      <c r="C576" t="s">
        <v>117</v>
      </c>
      <c r="D576" t="s">
        <v>12</v>
      </c>
      <c r="E576" t="s">
        <v>214</v>
      </c>
      <c r="F576" t="s">
        <v>66</v>
      </c>
      <c r="H576" t="s">
        <v>38</v>
      </c>
      <c r="I576" t="s">
        <v>220</v>
      </c>
      <c r="J576">
        <v>11</v>
      </c>
      <c r="L576">
        <v>11</v>
      </c>
      <c r="N576">
        <f>Таблица1[[#This Row],[Часов на заказчика  в работе]]+Таблица1[[#This Row],[Часов на заказчика  дежурство]]</f>
        <v>11</v>
      </c>
      <c r="O5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6" s="9">
        <v>135000</v>
      </c>
      <c r="R576" s="9"/>
      <c r="S576" s="5">
        <v>1</v>
      </c>
      <c r="T5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табеле]])*S576,0)</f>
        <v>4500</v>
      </c>
      <c r="U576" s="5">
        <f>IF(Таблица1[[#This Row],[ТТН]]&gt;0,Таблица1[[#This Row],[Ставка за ТТН]]*Таблица1[[#This Row],[ТТН]],0)</f>
        <v>0</v>
      </c>
    </row>
    <row r="577" spans="1:21" x14ac:dyDescent="0.25">
      <c r="A577" t="s">
        <v>84</v>
      </c>
      <c r="B577" s="24">
        <v>13</v>
      </c>
      <c r="C577" t="s">
        <v>117</v>
      </c>
      <c r="D577" t="s">
        <v>12</v>
      </c>
      <c r="E577" t="s">
        <v>214</v>
      </c>
      <c r="F577" t="s">
        <v>66</v>
      </c>
      <c r="H577" t="s">
        <v>10</v>
      </c>
      <c r="I577" t="s">
        <v>220</v>
      </c>
      <c r="J577">
        <v>11</v>
      </c>
      <c r="L577">
        <v>11</v>
      </c>
      <c r="N577">
        <f>Таблица1[[#This Row],[Часов на заказчика  в работе]]+Таблица1[[#This Row],[Часов на заказчика  дежурство]]</f>
        <v>11</v>
      </c>
      <c r="O5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7" s="9">
        <v>135000</v>
      </c>
      <c r="R577" s="9"/>
      <c r="S577" s="5">
        <v>1</v>
      </c>
      <c r="T5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табеле]])*S577,0)</f>
        <v>4500</v>
      </c>
      <c r="U577" s="5">
        <f>IF(Таблица1[[#This Row],[ТТН]]&gt;0,Таблица1[[#This Row],[Ставка за ТТН]]*Таблица1[[#This Row],[ТТН]],0)</f>
        <v>0</v>
      </c>
    </row>
    <row r="578" spans="1:21" x14ac:dyDescent="0.25">
      <c r="A578" t="s">
        <v>84</v>
      </c>
      <c r="B578" s="24">
        <v>14</v>
      </c>
      <c r="C578" t="s">
        <v>117</v>
      </c>
      <c r="D578" t="s">
        <v>12</v>
      </c>
      <c r="E578" t="s">
        <v>214</v>
      </c>
      <c r="F578" t="s">
        <v>66</v>
      </c>
      <c r="H578" t="s">
        <v>10</v>
      </c>
      <c r="I578" t="s">
        <v>220</v>
      </c>
      <c r="J578">
        <v>22</v>
      </c>
      <c r="L578">
        <v>22</v>
      </c>
      <c r="N578">
        <f>Таблица1[[#This Row],[Часов на заказчика  в работе]]+Таблица1[[#This Row],[Часов на заказчика  дежурство]]</f>
        <v>22</v>
      </c>
      <c r="O5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8" s="9">
        <v>135000</v>
      </c>
      <c r="R578" s="9"/>
      <c r="S578" s="5">
        <v>1</v>
      </c>
      <c r="T5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табеле]])*S578,0)</f>
        <v>9000</v>
      </c>
      <c r="U578" s="5">
        <f>IF(Таблица1[[#This Row],[ТТН]]&gt;0,Таблица1[[#This Row],[Ставка за ТТН]]*Таблица1[[#This Row],[ТТН]],0)</f>
        <v>0</v>
      </c>
    </row>
    <row r="579" spans="1:21" x14ac:dyDescent="0.25">
      <c r="A579" t="s">
        <v>84</v>
      </c>
      <c r="B579" s="24">
        <v>15</v>
      </c>
      <c r="C579" t="s">
        <v>117</v>
      </c>
      <c r="D579" t="s">
        <v>12</v>
      </c>
      <c r="E579" t="s">
        <v>214</v>
      </c>
      <c r="F579" t="s">
        <v>66</v>
      </c>
      <c r="H579" t="s">
        <v>10</v>
      </c>
      <c r="I579" t="s">
        <v>220</v>
      </c>
      <c r="J579">
        <v>11</v>
      </c>
      <c r="L579">
        <v>11</v>
      </c>
      <c r="N579">
        <f>Таблица1[[#This Row],[Часов на заказчика  в работе]]+Таблица1[[#This Row],[Часов на заказчика  дежурство]]</f>
        <v>11</v>
      </c>
      <c r="O5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79" s="9">
        <v>135000</v>
      </c>
      <c r="R579" s="9"/>
      <c r="S579" s="5">
        <v>1</v>
      </c>
      <c r="T5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табеле]])*S579,0)</f>
        <v>4500</v>
      </c>
      <c r="U579" s="5">
        <f>IF(Таблица1[[#This Row],[ТТН]]&gt;0,Таблица1[[#This Row],[Ставка за ТТН]]*Таблица1[[#This Row],[ТТН]],0)</f>
        <v>0</v>
      </c>
    </row>
    <row r="580" spans="1:21" x14ac:dyDescent="0.25">
      <c r="A580" t="s">
        <v>84</v>
      </c>
      <c r="B580" s="24">
        <v>16</v>
      </c>
      <c r="C580" t="s">
        <v>117</v>
      </c>
      <c r="D580" t="s">
        <v>12</v>
      </c>
      <c r="E580" t="s">
        <v>214</v>
      </c>
      <c r="F580" t="s">
        <v>66</v>
      </c>
      <c r="H580" t="s">
        <v>10</v>
      </c>
      <c r="I580" t="s">
        <v>220</v>
      </c>
      <c r="J580">
        <v>11</v>
      </c>
      <c r="L580">
        <v>11</v>
      </c>
      <c r="N580">
        <f>Таблица1[[#This Row],[Часов на заказчика  в работе]]+Таблица1[[#This Row],[Часов на заказчика  дежурство]]</f>
        <v>11</v>
      </c>
      <c r="O5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0" s="9">
        <v>135000</v>
      </c>
      <c r="R580" s="9"/>
      <c r="S580" s="5">
        <v>1</v>
      </c>
      <c r="T5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табеле]])*S580,0)</f>
        <v>4500</v>
      </c>
      <c r="U580" s="5">
        <f>IF(Таблица1[[#This Row],[ТТН]]&gt;0,Таблица1[[#This Row],[Ставка за ТТН]]*Таблица1[[#This Row],[ТТН]],0)</f>
        <v>0</v>
      </c>
    </row>
    <row r="581" spans="1:21" x14ac:dyDescent="0.25">
      <c r="A581" t="s">
        <v>84</v>
      </c>
      <c r="B581" s="24">
        <v>17</v>
      </c>
      <c r="C581" t="s">
        <v>117</v>
      </c>
      <c r="D581" t="s">
        <v>12</v>
      </c>
      <c r="E581" t="s">
        <v>214</v>
      </c>
      <c r="F581" t="s">
        <v>66</v>
      </c>
      <c r="H581" t="s">
        <v>10</v>
      </c>
      <c r="I581" t="s">
        <v>220</v>
      </c>
      <c r="J581">
        <v>11</v>
      </c>
      <c r="L581">
        <v>11</v>
      </c>
      <c r="N581">
        <f>Таблица1[[#This Row],[Часов на заказчика  в работе]]+Таблица1[[#This Row],[Часов на заказчика  дежурство]]</f>
        <v>11</v>
      </c>
      <c r="O5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1" s="9">
        <v>135000</v>
      </c>
      <c r="R581" s="9"/>
      <c r="S581" s="5">
        <v>1</v>
      </c>
      <c r="T5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табеле]])*S581,0)</f>
        <v>4500</v>
      </c>
      <c r="U581" s="5">
        <f>IF(Таблица1[[#This Row],[ТТН]]&gt;0,Таблица1[[#This Row],[Ставка за ТТН]]*Таблица1[[#This Row],[ТТН]],0)</f>
        <v>0</v>
      </c>
    </row>
    <row r="582" spans="1:21" x14ac:dyDescent="0.25">
      <c r="A582" t="s">
        <v>84</v>
      </c>
      <c r="B582" s="24">
        <v>18</v>
      </c>
      <c r="C582" t="s">
        <v>117</v>
      </c>
      <c r="D582" t="s">
        <v>12</v>
      </c>
      <c r="E582" t="s">
        <v>214</v>
      </c>
      <c r="F582" t="s">
        <v>66</v>
      </c>
      <c r="H582" t="s">
        <v>10</v>
      </c>
      <c r="I582" t="s">
        <v>220</v>
      </c>
      <c r="J582">
        <v>22</v>
      </c>
      <c r="L582">
        <v>22</v>
      </c>
      <c r="N582">
        <f>Таблица1[[#This Row],[Часов на заказчика  в работе]]+Таблица1[[#This Row],[Часов на заказчика  дежурство]]</f>
        <v>22</v>
      </c>
      <c r="O5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2" s="9">
        <v>135000</v>
      </c>
      <c r="R582" s="9"/>
      <c r="S582" s="5">
        <v>1</v>
      </c>
      <c r="T5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табеле]])*S582,0)</f>
        <v>9000</v>
      </c>
      <c r="U582" s="5">
        <f>IF(Таблица1[[#This Row],[ТТН]]&gt;0,Таблица1[[#This Row],[Ставка за ТТН]]*Таблица1[[#This Row],[ТТН]],0)</f>
        <v>0</v>
      </c>
    </row>
    <row r="583" spans="1:21" x14ac:dyDescent="0.25">
      <c r="A583" t="s">
        <v>84</v>
      </c>
      <c r="B583" s="24">
        <v>19</v>
      </c>
      <c r="C583" t="s">
        <v>117</v>
      </c>
      <c r="D583" t="s">
        <v>12</v>
      </c>
      <c r="E583" t="s">
        <v>214</v>
      </c>
      <c r="F583" t="s">
        <v>66</v>
      </c>
      <c r="H583" t="s">
        <v>10</v>
      </c>
      <c r="I583" t="s">
        <v>220</v>
      </c>
      <c r="J583">
        <v>22</v>
      </c>
      <c r="L583">
        <v>22</v>
      </c>
      <c r="N583">
        <f>Таблица1[[#This Row],[Часов на заказчика  в работе]]+Таблица1[[#This Row],[Часов на заказчика  дежурство]]</f>
        <v>22</v>
      </c>
      <c r="O5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3" s="9">
        <v>135000</v>
      </c>
      <c r="R583" s="9"/>
      <c r="S583" s="5">
        <v>1</v>
      </c>
      <c r="T5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табеле]])*S583,0)</f>
        <v>9000</v>
      </c>
      <c r="U583" s="5">
        <f>IF(Таблица1[[#This Row],[ТТН]]&gt;0,Таблица1[[#This Row],[Ставка за ТТН]]*Таблица1[[#This Row],[ТТН]],0)</f>
        <v>0</v>
      </c>
    </row>
    <row r="584" spans="1:21" x14ac:dyDescent="0.25">
      <c r="A584" t="s">
        <v>84</v>
      </c>
      <c r="B584" s="24">
        <v>20</v>
      </c>
      <c r="C584" t="s">
        <v>117</v>
      </c>
      <c r="D584" t="s">
        <v>12</v>
      </c>
      <c r="E584" t="s">
        <v>214</v>
      </c>
      <c r="F584" t="s">
        <v>66</v>
      </c>
      <c r="H584" t="s">
        <v>24</v>
      </c>
      <c r="I584" t="s">
        <v>217</v>
      </c>
      <c r="J584">
        <v>8</v>
      </c>
      <c r="N584">
        <f>Таблица1[[#This Row],[Часов на заказчика  в работе]]+Таблица1[[#This Row],[Часов на заказчика  дежурство]]</f>
        <v>0</v>
      </c>
      <c r="O5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4" s="9">
        <v>135000</v>
      </c>
      <c r="R584" s="9"/>
      <c r="S584" s="5">
        <v>1</v>
      </c>
      <c r="T5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табеле]])*S584,0)</f>
        <v>0</v>
      </c>
      <c r="U584" s="5">
        <f>IF(Таблица1[[#This Row],[ТТН]]&gt;0,Таблица1[[#This Row],[Ставка за ТТН]]*Таблица1[[#This Row],[ТТН]],0)</f>
        <v>0</v>
      </c>
    </row>
    <row r="585" spans="1:21" x14ac:dyDescent="0.25">
      <c r="A585" t="s">
        <v>84</v>
      </c>
      <c r="B585" s="24">
        <v>21</v>
      </c>
      <c r="C585" t="s">
        <v>117</v>
      </c>
      <c r="D585" t="s">
        <v>12</v>
      </c>
      <c r="E585" t="s">
        <v>214</v>
      </c>
      <c r="F585" t="s">
        <v>66</v>
      </c>
      <c r="H585" t="s">
        <v>24</v>
      </c>
      <c r="I585" t="s">
        <v>217</v>
      </c>
      <c r="J585">
        <v>8</v>
      </c>
      <c r="N585">
        <f>Таблица1[[#This Row],[Часов на заказчика  в работе]]+Таблица1[[#This Row],[Часов на заказчика  дежурство]]</f>
        <v>0</v>
      </c>
      <c r="O5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5" s="9">
        <v>135000</v>
      </c>
      <c r="R585" s="9"/>
      <c r="S585" s="5">
        <v>1</v>
      </c>
      <c r="T5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табеле]])*S585,0)</f>
        <v>0</v>
      </c>
      <c r="U585" s="5">
        <f>IF(Таблица1[[#This Row],[ТТН]]&gt;0,Таблица1[[#This Row],[Ставка за ТТН]]*Таблица1[[#This Row],[ТТН]],0)</f>
        <v>0</v>
      </c>
    </row>
    <row r="586" spans="1:21" x14ac:dyDescent="0.25">
      <c r="A586" t="s">
        <v>84</v>
      </c>
      <c r="B586" s="24">
        <v>22</v>
      </c>
      <c r="C586" t="s">
        <v>117</v>
      </c>
      <c r="D586" t="s">
        <v>12</v>
      </c>
      <c r="E586" t="s">
        <v>214</v>
      </c>
      <c r="F586" t="s">
        <v>66</v>
      </c>
      <c r="H586" t="s">
        <v>29</v>
      </c>
      <c r="I586" t="s">
        <v>217</v>
      </c>
      <c r="J586">
        <v>8</v>
      </c>
      <c r="N586">
        <f>Таблица1[[#This Row],[Часов на заказчика  в работе]]+Таблица1[[#This Row],[Часов на заказчика  дежурство]]</f>
        <v>0</v>
      </c>
      <c r="O5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6" s="9">
        <v>135000</v>
      </c>
      <c r="R586" s="9"/>
      <c r="S586" s="5">
        <v>1</v>
      </c>
      <c r="T5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табеле]])*S586,0)</f>
        <v>0</v>
      </c>
      <c r="U586" s="5">
        <f>IF(Таблица1[[#This Row],[ТТН]]&gt;0,Таблица1[[#This Row],[Ставка за ТТН]]*Таблица1[[#This Row],[ТТН]],0)</f>
        <v>0</v>
      </c>
    </row>
    <row r="587" spans="1:21" x14ac:dyDescent="0.25">
      <c r="A587" t="s">
        <v>84</v>
      </c>
      <c r="B587" s="24">
        <v>23</v>
      </c>
      <c r="C587" t="s">
        <v>117</v>
      </c>
      <c r="D587" t="s">
        <v>12</v>
      </c>
      <c r="E587" t="s">
        <v>214</v>
      </c>
      <c r="F587" t="s">
        <v>66</v>
      </c>
      <c r="H587" t="s">
        <v>29</v>
      </c>
      <c r="I587" t="s">
        <v>217</v>
      </c>
      <c r="J587">
        <v>8</v>
      </c>
      <c r="N587">
        <f>Таблица1[[#This Row],[Часов на заказчика  в работе]]+Таблица1[[#This Row],[Часов на заказчика  дежурство]]</f>
        <v>0</v>
      </c>
      <c r="O5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7" s="9">
        <v>135000</v>
      </c>
      <c r="R587" s="9"/>
      <c r="S587" s="5">
        <v>1</v>
      </c>
      <c r="T5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табеле]])*S587,0)</f>
        <v>0</v>
      </c>
      <c r="U587" s="5">
        <f>IF(Таблица1[[#This Row],[ТТН]]&gt;0,Таблица1[[#This Row],[Ставка за ТТН]]*Таблица1[[#This Row],[ТТН]],0)</f>
        <v>0</v>
      </c>
    </row>
    <row r="588" spans="1:21" x14ac:dyDescent="0.25">
      <c r="A588" t="s">
        <v>84</v>
      </c>
      <c r="B588" s="24">
        <v>24</v>
      </c>
      <c r="C588" t="s">
        <v>117</v>
      </c>
      <c r="D588" t="s">
        <v>12</v>
      </c>
      <c r="E588" t="s">
        <v>214</v>
      </c>
      <c r="F588" t="s">
        <v>66</v>
      </c>
      <c r="H588" t="s">
        <v>29</v>
      </c>
      <c r="I588" t="s">
        <v>217</v>
      </c>
      <c r="J588">
        <v>8</v>
      </c>
      <c r="N588">
        <f>Таблица1[[#This Row],[Часов на заказчика  в работе]]+Таблица1[[#This Row],[Часов на заказчика  дежурство]]</f>
        <v>0</v>
      </c>
      <c r="O5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8" s="9">
        <v>135000</v>
      </c>
      <c r="R588" s="9"/>
      <c r="S588" s="5">
        <v>1</v>
      </c>
      <c r="T5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табеле]])*S588,0)</f>
        <v>0</v>
      </c>
      <c r="U588" s="5">
        <f>IF(Таблица1[[#This Row],[ТТН]]&gt;0,Таблица1[[#This Row],[Ставка за ТТН]]*Таблица1[[#This Row],[ТТН]],0)</f>
        <v>0</v>
      </c>
    </row>
    <row r="589" spans="1:21" x14ac:dyDescent="0.25">
      <c r="A589" t="s">
        <v>84</v>
      </c>
      <c r="B589" s="24">
        <v>25</v>
      </c>
      <c r="C589" t="s">
        <v>117</v>
      </c>
      <c r="D589" t="s">
        <v>12</v>
      </c>
      <c r="E589" t="s">
        <v>214</v>
      </c>
      <c r="F589" t="s">
        <v>66</v>
      </c>
      <c r="H589" t="s">
        <v>29</v>
      </c>
      <c r="I589" t="s">
        <v>217</v>
      </c>
      <c r="J589">
        <v>8</v>
      </c>
      <c r="N589">
        <f>Таблица1[[#This Row],[Часов на заказчика  в работе]]+Таблица1[[#This Row],[Часов на заказчика  дежурство]]</f>
        <v>0</v>
      </c>
      <c r="O5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89" s="9">
        <v>135000</v>
      </c>
      <c r="R589" s="9"/>
      <c r="S589" s="5">
        <v>1</v>
      </c>
      <c r="T5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табеле]])*S589,0)</f>
        <v>0</v>
      </c>
      <c r="U589" s="5">
        <f>IF(Таблица1[[#This Row],[ТТН]]&gt;0,Таблица1[[#This Row],[Ставка за ТТН]]*Таблица1[[#This Row],[ТТН]],0)</f>
        <v>0</v>
      </c>
    </row>
    <row r="590" spans="1:21" x14ac:dyDescent="0.25">
      <c r="A590" t="s">
        <v>84</v>
      </c>
      <c r="B590" s="24">
        <v>26</v>
      </c>
      <c r="C590" t="s">
        <v>117</v>
      </c>
      <c r="D590" t="s">
        <v>12</v>
      </c>
      <c r="E590" t="s">
        <v>214</v>
      </c>
      <c r="F590" t="s">
        <v>66</v>
      </c>
      <c r="H590" t="s">
        <v>29</v>
      </c>
      <c r="I590" t="s">
        <v>217</v>
      </c>
      <c r="J590">
        <v>8</v>
      </c>
      <c r="N590">
        <f>Таблица1[[#This Row],[Часов на заказчика  в работе]]+Таблица1[[#This Row],[Часов на заказчика  дежурство]]</f>
        <v>0</v>
      </c>
      <c r="O5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0" s="9">
        <v>135000</v>
      </c>
      <c r="R590" s="9"/>
      <c r="S590" s="5">
        <v>1</v>
      </c>
      <c r="T5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табеле]])*S590,0)</f>
        <v>0</v>
      </c>
      <c r="U590" s="5">
        <f>IF(Таблица1[[#This Row],[ТТН]]&gt;0,Таблица1[[#This Row],[Ставка за ТТН]]*Таблица1[[#This Row],[ТТН]],0)</f>
        <v>0</v>
      </c>
    </row>
    <row r="591" spans="1:21" x14ac:dyDescent="0.25">
      <c r="A591" t="s">
        <v>84</v>
      </c>
      <c r="B591" s="24">
        <v>27</v>
      </c>
      <c r="C591" t="s">
        <v>117</v>
      </c>
      <c r="D591" t="s">
        <v>12</v>
      </c>
      <c r="E591" t="s">
        <v>214</v>
      </c>
      <c r="F591" t="s">
        <v>66</v>
      </c>
      <c r="H591" t="s">
        <v>30</v>
      </c>
      <c r="I591" t="s">
        <v>217</v>
      </c>
      <c r="J591">
        <v>1</v>
      </c>
      <c r="N591">
        <f>Таблица1[[#This Row],[Часов на заказчика  в работе]]+Таблица1[[#This Row],[Часов на заказчика  дежурство]]</f>
        <v>0</v>
      </c>
      <c r="O5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1" s="9">
        <v>135000</v>
      </c>
      <c r="R591" s="9"/>
      <c r="S591" s="5">
        <v>1</v>
      </c>
      <c r="T5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табеле]])*S591,0)</f>
        <v>0</v>
      </c>
      <c r="U591" s="5">
        <f>IF(Таблица1[[#This Row],[ТТН]]&gt;0,Таблица1[[#This Row],[Ставка за ТТН]]*Таблица1[[#This Row],[ТТН]],0)</f>
        <v>0</v>
      </c>
    </row>
    <row r="592" spans="1:21" x14ac:dyDescent="0.25">
      <c r="A592" t="s">
        <v>84</v>
      </c>
      <c r="B592" s="24">
        <v>28</v>
      </c>
      <c r="C592" t="s">
        <v>117</v>
      </c>
      <c r="D592" t="s">
        <v>12</v>
      </c>
      <c r="E592" t="s">
        <v>214</v>
      </c>
      <c r="F592" t="s">
        <v>66</v>
      </c>
      <c r="H592" t="s">
        <v>30</v>
      </c>
      <c r="I592" t="s">
        <v>217</v>
      </c>
      <c r="J592">
        <v>1</v>
      </c>
      <c r="N592">
        <f>Таблица1[[#This Row],[Часов на заказчика  в работе]]+Таблица1[[#This Row],[Часов на заказчика  дежурство]]</f>
        <v>0</v>
      </c>
      <c r="O5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2" s="9">
        <v>135000</v>
      </c>
      <c r="R592" s="9"/>
      <c r="S592" s="5">
        <v>1</v>
      </c>
      <c r="T5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табеле]])*S592,0)</f>
        <v>0</v>
      </c>
      <c r="U592" s="5">
        <f>IF(Таблица1[[#This Row],[ТТН]]&gt;0,Таблица1[[#This Row],[Ставка за ТТН]]*Таблица1[[#This Row],[ТТН]],0)</f>
        <v>0</v>
      </c>
    </row>
    <row r="593" spans="1:21" x14ac:dyDescent="0.25">
      <c r="A593" t="s">
        <v>84</v>
      </c>
      <c r="B593" s="24">
        <v>29</v>
      </c>
      <c r="C593" t="s">
        <v>117</v>
      </c>
      <c r="D593" t="s">
        <v>12</v>
      </c>
      <c r="E593" t="s">
        <v>214</v>
      </c>
      <c r="F593" t="s">
        <v>66</v>
      </c>
      <c r="H593" t="s">
        <v>29</v>
      </c>
      <c r="I593" t="s">
        <v>217</v>
      </c>
      <c r="J593">
        <v>8</v>
      </c>
      <c r="N593">
        <f>Таблица1[[#This Row],[Часов на заказчика  в работе]]+Таблица1[[#This Row],[Часов на заказчика  дежурство]]</f>
        <v>0</v>
      </c>
      <c r="O5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3" s="9">
        <v>135000</v>
      </c>
      <c r="R593" s="9"/>
      <c r="S593" s="5">
        <v>1</v>
      </c>
      <c r="T5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табеле]])*S593,0)</f>
        <v>0</v>
      </c>
      <c r="U593" s="5">
        <f>IF(Таблица1[[#This Row],[ТТН]]&gt;0,Таблица1[[#This Row],[Ставка за ТТН]]*Таблица1[[#This Row],[ТТН]],0)</f>
        <v>0</v>
      </c>
    </row>
    <row r="594" spans="1:21" x14ac:dyDescent="0.25">
      <c r="A594" t="s">
        <v>84</v>
      </c>
      <c r="B594" s="24">
        <v>30</v>
      </c>
      <c r="C594" t="s">
        <v>118</v>
      </c>
      <c r="D594" t="s">
        <v>12</v>
      </c>
      <c r="E594" t="s">
        <v>214</v>
      </c>
      <c r="F594" t="s">
        <v>66</v>
      </c>
      <c r="H594" t="s">
        <v>29</v>
      </c>
      <c r="I594" t="s">
        <v>217</v>
      </c>
      <c r="J594">
        <v>8</v>
      </c>
      <c r="N594">
        <f>Таблица1[[#This Row],[Часов на заказчика  в работе]]+Таблица1[[#This Row],[Часов на заказчика  дежурство]]</f>
        <v>0</v>
      </c>
      <c r="O5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4" s="9">
        <v>135000</v>
      </c>
      <c r="R594" s="9"/>
      <c r="S594" s="5">
        <v>1</v>
      </c>
      <c r="T5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табеле]])*S594,0)</f>
        <v>0</v>
      </c>
      <c r="U594" s="5">
        <f>IF(Таблица1[[#This Row],[ТТН]]&gt;0,Таблица1[[#This Row],[Ставка за ТТН]]*Таблица1[[#This Row],[ТТН]],0)</f>
        <v>0</v>
      </c>
    </row>
    <row r="595" spans="1:21" x14ac:dyDescent="0.25">
      <c r="A595" t="s">
        <v>84</v>
      </c>
      <c r="B595" s="24">
        <v>1</v>
      </c>
      <c r="C595" t="s">
        <v>118</v>
      </c>
      <c r="D595" t="s">
        <v>9</v>
      </c>
      <c r="E595" t="s">
        <v>214</v>
      </c>
      <c r="F595" t="s">
        <v>9</v>
      </c>
      <c r="H595" t="s">
        <v>10</v>
      </c>
      <c r="I595" t="s">
        <v>217</v>
      </c>
      <c r="J595">
        <v>11</v>
      </c>
      <c r="N595">
        <f>Таблица1[[#This Row],[Часов на заказчика  в работе]]+Таблица1[[#This Row],[Часов на заказчика  дежурство]]</f>
        <v>0</v>
      </c>
      <c r="O5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5" s="9">
        <v>150000</v>
      </c>
      <c r="R595" s="9"/>
      <c r="S595" s="5">
        <v>1.2</v>
      </c>
      <c r="T5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табеле]])*S595,0)</f>
        <v>6000</v>
      </c>
      <c r="U595" s="5">
        <f>IF(Таблица1[[#This Row],[ТТН]]&gt;0,Таблица1[[#This Row],[Ставка за ТТН]]*Таблица1[[#This Row],[ТТН]],0)</f>
        <v>0</v>
      </c>
    </row>
    <row r="596" spans="1:21" x14ac:dyDescent="0.25">
      <c r="A596" t="s">
        <v>84</v>
      </c>
      <c r="B596" s="24">
        <v>2</v>
      </c>
      <c r="C596" t="s">
        <v>118</v>
      </c>
      <c r="D596" t="s">
        <v>9</v>
      </c>
      <c r="E596" t="s">
        <v>214</v>
      </c>
      <c r="F596" t="s">
        <v>9</v>
      </c>
      <c r="H596" t="s">
        <v>10</v>
      </c>
      <c r="I596" t="s">
        <v>217</v>
      </c>
      <c r="J596">
        <v>11</v>
      </c>
      <c r="N596">
        <f>Таблица1[[#This Row],[Часов на заказчика  в работе]]+Таблица1[[#This Row],[Часов на заказчика  дежурство]]</f>
        <v>0</v>
      </c>
      <c r="O5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6" s="9">
        <v>150000</v>
      </c>
      <c r="R596" s="9"/>
      <c r="S596" s="5">
        <v>1.2</v>
      </c>
      <c r="T5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табеле]])*S596,0)</f>
        <v>6000</v>
      </c>
      <c r="U596" s="5">
        <f>IF(Таблица1[[#This Row],[ТТН]]&gt;0,Таблица1[[#This Row],[Ставка за ТТН]]*Таблица1[[#This Row],[ТТН]],0)</f>
        <v>0</v>
      </c>
    </row>
    <row r="597" spans="1:21" x14ac:dyDescent="0.25">
      <c r="A597" t="s">
        <v>84</v>
      </c>
      <c r="B597" s="24">
        <v>3</v>
      </c>
      <c r="C597" t="s">
        <v>118</v>
      </c>
      <c r="D597" t="s">
        <v>9</v>
      </c>
      <c r="E597" t="s">
        <v>214</v>
      </c>
      <c r="F597" t="s">
        <v>9</v>
      </c>
      <c r="H597" t="s">
        <v>10</v>
      </c>
      <c r="I597" t="s">
        <v>217</v>
      </c>
      <c r="J597">
        <v>11</v>
      </c>
      <c r="N597">
        <f>Таблица1[[#This Row],[Часов на заказчика  в работе]]+Таблица1[[#This Row],[Часов на заказчика  дежурство]]</f>
        <v>0</v>
      </c>
      <c r="O5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7" s="9">
        <v>150000</v>
      </c>
      <c r="R597" s="9"/>
      <c r="S597" s="5">
        <v>1.2</v>
      </c>
      <c r="T5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табеле]])*S597,0)</f>
        <v>6000</v>
      </c>
      <c r="U597" s="5">
        <f>IF(Таблица1[[#This Row],[ТТН]]&gt;0,Таблица1[[#This Row],[Ставка за ТТН]]*Таблица1[[#This Row],[ТТН]],0)</f>
        <v>0</v>
      </c>
    </row>
    <row r="598" spans="1:21" x14ac:dyDescent="0.25">
      <c r="A598" t="s">
        <v>84</v>
      </c>
      <c r="B598" s="24">
        <v>4</v>
      </c>
      <c r="C598" t="s">
        <v>118</v>
      </c>
      <c r="D598" t="s">
        <v>9</v>
      </c>
      <c r="E598" t="s">
        <v>214</v>
      </c>
      <c r="F598" t="s">
        <v>9</v>
      </c>
      <c r="H598" t="s">
        <v>10</v>
      </c>
      <c r="I598" t="s">
        <v>217</v>
      </c>
      <c r="J598">
        <v>11</v>
      </c>
      <c r="N598">
        <f>Таблица1[[#This Row],[Часов на заказчика  в работе]]+Таблица1[[#This Row],[Часов на заказчика  дежурство]]</f>
        <v>0</v>
      </c>
      <c r="O5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8" s="9">
        <v>150000</v>
      </c>
      <c r="R598" s="9"/>
      <c r="S598" s="5">
        <v>1.2</v>
      </c>
      <c r="T5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табеле]])*S598,0)</f>
        <v>6000</v>
      </c>
      <c r="U598" s="5">
        <f>IF(Таблица1[[#This Row],[ТТН]]&gt;0,Таблица1[[#This Row],[Ставка за ТТН]]*Таблица1[[#This Row],[ТТН]],0)</f>
        <v>0</v>
      </c>
    </row>
    <row r="599" spans="1:21" x14ac:dyDescent="0.25">
      <c r="A599" t="s">
        <v>84</v>
      </c>
      <c r="B599" s="24">
        <v>5</v>
      </c>
      <c r="C599" t="s">
        <v>118</v>
      </c>
      <c r="D599" t="s">
        <v>9</v>
      </c>
      <c r="E599" t="s">
        <v>214</v>
      </c>
      <c r="F599" t="s">
        <v>9</v>
      </c>
      <c r="H599" t="s">
        <v>10</v>
      </c>
      <c r="I599" t="s">
        <v>217</v>
      </c>
      <c r="J599">
        <v>11</v>
      </c>
      <c r="N599">
        <f>Таблица1[[#This Row],[Часов на заказчика  в работе]]+Таблица1[[#This Row],[Часов на заказчика  дежурство]]</f>
        <v>0</v>
      </c>
      <c r="O5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599" s="9">
        <v>150000</v>
      </c>
      <c r="R599" s="9"/>
      <c r="S599" s="5">
        <v>1.2</v>
      </c>
      <c r="T5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табеле]])*S599,0)</f>
        <v>6000</v>
      </c>
      <c r="U599" s="5">
        <f>IF(Таблица1[[#This Row],[ТТН]]&gt;0,Таблица1[[#This Row],[Ставка за ТТН]]*Таблица1[[#This Row],[ТТН]],0)</f>
        <v>0</v>
      </c>
    </row>
    <row r="600" spans="1:21" x14ac:dyDescent="0.25">
      <c r="A600" t="s">
        <v>84</v>
      </c>
      <c r="B600" s="24">
        <v>6</v>
      </c>
      <c r="C600" t="s">
        <v>118</v>
      </c>
      <c r="D600" t="s">
        <v>9</v>
      </c>
      <c r="E600" t="s">
        <v>214</v>
      </c>
      <c r="F600" t="s">
        <v>9</v>
      </c>
      <c r="H600" t="s">
        <v>10</v>
      </c>
      <c r="I600" t="s">
        <v>217</v>
      </c>
      <c r="J600">
        <v>11</v>
      </c>
      <c r="N600">
        <f>Таблица1[[#This Row],[Часов на заказчика  в работе]]+Таблица1[[#This Row],[Часов на заказчика  дежурство]]</f>
        <v>0</v>
      </c>
      <c r="O6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0" s="9">
        <v>150000</v>
      </c>
      <c r="R600" s="9"/>
      <c r="S600" s="5">
        <v>1.2</v>
      </c>
      <c r="T6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табеле]])*S600,0)</f>
        <v>6000</v>
      </c>
      <c r="U600" s="5">
        <f>IF(Таблица1[[#This Row],[ТТН]]&gt;0,Таблица1[[#This Row],[Ставка за ТТН]]*Таблица1[[#This Row],[ТТН]],0)</f>
        <v>0</v>
      </c>
    </row>
    <row r="601" spans="1:21" x14ac:dyDescent="0.25">
      <c r="A601" t="s">
        <v>84</v>
      </c>
      <c r="B601" s="24">
        <v>7</v>
      </c>
      <c r="C601" t="s">
        <v>118</v>
      </c>
      <c r="D601" t="s">
        <v>9</v>
      </c>
      <c r="E601" t="s">
        <v>214</v>
      </c>
      <c r="F601" t="s">
        <v>9</v>
      </c>
      <c r="H601" t="s">
        <v>10</v>
      </c>
      <c r="I601" t="s">
        <v>217</v>
      </c>
      <c r="J601">
        <v>11</v>
      </c>
      <c r="N601">
        <f>Таблица1[[#This Row],[Часов на заказчика  в работе]]+Таблица1[[#This Row],[Часов на заказчика  дежурство]]</f>
        <v>0</v>
      </c>
      <c r="O6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1" s="9">
        <v>150000</v>
      </c>
      <c r="R601" s="9"/>
      <c r="S601" s="5">
        <v>1.2</v>
      </c>
      <c r="T6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табеле]])*S601,0)</f>
        <v>6000</v>
      </c>
      <c r="U601" s="5">
        <f>IF(Таблица1[[#This Row],[ТТН]]&gt;0,Таблица1[[#This Row],[Ставка за ТТН]]*Таблица1[[#This Row],[ТТН]],0)</f>
        <v>0</v>
      </c>
    </row>
    <row r="602" spans="1:21" x14ac:dyDescent="0.25">
      <c r="A602" t="s">
        <v>84</v>
      </c>
      <c r="B602" s="24">
        <v>8</v>
      </c>
      <c r="C602" t="s">
        <v>118</v>
      </c>
      <c r="D602" t="s">
        <v>9</v>
      </c>
      <c r="E602" t="s">
        <v>214</v>
      </c>
      <c r="F602" t="s">
        <v>9</v>
      </c>
      <c r="H602" t="s">
        <v>10</v>
      </c>
      <c r="I602" t="s">
        <v>217</v>
      </c>
      <c r="J602">
        <v>11</v>
      </c>
      <c r="N602">
        <f>Таблица1[[#This Row],[Часов на заказчика  в работе]]+Таблица1[[#This Row],[Часов на заказчика  дежурство]]</f>
        <v>0</v>
      </c>
      <c r="O6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2" s="9">
        <v>150000</v>
      </c>
      <c r="R602" s="9"/>
      <c r="S602" s="5">
        <v>1.2</v>
      </c>
      <c r="T6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табеле]])*S602,0)</f>
        <v>6000</v>
      </c>
      <c r="U602" s="5">
        <f>IF(Таблица1[[#This Row],[ТТН]]&gt;0,Таблица1[[#This Row],[Ставка за ТТН]]*Таблица1[[#This Row],[ТТН]],0)</f>
        <v>0</v>
      </c>
    </row>
    <row r="603" spans="1:21" x14ac:dyDescent="0.25">
      <c r="A603" t="s">
        <v>84</v>
      </c>
      <c r="B603" s="24">
        <v>9</v>
      </c>
      <c r="C603" t="s">
        <v>118</v>
      </c>
      <c r="D603" t="s">
        <v>9</v>
      </c>
      <c r="E603" t="s">
        <v>214</v>
      </c>
      <c r="F603" t="s">
        <v>9</v>
      </c>
      <c r="H603" t="s">
        <v>10</v>
      </c>
      <c r="I603" t="s">
        <v>217</v>
      </c>
      <c r="J603">
        <v>11</v>
      </c>
      <c r="N603">
        <f>Таблица1[[#This Row],[Часов на заказчика  в работе]]+Таблица1[[#This Row],[Часов на заказчика  дежурство]]</f>
        <v>0</v>
      </c>
      <c r="O6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3" s="9">
        <v>150000</v>
      </c>
      <c r="R603" s="9"/>
      <c r="S603" s="5">
        <v>1.2</v>
      </c>
      <c r="T6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табеле]])*S603,0)</f>
        <v>6000</v>
      </c>
      <c r="U603" s="5">
        <f>IF(Таблица1[[#This Row],[ТТН]]&gt;0,Таблица1[[#This Row],[Ставка за ТТН]]*Таблица1[[#This Row],[ТТН]],0)</f>
        <v>0</v>
      </c>
    </row>
    <row r="604" spans="1:21" x14ac:dyDescent="0.25">
      <c r="A604" t="s">
        <v>84</v>
      </c>
      <c r="B604" s="24">
        <v>10</v>
      </c>
      <c r="C604" t="s">
        <v>118</v>
      </c>
      <c r="D604" t="s">
        <v>9</v>
      </c>
      <c r="E604" t="s">
        <v>214</v>
      </c>
      <c r="F604" t="s">
        <v>9</v>
      </c>
      <c r="H604" t="s">
        <v>10</v>
      </c>
      <c r="I604" t="s">
        <v>217</v>
      </c>
      <c r="J604">
        <v>11</v>
      </c>
      <c r="N604">
        <f>Таблица1[[#This Row],[Часов на заказчика  в работе]]+Таблица1[[#This Row],[Часов на заказчика  дежурство]]</f>
        <v>0</v>
      </c>
      <c r="O6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4" s="9">
        <v>150000</v>
      </c>
      <c r="R604" s="9"/>
      <c r="S604" s="5">
        <v>1.2</v>
      </c>
      <c r="T6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табеле]])*S604,0)</f>
        <v>6000</v>
      </c>
      <c r="U604" s="5">
        <f>IF(Таблица1[[#This Row],[ТТН]]&gt;0,Таблица1[[#This Row],[Ставка за ТТН]]*Таблица1[[#This Row],[ТТН]],0)</f>
        <v>0</v>
      </c>
    </row>
    <row r="605" spans="1:21" x14ac:dyDescent="0.25">
      <c r="A605" t="s">
        <v>84</v>
      </c>
      <c r="B605" s="24">
        <v>11</v>
      </c>
      <c r="C605" t="s">
        <v>118</v>
      </c>
      <c r="D605" t="s">
        <v>9</v>
      </c>
      <c r="E605" t="s">
        <v>214</v>
      </c>
      <c r="F605" t="s">
        <v>9</v>
      </c>
      <c r="H605" t="s">
        <v>10</v>
      </c>
      <c r="I605" t="s">
        <v>217</v>
      </c>
      <c r="J605">
        <v>11</v>
      </c>
      <c r="N605">
        <f>Таблица1[[#This Row],[Часов на заказчика  в работе]]+Таблица1[[#This Row],[Часов на заказчика  дежурство]]</f>
        <v>0</v>
      </c>
      <c r="O6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5" s="9">
        <v>150000</v>
      </c>
      <c r="R605" s="9"/>
      <c r="S605" s="5">
        <v>1.2</v>
      </c>
      <c r="T6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табеле]])*S605,0)</f>
        <v>6000</v>
      </c>
      <c r="U605" s="5">
        <f>IF(Таблица1[[#This Row],[ТТН]]&gt;0,Таблица1[[#This Row],[Ставка за ТТН]]*Таблица1[[#This Row],[ТТН]],0)</f>
        <v>0</v>
      </c>
    </row>
    <row r="606" spans="1:21" x14ac:dyDescent="0.25">
      <c r="A606" t="s">
        <v>84</v>
      </c>
      <c r="B606" s="24">
        <v>12</v>
      </c>
      <c r="C606" t="s">
        <v>118</v>
      </c>
      <c r="D606" t="s">
        <v>9</v>
      </c>
      <c r="E606" t="s">
        <v>214</v>
      </c>
      <c r="F606" t="s">
        <v>9</v>
      </c>
      <c r="H606" t="s">
        <v>10</v>
      </c>
      <c r="I606" t="s">
        <v>217</v>
      </c>
      <c r="J606">
        <v>11</v>
      </c>
      <c r="N606">
        <f>Таблица1[[#This Row],[Часов на заказчика  в работе]]+Таблица1[[#This Row],[Часов на заказчика  дежурство]]</f>
        <v>0</v>
      </c>
      <c r="O6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6" s="9">
        <v>150000</v>
      </c>
      <c r="R606" s="9"/>
      <c r="S606" s="5">
        <v>1.2</v>
      </c>
      <c r="T6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табеле]])*S606,0)</f>
        <v>6000</v>
      </c>
      <c r="U606" s="5">
        <f>IF(Таблица1[[#This Row],[ТТН]]&gt;0,Таблица1[[#This Row],[Ставка за ТТН]]*Таблица1[[#This Row],[ТТН]],0)</f>
        <v>0</v>
      </c>
    </row>
    <row r="607" spans="1:21" x14ac:dyDescent="0.25">
      <c r="A607" t="s">
        <v>84</v>
      </c>
      <c r="B607" s="24">
        <v>13</v>
      </c>
      <c r="C607" t="s">
        <v>118</v>
      </c>
      <c r="D607" t="s">
        <v>9</v>
      </c>
      <c r="E607" t="s">
        <v>214</v>
      </c>
      <c r="F607" t="s">
        <v>9</v>
      </c>
      <c r="H607" t="s">
        <v>10</v>
      </c>
      <c r="I607" t="s">
        <v>217</v>
      </c>
      <c r="J607">
        <v>11</v>
      </c>
      <c r="N607">
        <f>Таблица1[[#This Row],[Часов на заказчика  в работе]]+Таблица1[[#This Row],[Часов на заказчика  дежурство]]</f>
        <v>0</v>
      </c>
      <c r="O6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7" s="9">
        <v>150000</v>
      </c>
      <c r="R607" s="9"/>
      <c r="S607" s="5">
        <v>1.2</v>
      </c>
      <c r="T6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табеле]])*S607,0)</f>
        <v>6000</v>
      </c>
      <c r="U607" s="5">
        <f>IF(Таблица1[[#This Row],[ТТН]]&gt;0,Таблица1[[#This Row],[Ставка за ТТН]]*Таблица1[[#This Row],[ТТН]],0)</f>
        <v>0</v>
      </c>
    </row>
    <row r="608" spans="1:21" x14ac:dyDescent="0.25">
      <c r="A608" t="s">
        <v>84</v>
      </c>
      <c r="B608" s="24">
        <v>14</v>
      </c>
      <c r="C608" t="s">
        <v>118</v>
      </c>
      <c r="D608" t="s">
        <v>9</v>
      </c>
      <c r="E608" t="s">
        <v>214</v>
      </c>
      <c r="F608" t="s">
        <v>9</v>
      </c>
      <c r="H608" t="s">
        <v>10</v>
      </c>
      <c r="I608" t="s">
        <v>217</v>
      </c>
      <c r="J608">
        <v>11</v>
      </c>
      <c r="N608">
        <f>Таблица1[[#This Row],[Часов на заказчика  в работе]]+Таблица1[[#This Row],[Часов на заказчика  дежурство]]</f>
        <v>0</v>
      </c>
      <c r="O6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8" s="9">
        <v>150000</v>
      </c>
      <c r="R608" s="9"/>
      <c r="S608" s="5">
        <v>1.2</v>
      </c>
      <c r="T6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табеле]])*S608,0)</f>
        <v>6000</v>
      </c>
      <c r="U608" s="5">
        <f>IF(Таблица1[[#This Row],[ТТН]]&gt;0,Таблица1[[#This Row],[Ставка за ТТН]]*Таблица1[[#This Row],[ТТН]],0)</f>
        <v>0</v>
      </c>
    </row>
    <row r="609" spans="1:21" x14ac:dyDescent="0.25">
      <c r="A609" t="s">
        <v>84</v>
      </c>
      <c r="B609" s="24">
        <v>15</v>
      </c>
      <c r="C609" t="s">
        <v>118</v>
      </c>
      <c r="D609" t="s">
        <v>9</v>
      </c>
      <c r="E609" t="s">
        <v>214</v>
      </c>
      <c r="F609" t="s">
        <v>9</v>
      </c>
      <c r="H609" t="s">
        <v>10</v>
      </c>
      <c r="I609" t="s">
        <v>217</v>
      </c>
      <c r="J609">
        <v>11</v>
      </c>
      <c r="N609">
        <f>Таблица1[[#This Row],[Часов на заказчика  в работе]]+Таблица1[[#This Row],[Часов на заказчика  дежурство]]</f>
        <v>0</v>
      </c>
      <c r="O6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09" s="9">
        <v>150000</v>
      </c>
      <c r="R609" s="9"/>
      <c r="S609" s="5">
        <v>1.2</v>
      </c>
      <c r="T6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табеле]])*S609,0)</f>
        <v>6000</v>
      </c>
      <c r="U609" s="5">
        <f>IF(Таблица1[[#This Row],[ТТН]]&gt;0,Таблица1[[#This Row],[Ставка за ТТН]]*Таблица1[[#This Row],[ТТН]],0)</f>
        <v>0</v>
      </c>
    </row>
    <row r="610" spans="1:21" x14ac:dyDescent="0.25">
      <c r="A610" t="s">
        <v>84</v>
      </c>
      <c r="B610" s="24">
        <v>16</v>
      </c>
      <c r="C610" t="s">
        <v>118</v>
      </c>
      <c r="D610" t="s">
        <v>9</v>
      </c>
      <c r="E610" t="s">
        <v>214</v>
      </c>
      <c r="F610" t="s">
        <v>9</v>
      </c>
      <c r="H610" t="s">
        <v>10</v>
      </c>
      <c r="I610" t="s">
        <v>217</v>
      </c>
      <c r="J610">
        <v>11</v>
      </c>
      <c r="N610">
        <f>Таблица1[[#This Row],[Часов на заказчика  в работе]]+Таблица1[[#This Row],[Часов на заказчика  дежурство]]</f>
        <v>0</v>
      </c>
      <c r="O6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0" s="9">
        <v>150000</v>
      </c>
      <c r="R610" s="9"/>
      <c r="S610" s="5">
        <v>1.2</v>
      </c>
      <c r="T6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табеле]])*S610,0)</f>
        <v>6000</v>
      </c>
      <c r="U610" s="5">
        <f>IF(Таблица1[[#This Row],[ТТН]]&gt;0,Таблица1[[#This Row],[Ставка за ТТН]]*Таблица1[[#This Row],[ТТН]],0)</f>
        <v>0</v>
      </c>
    </row>
    <row r="611" spans="1:21" x14ac:dyDescent="0.25">
      <c r="A611" t="s">
        <v>84</v>
      </c>
      <c r="B611" s="24">
        <v>17</v>
      </c>
      <c r="C611" t="s">
        <v>118</v>
      </c>
      <c r="D611" t="s">
        <v>9</v>
      </c>
      <c r="E611" t="s">
        <v>214</v>
      </c>
      <c r="F611" t="s">
        <v>9</v>
      </c>
      <c r="H611" t="s">
        <v>10</v>
      </c>
      <c r="I611" t="s">
        <v>217</v>
      </c>
      <c r="J611">
        <v>11</v>
      </c>
      <c r="N611">
        <f>Таблица1[[#This Row],[Часов на заказчика  в работе]]+Таблица1[[#This Row],[Часов на заказчика  дежурство]]</f>
        <v>0</v>
      </c>
      <c r="O6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1" s="9">
        <v>150000</v>
      </c>
      <c r="R611" s="9"/>
      <c r="S611" s="5">
        <v>1.2</v>
      </c>
      <c r="T6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табеле]])*S611,0)</f>
        <v>6000</v>
      </c>
      <c r="U611" s="5">
        <f>IF(Таблица1[[#This Row],[ТТН]]&gt;0,Таблица1[[#This Row],[Ставка за ТТН]]*Таблица1[[#This Row],[ТТН]],0)</f>
        <v>0</v>
      </c>
    </row>
    <row r="612" spans="1:21" x14ac:dyDescent="0.25">
      <c r="A612" t="s">
        <v>84</v>
      </c>
      <c r="B612" s="24">
        <v>18</v>
      </c>
      <c r="C612" t="s">
        <v>118</v>
      </c>
      <c r="D612" t="s">
        <v>9</v>
      </c>
      <c r="E612" t="s">
        <v>214</v>
      </c>
      <c r="F612" t="s">
        <v>9</v>
      </c>
      <c r="H612" t="s">
        <v>10</v>
      </c>
      <c r="I612" t="s">
        <v>217</v>
      </c>
      <c r="J612">
        <v>11</v>
      </c>
      <c r="N612">
        <f>Таблица1[[#This Row],[Часов на заказчика  в работе]]+Таблица1[[#This Row],[Часов на заказчика  дежурство]]</f>
        <v>0</v>
      </c>
      <c r="O6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2" s="9">
        <v>150000</v>
      </c>
      <c r="R612" s="9"/>
      <c r="S612" s="5">
        <v>1.2</v>
      </c>
      <c r="T6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табеле]])*S612,0)</f>
        <v>6000</v>
      </c>
      <c r="U612" s="5">
        <f>IF(Таблица1[[#This Row],[ТТН]]&gt;0,Таблица1[[#This Row],[Ставка за ТТН]]*Таблица1[[#This Row],[ТТН]],0)</f>
        <v>0</v>
      </c>
    </row>
    <row r="613" spans="1:21" x14ac:dyDescent="0.25">
      <c r="A613" t="s">
        <v>84</v>
      </c>
      <c r="B613" s="24">
        <v>19</v>
      </c>
      <c r="C613" t="s">
        <v>118</v>
      </c>
      <c r="D613" t="s">
        <v>9</v>
      </c>
      <c r="E613" t="s">
        <v>214</v>
      </c>
      <c r="F613" t="s">
        <v>9</v>
      </c>
      <c r="H613" t="s">
        <v>10</v>
      </c>
      <c r="I613" t="s">
        <v>217</v>
      </c>
      <c r="J613">
        <v>11</v>
      </c>
      <c r="N613">
        <f>Таблица1[[#This Row],[Часов на заказчика  в работе]]+Таблица1[[#This Row],[Часов на заказчика  дежурство]]</f>
        <v>0</v>
      </c>
      <c r="O6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3" s="9">
        <v>150000</v>
      </c>
      <c r="R613" s="9"/>
      <c r="S613" s="5">
        <v>1.2</v>
      </c>
      <c r="T6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табеле]])*S613,0)</f>
        <v>6000</v>
      </c>
      <c r="U613" s="5">
        <f>IF(Таблица1[[#This Row],[ТТН]]&gt;0,Таблица1[[#This Row],[Ставка за ТТН]]*Таблица1[[#This Row],[ТТН]],0)</f>
        <v>0</v>
      </c>
    </row>
    <row r="614" spans="1:21" x14ac:dyDescent="0.25">
      <c r="A614" t="s">
        <v>84</v>
      </c>
      <c r="B614" s="24">
        <v>20</v>
      </c>
      <c r="C614" t="s">
        <v>118</v>
      </c>
      <c r="D614" t="s">
        <v>9</v>
      </c>
      <c r="E614" t="s">
        <v>214</v>
      </c>
      <c r="F614" t="s">
        <v>9</v>
      </c>
      <c r="H614" t="s">
        <v>10</v>
      </c>
      <c r="I614" t="s">
        <v>217</v>
      </c>
      <c r="J614">
        <v>11</v>
      </c>
      <c r="N614">
        <f>Таблица1[[#This Row],[Часов на заказчика  в работе]]+Таблица1[[#This Row],[Часов на заказчика  дежурство]]</f>
        <v>0</v>
      </c>
      <c r="O6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4" s="9">
        <v>150000</v>
      </c>
      <c r="R614" s="9"/>
      <c r="S614" s="5">
        <v>1.2</v>
      </c>
      <c r="T6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табеле]])*S614,0)</f>
        <v>6000</v>
      </c>
      <c r="U614" s="5">
        <f>IF(Таблица1[[#This Row],[ТТН]]&gt;0,Таблица1[[#This Row],[Ставка за ТТН]]*Таблица1[[#This Row],[ТТН]],0)</f>
        <v>0</v>
      </c>
    </row>
    <row r="615" spans="1:21" x14ac:dyDescent="0.25">
      <c r="A615" t="s">
        <v>84</v>
      </c>
      <c r="B615" s="24">
        <v>21</v>
      </c>
      <c r="C615" t="s">
        <v>118</v>
      </c>
      <c r="D615" t="s">
        <v>9</v>
      </c>
      <c r="E615" t="s">
        <v>214</v>
      </c>
      <c r="F615" t="s">
        <v>9</v>
      </c>
      <c r="H615" t="s">
        <v>10</v>
      </c>
      <c r="I615" t="s">
        <v>217</v>
      </c>
      <c r="J615">
        <v>11</v>
      </c>
      <c r="N615">
        <f>Таблица1[[#This Row],[Часов на заказчика  в работе]]+Таблица1[[#This Row],[Часов на заказчика  дежурство]]</f>
        <v>0</v>
      </c>
      <c r="O6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5" s="9">
        <v>150000</v>
      </c>
      <c r="R615" s="9"/>
      <c r="S615" s="5">
        <v>1.2</v>
      </c>
      <c r="T6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табеле]])*S615,0)</f>
        <v>6000</v>
      </c>
      <c r="U615" s="5">
        <f>IF(Таблица1[[#This Row],[ТТН]]&gt;0,Таблица1[[#This Row],[Ставка за ТТН]]*Таблица1[[#This Row],[ТТН]],0)</f>
        <v>0</v>
      </c>
    </row>
    <row r="616" spans="1:21" x14ac:dyDescent="0.25">
      <c r="A616" t="s">
        <v>84</v>
      </c>
      <c r="B616" s="24">
        <v>22</v>
      </c>
      <c r="C616" t="s">
        <v>118</v>
      </c>
      <c r="D616" t="s">
        <v>9</v>
      </c>
      <c r="E616" t="s">
        <v>214</v>
      </c>
      <c r="F616" t="s">
        <v>9</v>
      </c>
      <c r="H616" t="s">
        <v>10</v>
      </c>
      <c r="I616" t="s">
        <v>217</v>
      </c>
      <c r="J616">
        <v>11</v>
      </c>
      <c r="N616">
        <f>Таблица1[[#This Row],[Часов на заказчика  в работе]]+Таблица1[[#This Row],[Часов на заказчика  дежурство]]</f>
        <v>0</v>
      </c>
      <c r="O6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6" s="9">
        <v>150000</v>
      </c>
      <c r="R616" s="9"/>
      <c r="S616" s="5">
        <v>1.2</v>
      </c>
      <c r="T6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табеле]])*S616,0)</f>
        <v>6000</v>
      </c>
      <c r="U616" s="5">
        <f>IF(Таблица1[[#This Row],[ТТН]]&gt;0,Таблица1[[#This Row],[Ставка за ТТН]]*Таблица1[[#This Row],[ТТН]],0)</f>
        <v>0</v>
      </c>
    </row>
    <row r="617" spans="1:21" x14ac:dyDescent="0.25">
      <c r="A617" t="s">
        <v>84</v>
      </c>
      <c r="B617" s="24">
        <v>23</v>
      </c>
      <c r="C617" t="s">
        <v>118</v>
      </c>
      <c r="D617" t="s">
        <v>9</v>
      </c>
      <c r="E617" t="s">
        <v>214</v>
      </c>
      <c r="F617" t="s">
        <v>9</v>
      </c>
      <c r="H617" t="s">
        <v>10</v>
      </c>
      <c r="I617" t="s">
        <v>217</v>
      </c>
      <c r="J617">
        <v>11</v>
      </c>
      <c r="N617">
        <f>Таблица1[[#This Row],[Часов на заказчика  в работе]]+Таблица1[[#This Row],[Часов на заказчика  дежурство]]</f>
        <v>0</v>
      </c>
      <c r="O6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7" s="9">
        <v>150000</v>
      </c>
      <c r="R617" s="9"/>
      <c r="S617" s="5">
        <v>1.2</v>
      </c>
      <c r="T6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табеле]])*S617,0)</f>
        <v>6000</v>
      </c>
      <c r="U617" s="5">
        <f>IF(Таблица1[[#This Row],[ТТН]]&gt;0,Таблица1[[#This Row],[Ставка за ТТН]]*Таблица1[[#This Row],[ТТН]],0)</f>
        <v>0</v>
      </c>
    </row>
    <row r="618" spans="1:21" x14ac:dyDescent="0.25">
      <c r="A618" t="s">
        <v>84</v>
      </c>
      <c r="B618" s="24">
        <v>24</v>
      </c>
      <c r="C618" t="s">
        <v>118</v>
      </c>
      <c r="D618" t="s">
        <v>9</v>
      </c>
      <c r="E618" t="s">
        <v>215</v>
      </c>
      <c r="F618" t="s">
        <v>9</v>
      </c>
      <c r="H618" t="s">
        <v>10</v>
      </c>
      <c r="I618" t="s">
        <v>217</v>
      </c>
      <c r="J618">
        <v>11</v>
      </c>
      <c r="N618">
        <f>Таблица1[[#This Row],[Часов на заказчика  в работе]]+Таблица1[[#This Row],[Часов на заказчика  дежурство]]</f>
        <v>0</v>
      </c>
      <c r="O6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8" s="9">
        <v>200000</v>
      </c>
      <c r="R618" s="9"/>
      <c r="S618" s="5">
        <v>1.2</v>
      </c>
      <c r="T6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табеле]])*S618,0)</f>
        <v>7999.9999999999991</v>
      </c>
      <c r="U618" s="5">
        <f>IF(Таблица1[[#This Row],[ТТН]]&gt;0,Таблица1[[#This Row],[Ставка за ТТН]]*Таблица1[[#This Row],[ТТН]],0)</f>
        <v>0</v>
      </c>
    </row>
    <row r="619" spans="1:21" x14ac:dyDescent="0.25">
      <c r="A619" t="s">
        <v>84</v>
      </c>
      <c r="B619" s="24">
        <v>25</v>
      </c>
      <c r="C619" t="s">
        <v>118</v>
      </c>
      <c r="D619" t="s">
        <v>9</v>
      </c>
      <c r="E619" t="s">
        <v>215</v>
      </c>
      <c r="F619" t="s">
        <v>9</v>
      </c>
      <c r="H619" t="s">
        <v>10</v>
      </c>
      <c r="I619" t="s">
        <v>217</v>
      </c>
      <c r="J619">
        <v>11</v>
      </c>
      <c r="N619">
        <f>Таблица1[[#This Row],[Часов на заказчика  в работе]]+Таблица1[[#This Row],[Часов на заказчика  дежурство]]</f>
        <v>0</v>
      </c>
      <c r="O6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19" s="9">
        <v>200000</v>
      </c>
      <c r="R619" s="9"/>
      <c r="S619" s="5">
        <v>1.2</v>
      </c>
      <c r="T6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табеле]])*S619,0)</f>
        <v>7999.9999999999991</v>
      </c>
      <c r="U619" s="5">
        <f>IF(Таблица1[[#This Row],[ТТН]]&gt;0,Таблица1[[#This Row],[Ставка за ТТН]]*Таблица1[[#This Row],[ТТН]],0)</f>
        <v>0</v>
      </c>
    </row>
    <row r="620" spans="1:21" x14ac:dyDescent="0.25">
      <c r="A620" t="s">
        <v>84</v>
      </c>
      <c r="B620" s="24">
        <v>26</v>
      </c>
      <c r="C620" t="s">
        <v>118</v>
      </c>
      <c r="D620" t="s">
        <v>9</v>
      </c>
      <c r="E620" t="s">
        <v>215</v>
      </c>
      <c r="F620" t="s">
        <v>9</v>
      </c>
      <c r="H620" t="s">
        <v>10</v>
      </c>
      <c r="I620" t="s">
        <v>217</v>
      </c>
      <c r="J620">
        <v>11</v>
      </c>
      <c r="N620">
        <f>Таблица1[[#This Row],[Часов на заказчика  в работе]]+Таблица1[[#This Row],[Часов на заказчика  дежурство]]</f>
        <v>0</v>
      </c>
      <c r="O6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0" s="9">
        <v>200000</v>
      </c>
      <c r="R620" s="9"/>
      <c r="S620" s="5">
        <v>1.2</v>
      </c>
      <c r="T6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табеле]])*S620,0)</f>
        <v>7999.9999999999991</v>
      </c>
      <c r="U620" s="5">
        <f>IF(Таблица1[[#This Row],[ТТН]]&gt;0,Таблица1[[#This Row],[Ставка за ТТН]]*Таблица1[[#This Row],[ТТН]],0)</f>
        <v>0</v>
      </c>
    </row>
    <row r="621" spans="1:21" x14ac:dyDescent="0.25">
      <c r="A621" t="s">
        <v>84</v>
      </c>
      <c r="B621" s="24">
        <v>27</v>
      </c>
      <c r="C621" t="s">
        <v>118</v>
      </c>
      <c r="D621" t="s">
        <v>9</v>
      </c>
      <c r="E621" t="s">
        <v>215</v>
      </c>
      <c r="F621" t="s">
        <v>9</v>
      </c>
      <c r="H621" t="s">
        <v>10</v>
      </c>
      <c r="I621" t="s">
        <v>217</v>
      </c>
      <c r="J621">
        <v>11</v>
      </c>
      <c r="N621">
        <f>Таблица1[[#This Row],[Часов на заказчика  в работе]]+Таблица1[[#This Row],[Часов на заказчика  дежурство]]</f>
        <v>0</v>
      </c>
      <c r="O6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1" s="9">
        <v>200000</v>
      </c>
      <c r="R621" s="9"/>
      <c r="S621" s="5">
        <v>1.2</v>
      </c>
      <c r="T6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табеле]])*S621,0)</f>
        <v>7999.9999999999991</v>
      </c>
      <c r="U621" s="5">
        <f>IF(Таблица1[[#This Row],[ТТН]]&gt;0,Таблица1[[#This Row],[Ставка за ТТН]]*Таблица1[[#This Row],[ТТН]],0)</f>
        <v>0</v>
      </c>
    </row>
    <row r="622" spans="1:21" x14ac:dyDescent="0.25">
      <c r="A622" t="s">
        <v>84</v>
      </c>
      <c r="B622" s="24">
        <v>28</v>
      </c>
      <c r="C622" t="s">
        <v>118</v>
      </c>
      <c r="D622" t="s">
        <v>9</v>
      </c>
      <c r="E622" t="s">
        <v>215</v>
      </c>
      <c r="F622" t="s">
        <v>9</v>
      </c>
      <c r="H622" t="s">
        <v>10</v>
      </c>
      <c r="I622" t="s">
        <v>217</v>
      </c>
      <c r="J622">
        <v>11</v>
      </c>
      <c r="N622">
        <f>Таблица1[[#This Row],[Часов на заказчика  в работе]]+Таблица1[[#This Row],[Часов на заказчика  дежурство]]</f>
        <v>0</v>
      </c>
      <c r="O6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2" s="9">
        <v>200000</v>
      </c>
      <c r="R622" s="9"/>
      <c r="S622" s="5">
        <v>1.2</v>
      </c>
      <c r="T6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табеле]])*S622,0)</f>
        <v>7999.9999999999991</v>
      </c>
      <c r="U622" s="5">
        <f>IF(Таблица1[[#This Row],[ТТН]]&gt;0,Таблица1[[#This Row],[Ставка за ТТН]]*Таблица1[[#This Row],[ТТН]],0)</f>
        <v>0</v>
      </c>
    </row>
    <row r="623" spans="1:21" x14ac:dyDescent="0.25">
      <c r="A623" t="s">
        <v>84</v>
      </c>
      <c r="B623" s="24">
        <v>29</v>
      </c>
      <c r="C623" t="s">
        <v>118</v>
      </c>
      <c r="D623" t="s">
        <v>9</v>
      </c>
      <c r="E623" t="s">
        <v>215</v>
      </c>
      <c r="F623" t="s">
        <v>9</v>
      </c>
      <c r="H623" t="s">
        <v>10</v>
      </c>
      <c r="I623" t="s">
        <v>217</v>
      </c>
      <c r="J623">
        <v>11</v>
      </c>
      <c r="N623">
        <f>Таблица1[[#This Row],[Часов на заказчика  в работе]]+Таблица1[[#This Row],[Часов на заказчика  дежурство]]</f>
        <v>0</v>
      </c>
      <c r="O6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3" s="9">
        <v>200000</v>
      </c>
      <c r="R623" s="9"/>
      <c r="S623" s="5">
        <v>1.2</v>
      </c>
      <c r="T6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табеле]])*S623,0)</f>
        <v>7999.9999999999991</v>
      </c>
      <c r="U623" s="5">
        <f>IF(Таблица1[[#This Row],[ТТН]]&gt;0,Таблица1[[#This Row],[Ставка за ТТН]]*Таблица1[[#This Row],[ТТН]],0)</f>
        <v>0</v>
      </c>
    </row>
    <row r="624" spans="1:21" x14ac:dyDescent="0.25">
      <c r="A624" t="s">
        <v>84</v>
      </c>
      <c r="B624" s="24">
        <v>30</v>
      </c>
      <c r="C624" t="s">
        <v>119</v>
      </c>
      <c r="D624" t="s">
        <v>9</v>
      </c>
      <c r="E624" t="s">
        <v>215</v>
      </c>
      <c r="F624" t="s">
        <v>9</v>
      </c>
      <c r="H624" t="s">
        <v>10</v>
      </c>
      <c r="I624" t="s">
        <v>217</v>
      </c>
      <c r="J624">
        <v>11</v>
      </c>
      <c r="N624">
        <f>Таблица1[[#This Row],[Часов на заказчика  в работе]]+Таблица1[[#This Row],[Часов на заказчика  дежурство]]</f>
        <v>0</v>
      </c>
      <c r="O6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4" s="9">
        <v>200000</v>
      </c>
      <c r="R624" s="9"/>
      <c r="S624" s="5">
        <v>1.2</v>
      </c>
      <c r="T6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табеле]])*S624,0)</f>
        <v>7999.9999999999991</v>
      </c>
      <c r="U624" s="5">
        <f>IF(Таблица1[[#This Row],[ТТН]]&gt;0,Таблица1[[#This Row],[Ставка за ТТН]]*Таблица1[[#This Row],[ТТН]],0)</f>
        <v>0</v>
      </c>
    </row>
    <row r="625" spans="1:21" x14ac:dyDescent="0.25">
      <c r="A625" t="s">
        <v>84</v>
      </c>
      <c r="B625" s="24">
        <v>1</v>
      </c>
      <c r="C625" t="s">
        <v>119</v>
      </c>
      <c r="D625" t="s">
        <v>28</v>
      </c>
      <c r="E625" t="s">
        <v>214</v>
      </c>
      <c r="F625" t="s">
        <v>28</v>
      </c>
      <c r="H625" t="s">
        <v>44</v>
      </c>
      <c r="I625" t="s">
        <v>217</v>
      </c>
      <c r="J625">
        <v>1</v>
      </c>
      <c r="N625">
        <f>Таблица1[[#This Row],[Часов на заказчика  в работе]]+Таблица1[[#This Row],[Часов на заказчика  дежурство]]</f>
        <v>0</v>
      </c>
      <c r="O6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5" s="9">
        <v>80000</v>
      </c>
      <c r="R625" s="9"/>
      <c r="S625" s="5">
        <v>1</v>
      </c>
      <c r="T6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табеле]])*S625,0)</f>
        <v>0</v>
      </c>
      <c r="U625" s="5">
        <f>IF(Таблица1[[#This Row],[ТТН]]&gt;0,Таблица1[[#This Row],[Ставка за ТТН]]*Таблица1[[#This Row],[ТТН]],0)</f>
        <v>0</v>
      </c>
    </row>
    <row r="626" spans="1:21" x14ac:dyDescent="0.25">
      <c r="A626" t="s">
        <v>84</v>
      </c>
      <c r="B626" s="24">
        <v>2</v>
      </c>
      <c r="C626" t="s">
        <v>119</v>
      </c>
      <c r="D626" t="s">
        <v>28</v>
      </c>
      <c r="E626" t="s">
        <v>214</v>
      </c>
      <c r="F626" t="s">
        <v>28</v>
      </c>
      <c r="H626" t="s">
        <v>44</v>
      </c>
      <c r="I626" t="s">
        <v>217</v>
      </c>
      <c r="J626">
        <v>1</v>
      </c>
      <c r="N626">
        <f>Таблица1[[#This Row],[Часов на заказчика  в работе]]+Таблица1[[#This Row],[Часов на заказчика  дежурство]]</f>
        <v>0</v>
      </c>
      <c r="O6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6" s="9">
        <v>80000</v>
      </c>
      <c r="R626" s="9"/>
      <c r="S626" s="5">
        <v>1</v>
      </c>
      <c r="T6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табеле]])*S626,0)</f>
        <v>0</v>
      </c>
      <c r="U626" s="5">
        <f>IF(Таблица1[[#This Row],[ТТН]]&gt;0,Таблица1[[#This Row],[Ставка за ТТН]]*Таблица1[[#This Row],[ТТН]],0)</f>
        <v>0</v>
      </c>
    </row>
    <row r="627" spans="1:21" x14ac:dyDescent="0.25">
      <c r="A627" t="s">
        <v>84</v>
      </c>
      <c r="B627" s="24">
        <v>3</v>
      </c>
      <c r="C627" t="s">
        <v>119</v>
      </c>
      <c r="D627" t="s">
        <v>28</v>
      </c>
      <c r="E627" t="s">
        <v>214</v>
      </c>
      <c r="F627" t="s">
        <v>28</v>
      </c>
      <c r="H627" t="s">
        <v>44</v>
      </c>
      <c r="I627" t="s">
        <v>217</v>
      </c>
      <c r="J627">
        <v>1</v>
      </c>
      <c r="N627">
        <f>Таблица1[[#This Row],[Часов на заказчика  в работе]]+Таблица1[[#This Row],[Часов на заказчика  дежурство]]</f>
        <v>0</v>
      </c>
      <c r="O6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7" s="9">
        <v>80000</v>
      </c>
      <c r="R627" s="9"/>
      <c r="S627" s="5">
        <v>1</v>
      </c>
      <c r="T6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табеле]])*S627,0)</f>
        <v>0</v>
      </c>
      <c r="U627" s="5">
        <f>IF(Таблица1[[#This Row],[ТТН]]&gt;0,Таблица1[[#This Row],[Ставка за ТТН]]*Таблица1[[#This Row],[ТТН]],0)</f>
        <v>0</v>
      </c>
    </row>
    <row r="628" spans="1:21" x14ac:dyDescent="0.25">
      <c r="A628" t="s">
        <v>84</v>
      </c>
      <c r="B628" s="24">
        <v>4</v>
      </c>
      <c r="C628" t="s">
        <v>119</v>
      </c>
      <c r="D628" t="s">
        <v>28</v>
      </c>
      <c r="E628" t="s">
        <v>214</v>
      </c>
      <c r="F628" t="s">
        <v>28</v>
      </c>
      <c r="H628" t="s">
        <v>44</v>
      </c>
      <c r="I628" t="s">
        <v>217</v>
      </c>
      <c r="J628">
        <v>1</v>
      </c>
      <c r="N628">
        <f>Таблица1[[#This Row],[Часов на заказчика  в работе]]+Таблица1[[#This Row],[Часов на заказчика  дежурство]]</f>
        <v>0</v>
      </c>
      <c r="O6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8" s="9">
        <v>80000</v>
      </c>
      <c r="R628" s="9"/>
      <c r="S628" s="5">
        <v>1</v>
      </c>
      <c r="T6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табеле]])*S628,0)</f>
        <v>0</v>
      </c>
      <c r="U628" s="5">
        <f>IF(Таблица1[[#This Row],[ТТН]]&gt;0,Таблица1[[#This Row],[Ставка за ТТН]]*Таблица1[[#This Row],[ТТН]],0)</f>
        <v>0</v>
      </c>
    </row>
    <row r="629" spans="1:21" x14ac:dyDescent="0.25">
      <c r="A629" t="s">
        <v>84</v>
      </c>
      <c r="B629" s="24">
        <v>5</v>
      </c>
      <c r="C629" t="s">
        <v>119</v>
      </c>
      <c r="D629" t="s">
        <v>28</v>
      </c>
      <c r="E629" t="s">
        <v>214</v>
      </c>
      <c r="F629" t="s">
        <v>28</v>
      </c>
      <c r="H629" t="s">
        <v>44</v>
      </c>
      <c r="I629" t="s">
        <v>217</v>
      </c>
      <c r="J629">
        <v>1</v>
      </c>
      <c r="N629">
        <f>Таблица1[[#This Row],[Часов на заказчика  в работе]]+Таблица1[[#This Row],[Часов на заказчика  дежурство]]</f>
        <v>0</v>
      </c>
      <c r="O6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29" s="9">
        <v>80000</v>
      </c>
      <c r="R629" s="9"/>
      <c r="S629" s="5">
        <v>1</v>
      </c>
      <c r="T6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табеле]])*S629,0)</f>
        <v>0</v>
      </c>
      <c r="U629" s="5">
        <f>IF(Таблица1[[#This Row],[ТТН]]&gt;0,Таблица1[[#This Row],[Ставка за ТТН]]*Таблица1[[#This Row],[ТТН]],0)</f>
        <v>0</v>
      </c>
    </row>
    <row r="630" spans="1:21" x14ac:dyDescent="0.25">
      <c r="A630" t="s">
        <v>84</v>
      </c>
      <c r="B630" s="24">
        <v>6</v>
      </c>
      <c r="C630" t="s">
        <v>119</v>
      </c>
      <c r="D630" t="s">
        <v>28</v>
      </c>
      <c r="E630" t="s">
        <v>214</v>
      </c>
      <c r="F630" t="s">
        <v>28</v>
      </c>
      <c r="H630" t="s">
        <v>44</v>
      </c>
      <c r="I630" t="s">
        <v>217</v>
      </c>
      <c r="J630">
        <v>1</v>
      </c>
      <c r="N630">
        <f>Таблица1[[#This Row],[Часов на заказчика  в работе]]+Таблица1[[#This Row],[Часов на заказчика  дежурство]]</f>
        <v>0</v>
      </c>
      <c r="O6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0" s="9">
        <v>80000</v>
      </c>
      <c r="R630" s="9"/>
      <c r="S630" s="5">
        <v>1</v>
      </c>
      <c r="T6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табеле]])*S630,0)</f>
        <v>0</v>
      </c>
      <c r="U630" s="5">
        <f>IF(Таблица1[[#This Row],[ТТН]]&gt;0,Таблица1[[#This Row],[Ставка за ТТН]]*Таблица1[[#This Row],[ТТН]],0)</f>
        <v>0</v>
      </c>
    </row>
    <row r="631" spans="1:21" x14ac:dyDescent="0.25">
      <c r="A631" t="s">
        <v>84</v>
      </c>
      <c r="B631" s="24">
        <v>7</v>
      </c>
      <c r="C631" t="s">
        <v>119</v>
      </c>
      <c r="D631" t="s">
        <v>28</v>
      </c>
      <c r="E631" t="s">
        <v>214</v>
      </c>
      <c r="F631" t="s">
        <v>28</v>
      </c>
      <c r="H631" t="s">
        <v>44</v>
      </c>
      <c r="I631" t="s">
        <v>217</v>
      </c>
      <c r="J631">
        <v>1</v>
      </c>
      <c r="N631">
        <f>Таблица1[[#This Row],[Часов на заказчика  в работе]]+Таблица1[[#This Row],[Часов на заказчика  дежурство]]</f>
        <v>0</v>
      </c>
      <c r="O6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1" s="9">
        <v>80000</v>
      </c>
      <c r="R631" s="9"/>
      <c r="S631" s="5">
        <v>1</v>
      </c>
      <c r="T6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табеле]])*S631,0)</f>
        <v>0</v>
      </c>
      <c r="U631" s="5">
        <f>IF(Таблица1[[#This Row],[ТТН]]&gt;0,Таблица1[[#This Row],[Ставка за ТТН]]*Таблица1[[#This Row],[ТТН]],0)</f>
        <v>0</v>
      </c>
    </row>
    <row r="632" spans="1:21" x14ac:dyDescent="0.25">
      <c r="A632" t="s">
        <v>84</v>
      </c>
      <c r="B632" s="24">
        <v>8</v>
      </c>
      <c r="C632" t="s">
        <v>119</v>
      </c>
      <c r="D632" t="s">
        <v>28</v>
      </c>
      <c r="E632" t="s">
        <v>214</v>
      </c>
      <c r="F632" t="s">
        <v>28</v>
      </c>
      <c r="H632" t="s">
        <v>44</v>
      </c>
      <c r="I632" t="s">
        <v>217</v>
      </c>
      <c r="J632">
        <v>1</v>
      </c>
      <c r="N632">
        <f>Таблица1[[#This Row],[Часов на заказчика  в работе]]+Таблица1[[#This Row],[Часов на заказчика  дежурство]]</f>
        <v>0</v>
      </c>
      <c r="O6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2" s="9">
        <v>80000</v>
      </c>
      <c r="R632" s="9"/>
      <c r="S632" s="5">
        <v>1</v>
      </c>
      <c r="T6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табеле]])*S632,0)</f>
        <v>0</v>
      </c>
      <c r="U632" s="5">
        <f>IF(Таблица1[[#This Row],[ТТН]]&gt;0,Таблица1[[#This Row],[Ставка за ТТН]]*Таблица1[[#This Row],[ТТН]],0)</f>
        <v>0</v>
      </c>
    </row>
    <row r="633" spans="1:21" x14ac:dyDescent="0.25">
      <c r="A633" t="s">
        <v>84</v>
      </c>
      <c r="B633" s="24">
        <v>9</v>
      </c>
      <c r="C633" t="s">
        <v>119</v>
      </c>
      <c r="D633" t="s">
        <v>28</v>
      </c>
      <c r="E633" t="s">
        <v>214</v>
      </c>
      <c r="F633" t="s">
        <v>28</v>
      </c>
      <c r="H633" t="s">
        <v>44</v>
      </c>
      <c r="I633" t="s">
        <v>217</v>
      </c>
      <c r="J633">
        <v>1</v>
      </c>
      <c r="N633">
        <f>Таблица1[[#This Row],[Часов на заказчика  в работе]]+Таблица1[[#This Row],[Часов на заказчика  дежурство]]</f>
        <v>0</v>
      </c>
      <c r="O6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3" s="9">
        <v>80000</v>
      </c>
      <c r="R633" s="9"/>
      <c r="S633" s="5">
        <v>1</v>
      </c>
      <c r="T6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табеле]])*S633,0)</f>
        <v>0</v>
      </c>
      <c r="U633" s="5">
        <f>IF(Таблица1[[#This Row],[ТТН]]&gt;0,Таблица1[[#This Row],[Ставка за ТТН]]*Таблица1[[#This Row],[ТТН]],0)</f>
        <v>0</v>
      </c>
    </row>
    <row r="634" spans="1:21" x14ac:dyDescent="0.25">
      <c r="A634" t="s">
        <v>84</v>
      </c>
      <c r="B634" s="24">
        <v>10</v>
      </c>
      <c r="C634" t="s">
        <v>119</v>
      </c>
      <c r="D634" t="s">
        <v>28</v>
      </c>
      <c r="E634" t="s">
        <v>214</v>
      </c>
      <c r="F634" t="s">
        <v>28</v>
      </c>
      <c r="H634" t="s">
        <v>44</v>
      </c>
      <c r="I634" t="s">
        <v>217</v>
      </c>
      <c r="J634">
        <v>1</v>
      </c>
      <c r="N634">
        <f>Таблица1[[#This Row],[Часов на заказчика  в работе]]+Таблица1[[#This Row],[Часов на заказчика  дежурство]]</f>
        <v>0</v>
      </c>
      <c r="O6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4" s="9">
        <v>80000</v>
      </c>
      <c r="R634" s="9"/>
      <c r="S634" s="5">
        <v>1</v>
      </c>
      <c r="T6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табеле]])*S634,0)</f>
        <v>0</v>
      </c>
      <c r="U634" s="5">
        <f>IF(Таблица1[[#This Row],[ТТН]]&gt;0,Таблица1[[#This Row],[Ставка за ТТН]]*Таблица1[[#This Row],[ТТН]],0)</f>
        <v>0</v>
      </c>
    </row>
    <row r="635" spans="1:21" x14ac:dyDescent="0.25">
      <c r="A635" t="s">
        <v>84</v>
      </c>
      <c r="B635" s="24">
        <v>11</v>
      </c>
      <c r="C635" t="s">
        <v>119</v>
      </c>
      <c r="D635" t="s">
        <v>28</v>
      </c>
      <c r="E635" t="s">
        <v>214</v>
      </c>
      <c r="F635" t="s">
        <v>28</v>
      </c>
      <c r="H635" t="s">
        <v>44</v>
      </c>
      <c r="I635" t="s">
        <v>217</v>
      </c>
      <c r="J635">
        <v>1</v>
      </c>
      <c r="N635">
        <f>Таблица1[[#This Row],[Часов на заказчика  в работе]]+Таблица1[[#This Row],[Часов на заказчика  дежурство]]</f>
        <v>0</v>
      </c>
      <c r="O6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5" s="9">
        <v>80000</v>
      </c>
      <c r="R635" s="9"/>
      <c r="S635" s="5">
        <v>1</v>
      </c>
      <c r="T6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табеле]])*S635,0)</f>
        <v>0</v>
      </c>
      <c r="U635" s="5">
        <f>IF(Таблица1[[#This Row],[ТТН]]&gt;0,Таблица1[[#This Row],[Ставка за ТТН]]*Таблица1[[#This Row],[ТТН]],0)</f>
        <v>0</v>
      </c>
    </row>
    <row r="636" spans="1:21" x14ac:dyDescent="0.25">
      <c r="A636" t="s">
        <v>84</v>
      </c>
      <c r="B636" s="24">
        <v>12</v>
      </c>
      <c r="C636" t="s">
        <v>119</v>
      </c>
      <c r="D636" t="s">
        <v>28</v>
      </c>
      <c r="E636" t="s">
        <v>214</v>
      </c>
      <c r="F636" t="s">
        <v>28</v>
      </c>
      <c r="H636" t="s">
        <v>44</v>
      </c>
      <c r="I636" t="s">
        <v>217</v>
      </c>
      <c r="J636">
        <v>1</v>
      </c>
      <c r="N636">
        <f>Таблица1[[#This Row],[Часов на заказчика  в работе]]+Таблица1[[#This Row],[Часов на заказчика  дежурство]]</f>
        <v>0</v>
      </c>
      <c r="O6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6" s="9">
        <v>80000</v>
      </c>
      <c r="R636" s="9"/>
      <c r="S636" s="5">
        <v>1</v>
      </c>
      <c r="T6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табеле]])*S636,0)</f>
        <v>0</v>
      </c>
      <c r="U636" s="5">
        <f>IF(Таблица1[[#This Row],[ТТН]]&gt;0,Таблица1[[#This Row],[Ставка за ТТН]]*Таблица1[[#This Row],[ТТН]],0)</f>
        <v>0</v>
      </c>
    </row>
    <row r="637" spans="1:21" x14ac:dyDescent="0.25">
      <c r="A637" t="s">
        <v>84</v>
      </c>
      <c r="B637" s="24">
        <v>13</v>
      </c>
      <c r="C637" t="s">
        <v>119</v>
      </c>
      <c r="D637" t="s">
        <v>28</v>
      </c>
      <c r="E637" t="s">
        <v>214</v>
      </c>
      <c r="F637" t="s">
        <v>28</v>
      </c>
      <c r="H637" t="s">
        <v>44</v>
      </c>
      <c r="I637" t="s">
        <v>217</v>
      </c>
      <c r="J637">
        <v>1</v>
      </c>
      <c r="N637">
        <f>Таблица1[[#This Row],[Часов на заказчика  в работе]]+Таблица1[[#This Row],[Часов на заказчика  дежурство]]</f>
        <v>0</v>
      </c>
      <c r="O6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7" s="9">
        <v>80000</v>
      </c>
      <c r="R637" s="9"/>
      <c r="S637" s="5">
        <v>1</v>
      </c>
      <c r="T6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табеле]])*S637,0)</f>
        <v>0</v>
      </c>
      <c r="U637" s="5">
        <f>IF(Таблица1[[#This Row],[ТТН]]&gt;0,Таблица1[[#This Row],[Ставка за ТТН]]*Таблица1[[#This Row],[ТТН]],0)</f>
        <v>0</v>
      </c>
    </row>
    <row r="638" spans="1:21" x14ac:dyDescent="0.25">
      <c r="A638" t="s">
        <v>84</v>
      </c>
      <c r="B638" s="24">
        <v>14</v>
      </c>
      <c r="C638" t="s">
        <v>119</v>
      </c>
      <c r="D638" t="s">
        <v>28</v>
      </c>
      <c r="E638" t="s">
        <v>214</v>
      </c>
      <c r="F638" t="s">
        <v>28</v>
      </c>
      <c r="H638" t="s">
        <v>44</v>
      </c>
      <c r="I638" t="s">
        <v>217</v>
      </c>
      <c r="J638">
        <v>1</v>
      </c>
      <c r="N638">
        <f>Таблица1[[#This Row],[Часов на заказчика  в работе]]+Таблица1[[#This Row],[Часов на заказчика  дежурство]]</f>
        <v>0</v>
      </c>
      <c r="O6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8" s="9">
        <v>80000</v>
      </c>
      <c r="R638" s="9"/>
      <c r="S638" s="5">
        <v>1</v>
      </c>
      <c r="T6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табеле]])*S638,0)</f>
        <v>0</v>
      </c>
      <c r="U638" s="5">
        <f>IF(Таблица1[[#This Row],[ТТН]]&gt;0,Таблица1[[#This Row],[Ставка за ТТН]]*Таблица1[[#This Row],[ТТН]],0)</f>
        <v>0</v>
      </c>
    </row>
    <row r="639" spans="1:21" x14ac:dyDescent="0.25">
      <c r="A639" t="s">
        <v>84</v>
      </c>
      <c r="B639" s="24">
        <v>15</v>
      </c>
      <c r="C639" t="s">
        <v>119</v>
      </c>
      <c r="D639" t="s">
        <v>28</v>
      </c>
      <c r="E639" t="s">
        <v>214</v>
      </c>
      <c r="F639" t="s">
        <v>28</v>
      </c>
      <c r="H639" t="s">
        <v>44</v>
      </c>
      <c r="I639" t="s">
        <v>217</v>
      </c>
      <c r="J639">
        <v>1</v>
      </c>
      <c r="N639">
        <f>Таблица1[[#This Row],[Часов на заказчика  в работе]]+Таблица1[[#This Row],[Часов на заказчика  дежурство]]</f>
        <v>0</v>
      </c>
      <c r="O6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39" s="9">
        <v>80000</v>
      </c>
      <c r="R639" s="9"/>
      <c r="S639" s="5">
        <v>1</v>
      </c>
      <c r="T6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табеле]])*S639,0)</f>
        <v>0</v>
      </c>
      <c r="U639" s="5">
        <f>IF(Таблица1[[#This Row],[ТТН]]&gt;0,Таблица1[[#This Row],[Ставка за ТТН]]*Таблица1[[#This Row],[ТТН]],0)</f>
        <v>0</v>
      </c>
    </row>
    <row r="640" spans="1:21" x14ac:dyDescent="0.25">
      <c r="A640" t="s">
        <v>84</v>
      </c>
      <c r="B640" s="24">
        <v>16</v>
      </c>
      <c r="C640" t="s">
        <v>119</v>
      </c>
      <c r="D640" t="s">
        <v>28</v>
      </c>
      <c r="E640" t="s">
        <v>214</v>
      </c>
      <c r="F640" t="s">
        <v>28</v>
      </c>
      <c r="H640" t="s">
        <v>44</v>
      </c>
      <c r="I640" t="s">
        <v>217</v>
      </c>
      <c r="J640">
        <v>1</v>
      </c>
      <c r="N640">
        <f>Таблица1[[#This Row],[Часов на заказчика  в работе]]+Таблица1[[#This Row],[Часов на заказчика  дежурство]]</f>
        <v>0</v>
      </c>
      <c r="O6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0" s="9">
        <v>80000</v>
      </c>
      <c r="R640" s="9"/>
      <c r="S640" s="5">
        <v>1</v>
      </c>
      <c r="T6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табеле]])*S640,0)</f>
        <v>0</v>
      </c>
      <c r="U640" s="5">
        <f>IF(Таблица1[[#This Row],[ТТН]]&gt;0,Таблица1[[#This Row],[Ставка за ТТН]]*Таблица1[[#This Row],[ТТН]],0)</f>
        <v>0</v>
      </c>
    </row>
    <row r="641" spans="1:21" x14ac:dyDescent="0.25">
      <c r="A641" t="s">
        <v>84</v>
      </c>
      <c r="B641" s="24">
        <v>17</v>
      </c>
      <c r="C641" t="s">
        <v>119</v>
      </c>
      <c r="D641" t="s">
        <v>28</v>
      </c>
      <c r="E641" t="s">
        <v>214</v>
      </c>
      <c r="F641" t="s">
        <v>28</v>
      </c>
      <c r="H641" t="s">
        <v>24</v>
      </c>
      <c r="I641" t="s">
        <v>217</v>
      </c>
      <c r="J641">
        <v>8</v>
      </c>
      <c r="N641">
        <f>Таблица1[[#This Row],[Часов на заказчика  в работе]]+Таблица1[[#This Row],[Часов на заказчика  дежурство]]</f>
        <v>0</v>
      </c>
      <c r="O6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1" s="9">
        <v>80000</v>
      </c>
      <c r="R641" s="9"/>
      <c r="S641" s="5">
        <v>1</v>
      </c>
      <c r="T6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табеле]])*S641,0)</f>
        <v>0</v>
      </c>
      <c r="U641" s="5">
        <f>IF(Таблица1[[#This Row],[ТТН]]&gt;0,Таблица1[[#This Row],[Ставка за ТТН]]*Таблица1[[#This Row],[ТТН]],0)</f>
        <v>0</v>
      </c>
    </row>
    <row r="642" spans="1:21" x14ac:dyDescent="0.25">
      <c r="A642" t="s">
        <v>84</v>
      </c>
      <c r="B642" s="24">
        <v>18</v>
      </c>
      <c r="C642" t="s">
        <v>119</v>
      </c>
      <c r="D642" t="s">
        <v>28</v>
      </c>
      <c r="E642" t="s">
        <v>214</v>
      </c>
      <c r="F642" t="s">
        <v>28</v>
      </c>
      <c r="H642" t="s">
        <v>24</v>
      </c>
      <c r="I642" t="s">
        <v>217</v>
      </c>
      <c r="J642">
        <v>8</v>
      </c>
      <c r="N642">
        <f>Таблица1[[#This Row],[Часов на заказчика  в работе]]+Таблица1[[#This Row],[Часов на заказчика  дежурство]]</f>
        <v>0</v>
      </c>
      <c r="O6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2" s="9">
        <v>80000</v>
      </c>
      <c r="R642" s="9"/>
      <c r="S642" s="5">
        <v>1</v>
      </c>
      <c r="T6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табеле]])*S642,0)</f>
        <v>0</v>
      </c>
      <c r="U642" s="5">
        <f>IF(Таблица1[[#This Row],[ТТН]]&gt;0,Таблица1[[#This Row],[Ставка за ТТН]]*Таблица1[[#This Row],[ТТН]],0)</f>
        <v>0</v>
      </c>
    </row>
    <row r="643" spans="1:21" x14ac:dyDescent="0.25">
      <c r="A643" t="s">
        <v>84</v>
      </c>
      <c r="B643" s="24">
        <v>19</v>
      </c>
      <c r="C643" t="s">
        <v>119</v>
      </c>
      <c r="D643" t="s">
        <v>28</v>
      </c>
      <c r="E643" t="s">
        <v>214</v>
      </c>
      <c r="F643" t="s">
        <v>28</v>
      </c>
      <c r="H643" t="s">
        <v>24</v>
      </c>
      <c r="I643" t="s">
        <v>217</v>
      </c>
      <c r="J643">
        <v>8</v>
      </c>
      <c r="N643">
        <f>Таблица1[[#This Row],[Часов на заказчика  в работе]]+Таблица1[[#This Row],[Часов на заказчика  дежурство]]</f>
        <v>0</v>
      </c>
      <c r="O6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3" s="9">
        <v>80000</v>
      </c>
      <c r="R643" s="9"/>
      <c r="S643" s="5">
        <v>1</v>
      </c>
      <c r="T6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табеле]])*S643,0)</f>
        <v>0</v>
      </c>
      <c r="U643" s="5">
        <f>IF(Таблица1[[#This Row],[ТТН]]&gt;0,Таблица1[[#This Row],[Ставка за ТТН]]*Таблица1[[#This Row],[ТТН]],0)</f>
        <v>0</v>
      </c>
    </row>
    <row r="644" spans="1:21" x14ac:dyDescent="0.25">
      <c r="A644" t="s">
        <v>84</v>
      </c>
      <c r="B644" s="24">
        <v>20</v>
      </c>
      <c r="C644" t="s">
        <v>119</v>
      </c>
      <c r="D644" t="s">
        <v>28</v>
      </c>
      <c r="E644" t="s">
        <v>214</v>
      </c>
      <c r="F644" t="s">
        <v>28</v>
      </c>
      <c r="H644" t="s">
        <v>10</v>
      </c>
      <c r="I644" t="s">
        <v>217</v>
      </c>
      <c r="J644">
        <v>11</v>
      </c>
      <c r="N644">
        <f>Таблица1[[#This Row],[Часов на заказчика  в работе]]+Таблица1[[#This Row],[Часов на заказчика  дежурство]]</f>
        <v>0</v>
      </c>
      <c r="O6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4" s="9">
        <v>80000</v>
      </c>
      <c r="R644" s="9"/>
      <c r="S644" s="5">
        <v>1</v>
      </c>
      <c r="T6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табеле]])*S644,0)</f>
        <v>2666.666666666667</v>
      </c>
      <c r="U644" s="5">
        <f>IF(Таблица1[[#This Row],[ТТН]]&gt;0,Таблица1[[#This Row],[Ставка за ТТН]]*Таблица1[[#This Row],[ТТН]],0)</f>
        <v>0</v>
      </c>
    </row>
    <row r="645" spans="1:21" x14ac:dyDescent="0.25">
      <c r="A645" t="s">
        <v>84</v>
      </c>
      <c r="B645" s="24">
        <v>21</v>
      </c>
      <c r="C645" t="s">
        <v>119</v>
      </c>
      <c r="D645" t="s">
        <v>28</v>
      </c>
      <c r="E645" t="s">
        <v>214</v>
      </c>
      <c r="F645" t="s">
        <v>28</v>
      </c>
      <c r="H645" t="s">
        <v>10</v>
      </c>
      <c r="I645" t="s">
        <v>220</v>
      </c>
      <c r="J645">
        <v>11</v>
      </c>
      <c r="L645">
        <v>11</v>
      </c>
      <c r="N645">
        <f>Таблица1[[#This Row],[Часов на заказчика  в работе]]+Таблица1[[#This Row],[Часов на заказчика  дежурство]]</f>
        <v>11</v>
      </c>
      <c r="O6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5" s="9">
        <v>80000</v>
      </c>
      <c r="R645" s="9"/>
      <c r="S645" s="5">
        <v>1</v>
      </c>
      <c r="T6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табеле]])*S645,0)</f>
        <v>2666.666666666667</v>
      </c>
      <c r="U645" s="5">
        <f>IF(Таблица1[[#This Row],[ТТН]]&gt;0,Таблица1[[#This Row],[Ставка за ТТН]]*Таблица1[[#This Row],[ТТН]],0)</f>
        <v>0</v>
      </c>
    </row>
    <row r="646" spans="1:21" x14ac:dyDescent="0.25">
      <c r="A646" t="s">
        <v>84</v>
      </c>
      <c r="B646" s="24">
        <v>22</v>
      </c>
      <c r="C646" t="s">
        <v>119</v>
      </c>
      <c r="D646" t="s">
        <v>28</v>
      </c>
      <c r="E646" t="s">
        <v>214</v>
      </c>
      <c r="F646" t="s">
        <v>28</v>
      </c>
      <c r="H646" t="s">
        <v>10</v>
      </c>
      <c r="I646" t="s">
        <v>220</v>
      </c>
      <c r="J646">
        <v>11</v>
      </c>
      <c r="L646">
        <v>11</v>
      </c>
      <c r="N646">
        <f>Таблица1[[#This Row],[Часов на заказчика  в работе]]+Таблица1[[#This Row],[Часов на заказчика  дежурство]]</f>
        <v>11</v>
      </c>
      <c r="O6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6" s="9">
        <v>80000</v>
      </c>
      <c r="R646" s="9"/>
      <c r="S646" s="5">
        <v>1</v>
      </c>
      <c r="T6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табеле]])*S646,0)</f>
        <v>2666.666666666667</v>
      </c>
      <c r="U646" s="5">
        <f>IF(Таблица1[[#This Row],[ТТН]]&gt;0,Таблица1[[#This Row],[Ставка за ТТН]]*Таблица1[[#This Row],[ТТН]],0)</f>
        <v>0</v>
      </c>
    </row>
    <row r="647" spans="1:21" x14ac:dyDescent="0.25">
      <c r="A647" t="s">
        <v>84</v>
      </c>
      <c r="B647" s="24">
        <v>23</v>
      </c>
      <c r="C647" t="s">
        <v>119</v>
      </c>
      <c r="D647" t="s">
        <v>28</v>
      </c>
      <c r="E647" t="s">
        <v>214</v>
      </c>
      <c r="F647" t="s">
        <v>28</v>
      </c>
      <c r="H647" t="s">
        <v>10</v>
      </c>
      <c r="I647" t="s">
        <v>220</v>
      </c>
      <c r="J647">
        <v>11</v>
      </c>
      <c r="L647">
        <v>11</v>
      </c>
      <c r="N647">
        <f>Таблица1[[#This Row],[Часов на заказчика  в работе]]+Таблица1[[#This Row],[Часов на заказчика  дежурство]]</f>
        <v>11</v>
      </c>
      <c r="O6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7" s="9">
        <v>80000</v>
      </c>
      <c r="R647" s="9"/>
      <c r="S647" s="5">
        <v>1</v>
      </c>
      <c r="T6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табеле]])*S647,0)</f>
        <v>2666.666666666667</v>
      </c>
      <c r="U647" s="5">
        <f>IF(Таблица1[[#This Row],[ТТН]]&gt;0,Таблица1[[#This Row],[Ставка за ТТН]]*Таблица1[[#This Row],[ТТН]],0)</f>
        <v>0</v>
      </c>
    </row>
    <row r="648" spans="1:21" x14ac:dyDescent="0.25">
      <c r="A648" t="s">
        <v>84</v>
      </c>
      <c r="B648" s="24">
        <v>24</v>
      </c>
      <c r="C648" t="s">
        <v>119</v>
      </c>
      <c r="D648" t="s">
        <v>28</v>
      </c>
      <c r="E648" t="s">
        <v>214</v>
      </c>
      <c r="F648" t="s">
        <v>28</v>
      </c>
      <c r="H648" t="s">
        <v>10</v>
      </c>
      <c r="I648" t="s">
        <v>220</v>
      </c>
      <c r="J648">
        <v>11</v>
      </c>
      <c r="L648">
        <v>11</v>
      </c>
      <c r="N648">
        <f>Таблица1[[#This Row],[Часов на заказчика  в работе]]+Таблица1[[#This Row],[Часов на заказчика  дежурство]]</f>
        <v>11</v>
      </c>
      <c r="O6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8" s="9">
        <v>80000</v>
      </c>
      <c r="R648" s="9"/>
      <c r="S648" s="5">
        <v>1</v>
      </c>
      <c r="T6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табеле]])*S648,0)</f>
        <v>2666.666666666667</v>
      </c>
      <c r="U648" s="5">
        <f>IF(Таблица1[[#This Row],[ТТН]]&gt;0,Таблица1[[#This Row],[Ставка за ТТН]]*Таблица1[[#This Row],[ТТН]],0)</f>
        <v>0</v>
      </c>
    </row>
    <row r="649" spans="1:21" x14ac:dyDescent="0.25">
      <c r="A649" t="s">
        <v>84</v>
      </c>
      <c r="B649" s="24">
        <v>25</v>
      </c>
      <c r="C649" t="s">
        <v>119</v>
      </c>
      <c r="D649" t="s">
        <v>28</v>
      </c>
      <c r="E649" t="s">
        <v>214</v>
      </c>
      <c r="F649" t="s">
        <v>28</v>
      </c>
      <c r="H649" t="s">
        <v>10</v>
      </c>
      <c r="I649" t="s">
        <v>220</v>
      </c>
      <c r="J649">
        <v>11</v>
      </c>
      <c r="L649">
        <v>11</v>
      </c>
      <c r="N649">
        <f>Таблица1[[#This Row],[Часов на заказчика  в работе]]+Таблица1[[#This Row],[Часов на заказчика  дежурство]]</f>
        <v>11</v>
      </c>
      <c r="O6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49" s="9">
        <v>80000</v>
      </c>
      <c r="R649" s="9"/>
      <c r="S649" s="5">
        <v>1</v>
      </c>
      <c r="T6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табеле]])*S649,0)</f>
        <v>2666.666666666667</v>
      </c>
      <c r="U649" s="5">
        <f>IF(Таблица1[[#This Row],[ТТН]]&gt;0,Таблица1[[#This Row],[Ставка за ТТН]]*Таблица1[[#This Row],[ТТН]],0)</f>
        <v>0</v>
      </c>
    </row>
    <row r="650" spans="1:21" x14ac:dyDescent="0.25">
      <c r="A650" t="s">
        <v>84</v>
      </c>
      <c r="B650" s="24">
        <v>26</v>
      </c>
      <c r="C650" t="s">
        <v>119</v>
      </c>
      <c r="D650" t="s">
        <v>28</v>
      </c>
      <c r="E650" t="s">
        <v>214</v>
      </c>
      <c r="F650" t="s">
        <v>28</v>
      </c>
      <c r="H650" t="s">
        <v>10</v>
      </c>
      <c r="I650" t="s">
        <v>220</v>
      </c>
      <c r="J650">
        <v>11</v>
      </c>
      <c r="L650">
        <v>11</v>
      </c>
      <c r="N650">
        <f>Таблица1[[#This Row],[Часов на заказчика  в работе]]+Таблица1[[#This Row],[Часов на заказчика  дежурство]]</f>
        <v>11</v>
      </c>
      <c r="O6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0" s="9">
        <v>80000</v>
      </c>
      <c r="R650" s="9"/>
      <c r="S650" s="5">
        <v>1</v>
      </c>
      <c r="T6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табеле]])*S650,0)</f>
        <v>2666.666666666667</v>
      </c>
      <c r="U650" s="5">
        <f>IF(Таблица1[[#This Row],[ТТН]]&gt;0,Таблица1[[#This Row],[Ставка за ТТН]]*Таблица1[[#This Row],[ТТН]],0)</f>
        <v>0</v>
      </c>
    </row>
    <row r="651" spans="1:21" x14ac:dyDescent="0.25">
      <c r="A651" t="s">
        <v>84</v>
      </c>
      <c r="B651" s="24">
        <v>27</v>
      </c>
      <c r="C651" t="s">
        <v>119</v>
      </c>
      <c r="D651" t="s">
        <v>28</v>
      </c>
      <c r="E651" t="s">
        <v>214</v>
      </c>
      <c r="F651" t="s">
        <v>28</v>
      </c>
      <c r="H651" t="s">
        <v>10</v>
      </c>
      <c r="I651" t="s">
        <v>220</v>
      </c>
      <c r="J651">
        <v>11</v>
      </c>
      <c r="L651">
        <v>11</v>
      </c>
      <c r="N651">
        <f>Таблица1[[#This Row],[Часов на заказчика  в работе]]+Таблица1[[#This Row],[Часов на заказчика  дежурство]]</f>
        <v>11</v>
      </c>
      <c r="O6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1" s="9">
        <v>80000</v>
      </c>
      <c r="R651" s="9"/>
      <c r="S651" s="5">
        <v>1</v>
      </c>
      <c r="T6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табеле]])*S651,0)</f>
        <v>2666.666666666667</v>
      </c>
      <c r="U651" s="5">
        <f>IF(Таблица1[[#This Row],[ТТН]]&gt;0,Таблица1[[#This Row],[Ставка за ТТН]]*Таблица1[[#This Row],[ТТН]],0)</f>
        <v>0</v>
      </c>
    </row>
    <row r="652" spans="1:21" x14ac:dyDescent="0.25">
      <c r="A652" t="s">
        <v>84</v>
      </c>
      <c r="B652" s="24">
        <v>28</v>
      </c>
      <c r="C652" t="s">
        <v>119</v>
      </c>
      <c r="D652" t="s">
        <v>28</v>
      </c>
      <c r="E652" t="s">
        <v>214</v>
      </c>
      <c r="F652" t="s">
        <v>28</v>
      </c>
      <c r="H652" t="s">
        <v>10</v>
      </c>
      <c r="I652" t="s">
        <v>220</v>
      </c>
      <c r="J652">
        <v>11</v>
      </c>
      <c r="L652">
        <v>11</v>
      </c>
      <c r="N652">
        <f>Таблица1[[#This Row],[Часов на заказчика  в работе]]+Таблица1[[#This Row],[Часов на заказчика  дежурство]]</f>
        <v>11</v>
      </c>
      <c r="O6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2" s="9">
        <v>80000</v>
      </c>
      <c r="R652" s="9"/>
      <c r="S652" s="5">
        <v>1</v>
      </c>
      <c r="T6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табеле]])*S652,0)</f>
        <v>2666.666666666667</v>
      </c>
      <c r="U652" s="5">
        <f>IF(Таблица1[[#This Row],[ТТН]]&gt;0,Таблица1[[#This Row],[Ставка за ТТН]]*Таблица1[[#This Row],[ТТН]],0)</f>
        <v>0</v>
      </c>
    </row>
    <row r="653" spans="1:21" x14ac:dyDescent="0.25">
      <c r="A653" t="s">
        <v>84</v>
      </c>
      <c r="B653" s="24">
        <v>29</v>
      </c>
      <c r="C653" t="s">
        <v>119</v>
      </c>
      <c r="D653" t="s">
        <v>28</v>
      </c>
      <c r="E653" t="s">
        <v>214</v>
      </c>
      <c r="F653" t="s">
        <v>28</v>
      </c>
      <c r="H653" t="s">
        <v>10</v>
      </c>
      <c r="I653" t="s">
        <v>220</v>
      </c>
      <c r="J653">
        <v>11</v>
      </c>
      <c r="L653">
        <v>11</v>
      </c>
      <c r="N653">
        <f>Таблица1[[#This Row],[Часов на заказчика  в работе]]+Таблица1[[#This Row],[Часов на заказчика  дежурство]]</f>
        <v>11</v>
      </c>
      <c r="O6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3" s="9">
        <v>80000</v>
      </c>
      <c r="R653" s="9"/>
      <c r="S653" s="5">
        <v>1</v>
      </c>
      <c r="T6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табеле]])*S653,0)</f>
        <v>2666.666666666667</v>
      </c>
      <c r="U653" s="5">
        <f>IF(Таблица1[[#This Row],[ТТН]]&gt;0,Таблица1[[#This Row],[Ставка за ТТН]]*Таблица1[[#This Row],[ТТН]],0)</f>
        <v>0</v>
      </c>
    </row>
    <row r="654" spans="1:21" x14ac:dyDescent="0.25">
      <c r="A654" t="s">
        <v>84</v>
      </c>
      <c r="B654" s="24">
        <v>30</v>
      </c>
      <c r="C654" t="s">
        <v>120</v>
      </c>
      <c r="D654" t="s">
        <v>28</v>
      </c>
      <c r="E654" t="s">
        <v>214</v>
      </c>
      <c r="F654" t="s">
        <v>28</v>
      </c>
      <c r="H654" t="s">
        <v>10</v>
      </c>
      <c r="I654" t="s">
        <v>220</v>
      </c>
      <c r="J654">
        <v>11</v>
      </c>
      <c r="L654">
        <v>11</v>
      </c>
      <c r="N654">
        <f>Таблица1[[#This Row],[Часов на заказчика  в работе]]+Таблица1[[#This Row],[Часов на заказчика  дежурство]]</f>
        <v>11</v>
      </c>
      <c r="O6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4" s="9">
        <v>80000</v>
      </c>
      <c r="R654" s="9"/>
      <c r="S654" s="5">
        <v>1</v>
      </c>
      <c r="T6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табеле]])*S654,0)</f>
        <v>2666.666666666667</v>
      </c>
      <c r="U654" s="5">
        <f>IF(Таблица1[[#This Row],[ТТН]]&gt;0,Таблица1[[#This Row],[Ставка за ТТН]]*Таблица1[[#This Row],[ТТН]],0)</f>
        <v>0</v>
      </c>
    </row>
    <row r="655" spans="1:21" x14ac:dyDescent="0.25">
      <c r="A655" t="s">
        <v>84</v>
      </c>
      <c r="B655" s="24">
        <v>1</v>
      </c>
      <c r="C655" t="s">
        <v>120</v>
      </c>
      <c r="D655" t="s">
        <v>28</v>
      </c>
      <c r="E655" t="s">
        <v>214</v>
      </c>
      <c r="F655" t="s">
        <v>28</v>
      </c>
      <c r="H655" t="s">
        <v>10</v>
      </c>
      <c r="I655" t="s">
        <v>220</v>
      </c>
      <c r="J655">
        <v>11</v>
      </c>
      <c r="L655">
        <v>11</v>
      </c>
      <c r="N655">
        <f>Таблица1[[#This Row],[Часов на заказчика  в работе]]+Таблица1[[#This Row],[Часов на заказчика  дежурство]]</f>
        <v>11</v>
      </c>
      <c r="O6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5" s="9">
        <v>80000</v>
      </c>
      <c r="R655" s="9"/>
      <c r="S655" s="5">
        <v>1</v>
      </c>
      <c r="T6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табеле]])*S655,0)</f>
        <v>2666.666666666667</v>
      </c>
      <c r="U655" s="5">
        <f>IF(Таблица1[[#This Row],[ТТН]]&gt;0,Таблица1[[#This Row],[Ставка за ТТН]]*Таблица1[[#This Row],[ТТН]],0)</f>
        <v>0</v>
      </c>
    </row>
    <row r="656" spans="1:21" x14ac:dyDescent="0.25">
      <c r="A656" t="s">
        <v>84</v>
      </c>
      <c r="B656" s="24">
        <v>2</v>
      </c>
      <c r="C656" t="s">
        <v>120</v>
      </c>
      <c r="D656" t="s">
        <v>28</v>
      </c>
      <c r="E656" t="s">
        <v>214</v>
      </c>
      <c r="F656" t="s">
        <v>28</v>
      </c>
      <c r="H656" t="s">
        <v>10</v>
      </c>
      <c r="I656" t="s">
        <v>220</v>
      </c>
      <c r="J656">
        <v>11</v>
      </c>
      <c r="L656">
        <v>11</v>
      </c>
      <c r="N656">
        <f>Таблица1[[#This Row],[Часов на заказчика  в работе]]+Таблица1[[#This Row],[Часов на заказчика  дежурство]]</f>
        <v>11</v>
      </c>
      <c r="O6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6" s="9">
        <v>80000</v>
      </c>
      <c r="R656" s="9"/>
      <c r="S656" s="5">
        <v>1</v>
      </c>
      <c r="T6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табеле]])*S656,0)</f>
        <v>2666.666666666667</v>
      </c>
      <c r="U656" s="5">
        <f>IF(Таблица1[[#This Row],[ТТН]]&gt;0,Таблица1[[#This Row],[Ставка за ТТН]]*Таблица1[[#This Row],[ТТН]],0)</f>
        <v>0</v>
      </c>
    </row>
    <row r="657" spans="1:21" x14ac:dyDescent="0.25">
      <c r="A657" t="s">
        <v>84</v>
      </c>
      <c r="B657" s="24">
        <v>3</v>
      </c>
      <c r="C657" t="s">
        <v>120</v>
      </c>
      <c r="D657" t="s">
        <v>28</v>
      </c>
      <c r="E657" t="s">
        <v>214</v>
      </c>
      <c r="F657" t="s">
        <v>28</v>
      </c>
      <c r="H657" t="s">
        <v>10</v>
      </c>
      <c r="I657" t="s">
        <v>220</v>
      </c>
      <c r="J657">
        <v>11</v>
      </c>
      <c r="L657">
        <v>11</v>
      </c>
      <c r="N657">
        <f>Таблица1[[#This Row],[Часов на заказчика  в работе]]+Таблица1[[#This Row],[Часов на заказчика  дежурство]]</f>
        <v>11</v>
      </c>
      <c r="O6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7" s="9">
        <v>80000</v>
      </c>
      <c r="R657" s="9"/>
      <c r="S657" s="5">
        <v>1</v>
      </c>
      <c r="T6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табеле]])*S657,0)</f>
        <v>2666.666666666667</v>
      </c>
      <c r="U657" s="5">
        <f>IF(Таблица1[[#This Row],[ТТН]]&gt;0,Таблица1[[#This Row],[Ставка за ТТН]]*Таблица1[[#This Row],[ТТН]],0)</f>
        <v>0</v>
      </c>
    </row>
    <row r="658" spans="1:21" x14ac:dyDescent="0.25">
      <c r="A658" t="s">
        <v>84</v>
      </c>
      <c r="B658" s="24">
        <v>4</v>
      </c>
      <c r="C658" t="s">
        <v>120</v>
      </c>
      <c r="D658" t="s">
        <v>28</v>
      </c>
      <c r="E658" t="s">
        <v>214</v>
      </c>
      <c r="F658" t="s">
        <v>28</v>
      </c>
      <c r="H658" t="s">
        <v>10</v>
      </c>
      <c r="I658" t="s">
        <v>220</v>
      </c>
      <c r="J658">
        <v>11</v>
      </c>
      <c r="L658">
        <v>11</v>
      </c>
      <c r="N658">
        <f>Таблица1[[#This Row],[Часов на заказчика  в работе]]+Таблица1[[#This Row],[Часов на заказчика  дежурство]]</f>
        <v>11</v>
      </c>
      <c r="O6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8" s="9">
        <v>80000</v>
      </c>
      <c r="R658" s="9"/>
      <c r="S658" s="5">
        <v>1</v>
      </c>
      <c r="T6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табеле]])*S658,0)</f>
        <v>2666.666666666667</v>
      </c>
      <c r="U658" s="5">
        <f>IF(Таблица1[[#This Row],[ТТН]]&gt;0,Таблица1[[#This Row],[Ставка за ТТН]]*Таблица1[[#This Row],[ТТН]],0)</f>
        <v>0</v>
      </c>
    </row>
    <row r="659" spans="1:21" x14ac:dyDescent="0.25">
      <c r="A659" t="s">
        <v>84</v>
      </c>
      <c r="B659" s="24">
        <v>5</v>
      </c>
      <c r="C659" t="s">
        <v>120</v>
      </c>
      <c r="D659" t="s">
        <v>28</v>
      </c>
      <c r="E659" t="s">
        <v>214</v>
      </c>
      <c r="F659" t="s">
        <v>28</v>
      </c>
      <c r="H659" t="s">
        <v>10</v>
      </c>
      <c r="I659" t="s">
        <v>220</v>
      </c>
      <c r="J659">
        <v>11</v>
      </c>
      <c r="L659">
        <v>11</v>
      </c>
      <c r="N659">
        <f>Таблица1[[#This Row],[Часов на заказчика  в работе]]+Таблица1[[#This Row],[Часов на заказчика  дежурство]]</f>
        <v>11</v>
      </c>
      <c r="O6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59" s="9">
        <v>80000</v>
      </c>
      <c r="R659" s="9"/>
      <c r="S659" s="5">
        <v>1</v>
      </c>
      <c r="T6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табеле]])*S659,0)</f>
        <v>2666.666666666667</v>
      </c>
      <c r="U659" s="5">
        <f>IF(Таблица1[[#This Row],[ТТН]]&gt;0,Таблица1[[#This Row],[Ставка за ТТН]]*Таблица1[[#This Row],[ТТН]],0)</f>
        <v>0</v>
      </c>
    </row>
    <row r="660" spans="1:21" x14ac:dyDescent="0.25">
      <c r="A660" t="s">
        <v>84</v>
      </c>
      <c r="B660" s="24">
        <v>6</v>
      </c>
      <c r="C660" t="s">
        <v>120</v>
      </c>
      <c r="D660" t="s">
        <v>28</v>
      </c>
      <c r="E660" t="s">
        <v>214</v>
      </c>
      <c r="F660" t="s">
        <v>28</v>
      </c>
      <c r="H660" t="s">
        <v>10</v>
      </c>
      <c r="I660" t="s">
        <v>220</v>
      </c>
      <c r="J660">
        <v>11</v>
      </c>
      <c r="L660">
        <v>11</v>
      </c>
      <c r="N660">
        <f>Таблица1[[#This Row],[Часов на заказчика  в работе]]+Таблица1[[#This Row],[Часов на заказчика  дежурство]]</f>
        <v>11</v>
      </c>
      <c r="O6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0" s="9">
        <v>80000</v>
      </c>
      <c r="R660" s="9"/>
      <c r="S660" s="5">
        <v>1</v>
      </c>
      <c r="T6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табеле]])*S660,0)</f>
        <v>2666.666666666667</v>
      </c>
      <c r="U660" s="5">
        <f>IF(Таблица1[[#This Row],[ТТН]]&gt;0,Таблица1[[#This Row],[Ставка за ТТН]]*Таблица1[[#This Row],[ТТН]],0)</f>
        <v>0</v>
      </c>
    </row>
    <row r="661" spans="1:21" x14ac:dyDescent="0.25">
      <c r="A661" t="s">
        <v>84</v>
      </c>
      <c r="B661" s="24">
        <v>7</v>
      </c>
      <c r="C661" t="s">
        <v>120</v>
      </c>
      <c r="D661" t="s">
        <v>28</v>
      </c>
      <c r="E661" t="s">
        <v>214</v>
      </c>
      <c r="F661" t="s">
        <v>28</v>
      </c>
      <c r="H661" t="s">
        <v>10</v>
      </c>
      <c r="I661" t="s">
        <v>220</v>
      </c>
      <c r="J661">
        <v>11</v>
      </c>
      <c r="L661">
        <v>11</v>
      </c>
      <c r="N661">
        <f>Таблица1[[#This Row],[Часов на заказчика  в работе]]+Таблица1[[#This Row],[Часов на заказчика  дежурство]]</f>
        <v>11</v>
      </c>
      <c r="O6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1" s="9">
        <v>80000</v>
      </c>
      <c r="R661" s="9"/>
      <c r="S661" s="5">
        <v>1</v>
      </c>
      <c r="T6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табеле]])*S661,0)</f>
        <v>2666.666666666667</v>
      </c>
      <c r="U661" s="5">
        <f>IF(Таблица1[[#This Row],[ТТН]]&gt;0,Таблица1[[#This Row],[Ставка за ТТН]]*Таблица1[[#This Row],[ТТН]],0)</f>
        <v>0</v>
      </c>
    </row>
    <row r="662" spans="1:21" x14ac:dyDescent="0.25">
      <c r="A662" t="s">
        <v>84</v>
      </c>
      <c r="B662" s="24">
        <v>8</v>
      </c>
      <c r="C662" t="s">
        <v>120</v>
      </c>
      <c r="D662" t="s">
        <v>28</v>
      </c>
      <c r="E662" t="s">
        <v>214</v>
      </c>
      <c r="F662" t="s">
        <v>28</v>
      </c>
      <c r="H662" t="s">
        <v>10</v>
      </c>
      <c r="I662" t="s">
        <v>220</v>
      </c>
      <c r="J662">
        <v>11</v>
      </c>
      <c r="L662">
        <v>11</v>
      </c>
      <c r="N662">
        <f>Таблица1[[#This Row],[Часов на заказчика  в работе]]+Таблица1[[#This Row],[Часов на заказчика  дежурство]]</f>
        <v>11</v>
      </c>
      <c r="O6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2" s="9">
        <v>80000</v>
      </c>
      <c r="R662" s="9"/>
      <c r="S662" s="5">
        <v>1</v>
      </c>
      <c r="T6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табеле]])*S662,0)</f>
        <v>2666.666666666667</v>
      </c>
      <c r="U662" s="5">
        <f>IF(Таблица1[[#This Row],[ТТН]]&gt;0,Таблица1[[#This Row],[Ставка за ТТН]]*Таблица1[[#This Row],[ТТН]],0)</f>
        <v>0</v>
      </c>
    </row>
    <row r="663" spans="1:21" x14ac:dyDescent="0.25">
      <c r="A663" t="s">
        <v>84</v>
      </c>
      <c r="B663" s="24">
        <v>9</v>
      </c>
      <c r="C663" t="s">
        <v>120</v>
      </c>
      <c r="D663" t="s">
        <v>28</v>
      </c>
      <c r="E663" t="s">
        <v>214</v>
      </c>
      <c r="F663" t="s">
        <v>28</v>
      </c>
      <c r="H663" t="s">
        <v>10</v>
      </c>
      <c r="I663" t="s">
        <v>220</v>
      </c>
      <c r="J663">
        <v>11</v>
      </c>
      <c r="L663">
        <v>11</v>
      </c>
      <c r="N663">
        <f>Таблица1[[#This Row],[Часов на заказчика  в работе]]+Таблица1[[#This Row],[Часов на заказчика  дежурство]]</f>
        <v>11</v>
      </c>
      <c r="O6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3" s="9">
        <v>80000</v>
      </c>
      <c r="R663" s="9"/>
      <c r="S663" s="5">
        <v>1</v>
      </c>
      <c r="T6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табеле]])*S663,0)</f>
        <v>2666.666666666667</v>
      </c>
      <c r="U663" s="5">
        <f>IF(Таблица1[[#This Row],[ТТН]]&gt;0,Таблица1[[#This Row],[Ставка за ТТН]]*Таблица1[[#This Row],[ТТН]],0)</f>
        <v>0</v>
      </c>
    </row>
    <row r="664" spans="1:21" x14ac:dyDescent="0.25">
      <c r="A664" t="s">
        <v>84</v>
      </c>
      <c r="B664" s="24">
        <v>10</v>
      </c>
      <c r="C664" t="s">
        <v>120</v>
      </c>
      <c r="D664" t="s">
        <v>28</v>
      </c>
      <c r="E664" t="s">
        <v>214</v>
      </c>
      <c r="F664" t="s">
        <v>28</v>
      </c>
      <c r="H664" t="s">
        <v>10</v>
      </c>
      <c r="I664" t="s">
        <v>220</v>
      </c>
      <c r="J664">
        <v>11</v>
      </c>
      <c r="L664">
        <v>11</v>
      </c>
      <c r="N664">
        <f>Таблица1[[#This Row],[Часов на заказчика  в работе]]+Таблица1[[#This Row],[Часов на заказчика  дежурство]]</f>
        <v>11</v>
      </c>
      <c r="O6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4" s="9">
        <v>80000</v>
      </c>
      <c r="R664" s="9"/>
      <c r="S664" s="5">
        <v>1</v>
      </c>
      <c r="T6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табеле]])*S664,0)</f>
        <v>2666.666666666667</v>
      </c>
      <c r="U664" s="5">
        <f>IF(Таблица1[[#This Row],[ТТН]]&gt;0,Таблица1[[#This Row],[Ставка за ТТН]]*Таблица1[[#This Row],[ТТН]],0)</f>
        <v>0</v>
      </c>
    </row>
    <row r="665" spans="1:21" x14ac:dyDescent="0.25">
      <c r="A665" t="s">
        <v>84</v>
      </c>
      <c r="B665" s="24">
        <v>11</v>
      </c>
      <c r="C665" t="s">
        <v>120</v>
      </c>
      <c r="D665" t="s">
        <v>28</v>
      </c>
      <c r="E665" t="s">
        <v>214</v>
      </c>
      <c r="F665" t="s">
        <v>28</v>
      </c>
      <c r="H665" t="s">
        <v>10</v>
      </c>
      <c r="I665" t="s">
        <v>220</v>
      </c>
      <c r="J665">
        <v>22</v>
      </c>
      <c r="L665">
        <v>22</v>
      </c>
      <c r="N665">
        <f>Таблица1[[#This Row],[Часов на заказчика  в работе]]+Таблица1[[#This Row],[Часов на заказчика  дежурство]]</f>
        <v>22</v>
      </c>
      <c r="O6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5" s="9">
        <v>80000</v>
      </c>
      <c r="R665" s="9"/>
      <c r="S665" s="5">
        <v>1</v>
      </c>
      <c r="T6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табеле]])*S665,0)</f>
        <v>5333.3333333333339</v>
      </c>
      <c r="U665" s="5">
        <f>IF(Таблица1[[#This Row],[ТТН]]&gt;0,Таблица1[[#This Row],[Ставка за ТТН]]*Таблица1[[#This Row],[ТТН]],0)</f>
        <v>0</v>
      </c>
    </row>
    <row r="666" spans="1:21" x14ac:dyDescent="0.25">
      <c r="A666" t="s">
        <v>84</v>
      </c>
      <c r="B666" s="24">
        <v>12</v>
      </c>
      <c r="C666" t="s">
        <v>120</v>
      </c>
      <c r="D666" t="s">
        <v>28</v>
      </c>
      <c r="E666" t="s">
        <v>214</v>
      </c>
      <c r="F666" t="s">
        <v>28</v>
      </c>
      <c r="H666" t="s">
        <v>10</v>
      </c>
      <c r="I666" t="s">
        <v>220</v>
      </c>
      <c r="J666">
        <v>11</v>
      </c>
      <c r="L666">
        <v>11</v>
      </c>
      <c r="N666">
        <f>Таблица1[[#This Row],[Часов на заказчика  в работе]]+Таблица1[[#This Row],[Часов на заказчика  дежурство]]</f>
        <v>11</v>
      </c>
      <c r="O6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6" s="9">
        <v>80000</v>
      </c>
      <c r="R666" s="9"/>
      <c r="S666" s="5">
        <v>1</v>
      </c>
      <c r="T6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табеле]])*S666,0)</f>
        <v>2666.666666666667</v>
      </c>
      <c r="U666" s="5">
        <f>IF(Таблица1[[#This Row],[ТТН]]&gt;0,Таблица1[[#This Row],[Ставка за ТТН]]*Таблица1[[#This Row],[ТТН]],0)</f>
        <v>0</v>
      </c>
    </row>
    <row r="667" spans="1:21" x14ac:dyDescent="0.25">
      <c r="A667" t="s">
        <v>84</v>
      </c>
      <c r="B667" s="24">
        <v>13</v>
      </c>
      <c r="C667" t="s">
        <v>120</v>
      </c>
      <c r="D667" t="s">
        <v>28</v>
      </c>
      <c r="E667" t="s">
        <v>214</v>
      </c>
      <c r="F667" t="s">
        <v>28</v>
      </c>
      <c r="H667" t="s">
        <v>10</v>
      </c>
      <c r="I667" t="s">
        <v>220</v>
      </c>
      <c r="J667">
        <v>22</v>
      </c>
      <c r="L667">
        <v>22</v>
      </c>
      <c r="N667">
        <f>Таблица1[[#This Row],[Часов на заказчика  в работе]]+Таблица1[[#This Row],[Часов на заказчика  дежурство]]</f>
        <v>22</v>
      </c>
      <c r="O6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7" s="9">
        <v>80000</v>
      </c>
      <c r="R667" s="9"/>
      <c r="S667" s="5">
        <v>1</v>
      </c>
      <c r="T6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табеле]])*S667,0)</f>
        <v>5333.3333333333339</v>
      </c>
      <c r="U667" s="5">
        <f>IF(Таблица1[[#This Row],[ТТН]]&gt;0,Таблица1[[#This Row],[Ставка за ТТН]]*Таблица1[[#This Row],[ТТН]],0)</f>
        <v>0</v>
      </c>
    </row>
    <row r="668" spans="1:21" x14ac:dyDescent="0.25">
      <c r="A668" t="s">
        <v>84</v>
      </c>
      <c r="B668" s="24">
        <v>14</v>
      </c>
      <c r="C668" t="s">
        <v>120</v>
      </c>
      <c r="D668" t="s">
        <v>28</v>
      </c>
      <c r="E668" t="s">
        <v>214</v>
      </c>
      <c r="F668" t="s">
        <v>28</v>
      </c>
      <c r="H668" t="s">
        <v>10</v>
      </c>
      <c r="I668" t="s">
        <v>220</v>
      </c>
      <c r="J668">
        <v>11</v>
      </c>
      <c r="L668">
        <v>11</v>
      </c>
      <c r="N668">
        <f>Таблица1[[#This Row],[Часов на заказчика  в работе]]+Таблица1[[#This Row],[Часов на заказчика  дежурство]]</f>
        <v>11</v>
      </c>
      <c r="O6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8" s="9">
        <v>80000</v>
      </c>
      <c r="R668" s="9"/>
      <c r="S668" s="5">
        <v>1</v>
      </c>
      <c r="T6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табеле]])*S668,0)</f>
        <v>2666.666666666667</v>
      </c>
      <c r="U668" s="5">
        <f>IF(Таблица1[[#This Row],[ТТН]]&gt;0,Таблица1[[#This Row],[Ставка за ТТН]]*Таблица1[[#This Row],[ТТН]],0)</f>
        <v>0</v>
      </c>
    </row>
    <row r="669" spans="1:21" x14ac:dyDescent="0.25">
      <c r="A669" t="s">
        <v>84</v>
      </c>
      <c r="B669" s="24">
        <v>15</v>
      </c>
      <c r="C669" t="s">
        <v>120</v>
      </c>
      <c r="D669" t="s">
        <v>28</v>
      </c>
      <c r="E669" t="s">
        <v>214</v>
      </c>
      <c r="F669" t="s">
        <v>28</v>
      </c>
      <c r="H669" t="s">
        <v>10</v>
      </c>
      <c r="I669" t="s">
        <v>220</v>
      </c>
      <c r="J669">
        <v>11</v>
      </c>
      <c r="L669">
        <v>11</v>
      </c>
      <c r="N669">
        <f>Таблица1[[#This Row],[Часов на заказчика  в работе]]+Таблица1[[#This Row],[Часов на заказчика  дежурство]]</f>
        <v>11</v>
      </c>
      <c r="O6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69" s="9">
        <v>80000</v>
      </c>
      <c r="R669" s="9"/>
      <c r="S669" s="5">
        <v>1</v>
      </c>
      <c r="T6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табеле]])*S669,0)</f>
        <v>2666.666666666667</v>
      </c>
      <c r="U669" s="5">
        <f>IF(Таблица1[[#This Row],[ТТН]]&gt;0,Таблица1[[#This Row],[Ставка за ТТН]]*Таблица1[[#This Row],[ТТН]],0)</f>
        <v>0</v>
      </c>
    </row>
    <row r="670" spans="1:21" x14ac:dyDescent="0.25">
      <c r="A670" t="s">
        <v>84</v>
      </c>
      <c r="B670" s="24">
        <v>16</v>
      </c>
      <c r="C670" t="s">
        <v>120</v>
      </c>
      <c r="D670" t="s">
        <v>28</v>
      </c>
      <c r="E670" t="s">
        <v>214</v>
      </c>
      <c r="F670" t="s">
        <v>28</v>
      </c>
      <c r="H670" t="s">
        <v>10</v>
      </c>
      <c r="I670" t="s">
        <v>220</v>
      </c>
      <c r="J670">
        <v>11</v>
      </c>
      <c r="L670">
        <v>11</v>
      </c>
      <c r="N670">
        <f>Таблица1[[#This Row],[Часов на заказчика  в работе]]+Таблица1[[#This Row],[Часов на заказчика  дежурство]]</f>
        <v>11</v>
      </c>
      <c r="O6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0" s="9">
        <v>80000</v>
      </c>
      <c r="R670" s="9"/>
      <c r="S670" s="5">
        <v>1</v>
      </c>
      <c r="T6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табеле]])*S670,0)</f>
        <v>2666.666666666667</v>
      </c>
      <c r="U670" s="5">
        <f>IF(Таблица1[[#This Row],[ТТН]]&gt;0,Таблица1[[#This Row],[Ставка за ТТН]]*Таблица1[[#This Row],[ТТН]],0)</f>
        <v>0</v>
      </c>
    </row>
    <row r="671" spans="1:21" x14ac:dyDescent="0.25">
      <c r="A671" t="s">
        <v>84</v>
      </c>
      <c r="B671" s="24">
        <v>17</v>
      </c>
      <c r="C671" t="s">
        <v>120</v>
      </c>
      <c r="D671" t="s">
        <v>28</v>
      </c>
      <c r="E671" t="s">
        <v>214</v>
      </c>
      <c r="F671" t="s">
        <v>28</v>
      </c>
      <c r="H671" t="s">
        <v>10</v>
      </c>
      <c r="I671" t="s">
        <v>220</v>
      </c>
      <c r="J671">
        <v>11</v>
      </c>
      <c r="L671">
        <v>11</v>
      </c>
      <c r="N671">
        <f>Таблица1[[#This Row],[Часов на заказчика  в работе]]+Таблица1[[#This Row],[Часов на заказчика  дежурство]]</f>
        <v>11</v>
      </c>
      <c r="O6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1" s="9">
        <v>80000</v>
      </c>
      <c r="R671" s="9"/>
      <c r="S671" s="5">
        <v>1</v>
      </c>
      <c r="T6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табеле]])*S671,0)</f>
        <v>2666.666666666667</v>
      </c>
      <c r="U671" s="5">
        <f>IF(Таблица1[[#This Row],[ТТН]]&gt;0,Таблица1[[#This Row],[Ставка за ТТН]]*Таблица1[[#This Row],[ТТН]],0)</f>
        <v>0</v>
      </c>
    </row>
    <row r="672" spans="1:21" x14ac:dyDescent="0.25">
      <c r="A672" t="s">
        <v>84</v>
      </c>
      <c r="B672" s="24">
        <v>18</v>
      </c>
      <c r="C672" t="s">
        <v>120</v>
      </c>
      <c r="D672" t="s">
        <v>28</v>
      </c>
      <c r="E672" t="s">
        <v>214</v>
      </c>
      <c r="F672" t="s">
        <v>28</v>
      </c>
      <c r="H672" t="s">
        <v>10</v>
      </c>
      <c r="I672" t="s">
        <v>220</v>
      </c>
      <c r="J672">
        <v>11</v>
      </c>
      <c r="L672">
        <v>11</v>
      </c>
      <c r="N672">
        <f>Таблица1[[#This Row],[Часов на заказчика  в работе]]+Таблица1[[#This Row],[Часов на заказчика  дежурство]]</f>
        <v>11</v>
      </c>
      <c r="O6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2" s="9">
        <v>80000</v>
      </c>
      <c r="R672" s="9"/>
      <c r="S672" s="5">
        <v>1</v>
      </c>
      <c r="T6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табеле]])*S672,0)</f>
        <v>2666.666666666667</v>
      </c>
      <c r="U672" s="5">
        <f>IF(Таблица1[[#This Row],[ТТН]]&gt;0,Таблица1[[#This Row],[Ставка за ТТН]]*Таблица1[[#This Row],[ТТН]],0)</f>
        <v>0</v>
      </c>
    </row>
    <row r="673" spans="1:21" x14ac:dyDescent="0.25">
      <c r="A673" t="s">
        <v>84</v>
      </c>
      <c r="B673" s="24">
        <v>19</v>
      </c>
      <c r="C673" t="s">
        <v>120</v>
      </c>
      <c r="D673" t="s">
        <v>28</v>
      </c>
      <c r="E673" t="s">
        <v>214</v>
      </c>
      <c r="F673" t="s">
        <v>28</v>
      </c>
      <c r="H673" t="s">
        <v>10</v>
      </c>
      <c r="I673" t="s">
        <v>220</v>
      </c>
      <c r="J673">
        <v>11</v>
      </c>
      <c r="L673">
        <v>11</v>
      </c>
      <c r="N673">
        <f>Таблица1[[#This Row],[Часов на заказчика  в работе]]+Таблица1[[#This Row],[Часов на заказчика  дежурство]]</f>
        <v>11</v>
      </c>
      <c r="O6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3" s="9">
        <v>80000</v>
      </c>
      <c r="R673" s="9"/>
      <c r="S673" s="5">
        <v>1</v>
      </c>
      <c r="T6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табеле]])*S673,0)</f>
        <v>2666.666666666667</v>
      </c>
      <c r="U673" s="5">
        <f>IF(Таблица1[[#This Row],[ТТН]]&gt;0,Таблица1[[#This Row],[Ставка за ТТН]]*Таблица1[[#This Row],[ТТН]],0)</f>
        <v>0</v>
      </c>
    </row>
    <row r="674" spans="1:21" x14ac:dyDescent="0.25">
      <c r="A674" t="s">
        <v>84</v>
      </c>
      <c r="B674" s="24">
        <v>20</v>
      </c>
      <c r="C674" t="s">
        <v>120</v>
      </c>
      <c r="D674" t="s">
        <v>28</v>
      </c>
      <c r="E674" t="s">
        <v>214</v>
      </c>
      <c r="F674" t="s">
        <v>28</v>
      </c>
      <c r="H674" t="s">
        <v>10</v>
      </c>
      <c r="I674" t="s">
        <v>220</v>
      </c>
      <c r="J674">
        <v>11</v>
      </c>
      <c r="L674">
        <v>11</v>
      </c>
      <c r="N674">
        <f>Таблица1[[#This Row],[Часов на заказчика  в работе]]+Таблица1[[#This Row],[Часов на заказчика  дежурство]]</f>
        <v>11</v>
      </c>
      <c r="O6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4" s="9">
        <v>80000</v>
      </c>
      <c r="R674" s="9"/>
      <c r="S674" s="5">
        <v>1</v>
      </c>
      <c r="T6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табеле]])*S674,0)</f>
        <v>2666.666666666667</v>
      </c>
      <c r="U674" s="5">
        <f>IF(Таблица1[[#This Row],[ТТН]]&gt;0,Таблица1[[#This Row],[Ставка за ТТН]]*Таблица1[[#This Row],[ТТН]],0)</f>
        <v>0</v>
      </c>
    </row>
    <row r="675" spans="1:21" x14ac:dyDescent="0.25">
      <c r="A675" t="s">
        <v>84</v>
      </c>
      <c r="B675" s="24">
        <v>21</v>
      </c>
      <c r="C675" t="s">
        <v>120</v>
      </c>
      <c r="D675" t="s">
        <v>28</v>
      </c>
      <c r="E675" t="s">
        <v>214</v>
      </c>
      <c r="F675" t="s">
        <v>28</v>
      </c>
      <c r="H675" t="s">
        <v>10</v>
      </c>
      <c r="I675" t="s">
        <v>220</v>
      </c>
      <c r="J675">
        <v>11</v>
      </c>
      <c r="L675">
        <v>11</v>
      </c>
      <c r="N675">
        <f>Таблица1[[#This Row],[Часов на заказчика  в работе]]+Таблица1[[#This Row],[Часов на заказчика  дежурство]]</f>
        <v>11</v>
      </c>
      <c r="O6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5" s="9">
        <v>80000</v>
      </c>
      <c r="R675" s="9"/>
      <c r="S675" s="5">
        <v>1</v>
      </c>
      <c r="T6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табеле]])*S675,0)</f>
        <v>2666.666666666667</v>
      </c>
      <c r="U675" s="5">
        <f>IF(Таблица1[[#This Row],[ТТН]]&gt;0,Таблица1[[#This Row],[Ставка за ТТН]]*Таблица1[[#This Row],[ТТН]],0)</f>
        <v>0</v>
      </c>
    </row>
    <row r="676" spans="1:21" x14ac:dyDescent="0.25">
      <c r="A676" t="s">
        <v>84</v>
      </c>
      <c r="B676" s="24">
        <v>22</v>
      </c>
      <c r="C676" t="s">
        <v>120</v>
      </c>
      <c r="D676" t="s">
        <v>28</v>
      </c>
      <c r="E676" t="s">
        <v>214</v>
      </c>
      <c r="F676" t="s">
        <v>28</v>
      </c>
      <c r="H676" t="s">
        <v>10</v>
      </c>
      <c r="I676" t="s">
        <v>220</v>
      </c>
      <c r="J676">
        <v>11</v>
      </c>
      <c r="L676">
        <v>11</v>
      </c>
      <c r="N676">
        <f>Таблица1[[#This Row],[Часов на заказчика  в работе]]+Таблица1[[#This Row],[Часов на заказчика  дежурство]]</f>
        <v>11</v>
      </c>
      <c r="O6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6" s="9">
        <v>80000</v>
      </c>
      <c r="R676" s="9"/>
      <c r="S676" s="5">
        <v>1</v>
      </c>
      <c r="T6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табеле]])*S676,0)</f>
        <v>2666.666666666667</v>
      </c>
      <c r="U676" s="5">
        <f>IF(Таблица1[[#This Row],[ТТН]]&gt;0,Таблица1[[#This Row],[Ставка за ТТН]]*Таблица1[[#This Row],[ТТН]],0)</f>
        <v>0</v>
      </c>
    </row>
    <row r="677" spans="1:21" x14ac:dyDescent="0.25">
      <c r="A677" t="s">
        <v>84</v>
      </c>
      <c r="B677" s="24">
        <v>23</v>
      </c>
      <c r="C677" t="s">
        <v>120</v>
      </c>
      <c r="D677" t="s">
        <v>28</v>
      </c>
      <c r="E677" t="s">
        <v>214</v>
      </c>
      <c r="F677" t="s">
        <v>28</v>
      </c>
      <c r="H677" t="s">
        <v>10</v>
      </c>
      <c r="I677" t="s">
        <v>220</v>
      </c>
      <c r="J677">
        <v>11</v>
      </c>
      <c r="L677">
        <v>11</v>
      </c>
      <c r="N677">
        <f>Таблица1[[#This Row],[Часов на заказчика  в работе]]+Таблица1[[#This Row],[Часов на заказчика  дежурство]]</f>
        <v>11</v>
      </c>
      <c r="O6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7" s="9">
        <v>80000</v>
      </c>
      <c r="R677" s="9"/>
      <c r="S677" s="5">
        <v>1</v>
      </c>
      <c r="T6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табеле]])*S677,0)</f>
        <v>2666.666666666667</v>
      </c>
      <c r="U677" s="5">
        <f>IF(Таблица1[[#This Row],[ТТН]]&gt;0,Таблица1[[#This Row],[Ставка за ТТН]]*Таблица1[[#This Row],[ТТН]],0)</f>
        <v>0</v>
      </c>
    </row>
    <row r="678" spans="1:21" x14ac:dyDescent="0.25">
      <c r="A678" t="s">
        <v>84</v>
      </c>
      <c r="B678" s="24">
        <v>24</v>
      </c>
      <c r="C678" t="s">
        <v>120</v>
      </c>
      <c r="D678" t="s">
        <v>28</v>
      </c>
      <c r="E678" t="s">
        <v>214</v>
      </c>
      <c r="F678" t="s">
        <v>28</v>
      </c>
      <c r="H678" t="s">
        <v>10</v>
      </c>
      <c r="I678" t="s">
        <v>220</v>
      </c>
      <c r="J678">
        <v>11</v>
      </c>
      <c r="L678">
        <v>11</v>
      </c>
      <c r="N678">
        <f>Таблица1[[#This Row],[Часов на заказчика  в работе]]+Таблица1[[#This Row],[Часов на заказчика  дежурство]]</f>
        <v>11</v>
      </c>
      <c r="O6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8" s="9">
        <v>80000</v>
      </c>
      <c r="R678" s="9"/>
      <c r="S678" s="5">
        <v>1</v>
      </c>
      <c r="T6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табеле]])*S678,0)</f>
        <v>2666.666666666667</v>
      </c>
      <c r="U678" s="5">
        <f>IF(Таблица1[[#This Row],[ТТН]]&gt;0,Таблица1[[#This Row],[Ставка за ТТН]]*Таблица1[[#This Row],[ТТН]],0)</f>
        <v>0</v>
      </c>
    </row>
    <row r="679" spans="1:21" x14ac:dyDescent="0.25">
      <c r="A679" t="s">
        <v>84</v>
      </c>
      <c r="B679" s="24">
        <v>25</v>
      </c>
      <c r="C679" t="s">
        <v>120</v>
      </c>
      <c r="D679" t="s">
        <v>28</v>
      </c>
      <c r="E679" t="s">
        <v>214</v>
      </c>
      <c r="F679" t="s">
        <v>28</v>
      </c>
      <c r="H679" t="s">
        <v>10</v>
      </c>
      <c r="I679" t="s">
        <v>220</v>
      </c>
      <c r="J679">
        <v>11</v>
      </c>
      <c r="L679">
        <v>11</v>
      </c>
      <c r="N679">
        <f>Таблица1[[#This Row],[Часов на заказчика  в работе]]+Таблица1[[#This Row],[Часов на заказчика  дежурство]]</f>
        <v>11</v>
      </c>
      <c r="O6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79" s="9">
        <v>80000</v>
      </c>
      <c r="R679" s="9"/>
      <c r="S679" s="5">
        <v>1</v>
      </c>
      <c r="T6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табеле]])*S679,0)</f>
        <v>2666.666666666667</v>
      </c>
      <c r="U679" s="5">
        <f>IF(Таблица1[[#This Row],[ТТН]]&gt;0,Таблица1[[#This Row],[Ставка за ТТН]]*Таблица1[[#This Row],[ТТН]],0)</f>
        <v>0</v>
      </c>
    </row>
    <row r="680" spans="1:21" x14ac:dyDescent="0.25">
      <c r="A680" t="s">
        <v>84</v>
      </c>
      <c r="B680" s="24">
        <v>26</v>
      </c>
      <c r="C680" t="s">
        <v>120</v>
      </c>
      <c r="D680" t="s">
        <v>28</v>
      </c>
      <c r="E680" t="s">
        <v>214</v>
      </c>
      <c r="F680" t="s">
        <v>28</v>
      </c>
      <c r="H680" t="s">
        <v>10</v>
      </c>
      <c r="I680" t="s">
        <v>220</v>
      </c>
      <c r="J680">
        <v>11</v>
      </c>
      <c r="L680">
        <v>11</v>
      </c>
      <c r="N680">
        <f>Таблица1[[#This Row],[Часов на заказчика  в работе]]+Таблица1[[#This Row],[Часов на заказчика  дежурство]]</f>
        <v>11</v>
      </c>
      <c r="O6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0" s="9">
        <v>80000</v>
      </c>
      <c r="R680" s="9"/>
      <c r="S680" s="5">
        <v>1</v>
      </c>
      <c r="T6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табеле]])*S680,0)</f>
        <v>2666.666666666667</v>
      </c>
      <c r="U680" s="5">
        <f>IF(Таблица1[[#This Row],[ТТН]]&gt;0,Таблица1[[#This Row],[Ставка за ТТН]]*Таблица1[[#This Row],[ТТН]],0)</f>
        <v>0</v>
      </c>
    </row>
    <row r="681" spans="1:21" x14ac:dyDescent="0.25">
      <c r="A681" t="s">
        <v>84</v>
      </c>
      <c r="B681" s="24">
        <v>27</v>
      </c>
      <c r="C681" t="s">
        <v>120</v>
      </c>
      <c r="D681" t="s">
        <v>28</v>
      </c>
      <c r="E681" t="s">
        <v>214</v>
      </c>
      <c r="F681" t="s">
        <v>28</v>
      </c>
      <c r="H681" t="s">
        <v>10</v>
      </c>
      <c r="I681" t="s">
        <v>220</v>
      </c>
      <c r="J681">
        <v>11</v>
      </c>
      <c r="L681">
        <v>11</v>
      </c>
      <c r="N681">
        <f>Таблица1[[#This Row],[Часов на заказчика  в работе]]+Таблица1[[#This Row],[Часов на заказчика  дежурство]]</f>
        <v>11</v>
      </c>
      <c r="O6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1" s="9">
        <v>80000</v>
      </c>
      <c r="R681" s="9"/>
      <c r="S681" s="5">
        <v>1</v>
      </c>
      <c r="T6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табеле]])*S681,0)</f>
        <v>2666.666666666667</v>
      </c>
      <c r="U681" s="5">
        <f>IF(Таблица1[[#This Row],[ТТН]]&gt;0,Таблица1[[#This Row],[Ставка за ТТН]]*Таблица1[[#This Row],[ТТН]],0)</f>
        <v>0</v>
      </c>
    </row>
    <row r="682" spans="1:21" x14ac:dyDescent="0.25">
      <c r="A682" t="s">
        <v>84</v>
      </c>
      <c r="B682" s="24">
        <v>28</v>
      </c>
      <c r="C682" t="s">
        <v>120</v>
      </c>
      <c r="D682" t="s">
        <v>28</v>
      </c>
      <c r="E682" t="s">
        <v>214</v>
      </c>
      <c r="F682" t="s">
        <v>28</v>
      </c>
      <c r="H682" t="s">
        <v>10</v>
      </c>
      <c r="I682" t="s">
        <v>220</v>
      </c>
      <c r="J682">
        <v>11</v>
      </c>
      <c r="L682">
        <v>11</v>
      </c>
      <c r="N682">
        <f>Таблица1[[#This Row],[Часов на заказчика  в работе]]+Таблица1[[#This Row],[Часов на заказчика  дежурство]]</f>
        <v>11</v>
      </c>
      <c r="O6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2" s="9">
        <v>80000</v>
      </c>
      <c r="R682" s="9"/>
      <c r="S682" s="5">
        <v>1</v>
      </c>
      <c r="T6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табеле]])*S682,0)</f>
        <v>2666.666666666667</v>
      </c>
      <c r="U682" s="5">
        <f>IF(Таблица1[[#This Row],[ТТН]]&gt;0,Таблица1[[#This Row],[Ставка за ТТН]]*Таблица1[[#This Row],[ТТН]],0)</f>
        <v>0</v>
      </c>
    </row>
    <row r="683" spans="1:21" x14ac:dyDescent="0.25">
      <c r="A683" t="s">
        <v>84</v>
      </c>
      <c r="B683" s="24">
        <v>29</v>
      </c>
      <c r="C683" t="s">
        <v>120</v>
      </c>
      <c r="D683" t="s">
        <v>28</v>
      </c>
      <c r="E683" t="s">
        <v>214</v>
      </c>
      <c r="F683" t="s">
        <v>28</v>
      </c>
      <c r="H683" t="s">
        <v>10</v>
      </c>
      <c r="I683" t="s">
        <v>220</v>
      </c>
      <c r="J683">
        <v>11</v>
      </c>
      <c r="L683">
        <v>11</v>
      </c>
      <c r="N683">
        <f>Таблица1[[#This Row],[Часов на заказчика  в работе]]+Таблица1[[#This Row],[Часов на заказчика  дежурство]]</f>
        <v>11</v>
      </c>
      <c r="O6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3" s="9">
        <v>80000</v>
      </c>
      <c r="R683" s="9"/>
      <c r="S683" s="5">
        <v>1</v>
      </c>
      <c r="T6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табеле]])*S683,0)</f>
        <v>2666.666666666667</v>
      </c>
      <c r="U683" s="5">
        <f>IF(Таблица1[[#This Row],[ТТН]]&gt;0,Таблица1[[#This Row],[Ставка за ТТН]]*Таблица1[[#This Row],[ТТН]],0)</f>
        <v>0</v>
      </c>
    </row>
    <row r="684" spans="1:21" x14ac:dyDescent="0.25">
      <c r="A684" t="s">
        <v>84</v>
      </c>
      <c r="B684" s="24">
        <v>30</v>
      </c>
      <c r="C684" t="s">
        <v>120</v>
      </c>
      <c r="D684" t="s">
        <v>28</v>
      </c>
      <c r="E684" t="s">
        <v>214</v>
      </c>
      <c r="F684" t="s">
        <v>28</v>
      </c>
      <c r="H684" t="s">
        <v>10</v>
      </c>
      <c r="I684" t="s">
        <v>220</v>
      </c>
      <c r="J684">
        <v>11</v>
      </c>
      <c r="L684">
        <v>11</v>
      </c>
      <c r="N684">
        <f>Таблица1[[#This Row],[Часов на заказчика  в работе]]+Таблица1[[#This Row],[Часов на заказчика  дежурство]]</f>
        <v>11</v>
      </c>
      <c r="O6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4" s="9">
        <v>80000</v>
      </c>
      <c r="R684" s="9"/>
      <c r="S684" s="5">
        <v>1</v>
      </c>
      <c r="T6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табеле]])*S684,0)</f>
        <v>2666.666666666667</v>
      </c>
      <c r="U684" s="5">
        <f>IF(Таблица1[[#This Row],[ТТН]]&gt;0,Таблица1[[#This Row],[Ставка за ТТН]]*Таблица1[[#This Row],[ТТН]],0)</f>
        <v>0</v>
      </c>
    </row>
    <row r="685" spans="1:21" x14ac:dyDescent="0.25">
      <c r="A685" t="s">
        <v>84</v>
      </c>
      <c r="B685" s="24">
        <v>1</v>
      </c>
      <c r="C685" t="s">
        <v>120</v>
      </c>
      <c r="D685" t="s">
        <v>28</v>
      </c>
      <c r="E685" t="s">
        <v>214</v>
      </c>
      <c r="F685" t="s">
        <v>28</v>
      </c>
      <c r="H685" t="s">
        <v>10</v>
      </c>
      <c r="I685" t="s">
        <v>220</v>
      </c>
      <c r="J685">
        <v>11</v>
      </c>
      <c r="L685">
        <v>11</v>
      </c>
      <c r="N685">
        <f>Таблица1[[#This Row],[Часов на заказчика  в работе]]+Таблица1[[#This Row],[Часов на заказчика  дежурство]]</f>
        <v>11</v>
      </c>
      <c r="O6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5" s="9">
        <v>80000</v>
      </c>
      <c r="R685" s="9"/>
      <c r="S685" s="5">
        <v>1</v>
      </c>
      <c r="T6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табеле]])*S685,0)</f>
        <v>2666.666666666667</v>
      </c>
      <c r="U685" s="5">
        <f>IF(Таблица1[[#This Row],[ТТН]]&gt;0,Таблица1[[#This Row],[Ставка за ТТН]]*Таблица1[[#This Row],[ТТН]],0)</f>
        <v>0</v>
      </c>
    </row>
    <row r="686" spans="1:21" x14ac:dyDescent="0.25">
      <c r="A686" t="s">
        <v>84</v>
      </c>
      <c r="B686" s="24">
        <v>2</v>
      </c>
      <c r="C686" t="s">
        <v>120</v>
      </c>
      <c r="D686" t="s">
        <v>28</v>
      </c>
      <c r="E686" t="s">
        <v>214</v>
      </c>
      <c r="F686" t="s">
        <v>28</v>
      </c>
      <c r="H686" t="s">
        <v>10</v>
      </c>
      <c r="I686" t="s">
        <v>220</v>
      </c>
      <c r="J686">
        <v>11</v>
      </c>
      <c r="L686">
        <v>11</v>
      </c>
      <c r="N686">
        <f>Таблица1[[#This Row],[Часов на заказчика  в работе]]+Таблица1[[#This Row],[Часов на заказчика  дежурство]]</f>
        <v>11</v>
      </c>
      <c r="O6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6" s="9">
        <v>80000</v>
      </c>
      <c r="R686" s="9"/>
      <c r="S686" s="5">
        <v>1</v>
      </c>
      <c r="T6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табеле]])*S686,0)</f>
        <v>2666.666666666667</v>
      </c>
      <c r="U686" s="5">
        <f>IF(Таблица1[[#This Row],[ТТН]]&gt;0,Таблица1[[#This Row],[Ставка за ТТН]]*Таблица1[[#This Row],[ТТН]],0)</f>
        <v>0</v>
      </c>
    </row>
    <row r="687" spans="1:21" x14ac:dyDescent="0.25">
      <c r="A687" t="s">
        <v>84</v>
      </c>
      <c r="B687" s="24">
        <v>3</v>
      </c>
      <c r="C687" t="s">
        <v>120</v>
      </c>
      <c r="D687" t="s">
        <v>28</v>
      </c>
      <c r="E687" t="s">
        <v>214</v>
      </c>
      <c r="F687" t="s">
        <v>28</v>
      </c>
      <c r="H687" t="s">
        <v>10</v>
      </c>
      <c r="I687" t="s">
        <v>220</v>
      </c>
      <c r="J687">
        <v>11</v>
      </c>
      <c r="L687">
        <v>11</v>
      </c>
      <c r="N687">
        <f>Таблица1[[#This Row],[Часов на заказчика  в работе]]+Таблица1[[#This Row],[Часов на заказчика  дежурство]]</f>
        <v>11</v>
      </c>
      <c r="O6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7" s="9">
        <v>80000</v>
      </c>
      <c r="R687" s="9"/>
      <c r="S687" s="5">
        <v>1</v>
      </c>
      <c r="T6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табеле]])*S687,0)</f>
        <v>2666.666666666667</v>
      </c>
      <c r="U687" s="5">
        <f>IF(Таблица1[[#This Row],[ТТН]]&gt;0,Таблица1[[#This Row],[Ставка за ТТН]]*Таблица1[[#This Row],[ТТН]],0)</f>
        <v>0</v>
      </c>
    </row>
    <row r="688" spans="1:21" x14ac:dyDescent="0.25">
      <c r="A688" t="s">
        <v>84</v>
      </c>
      <c r="B688" s="24">
        <v>4</v>
      </c>
      <c r="C688" t="s">
        <v>120</v>
      </c>
      <c r="D688" t="s">
        <v>28</v>
      </c>
      <c r="E688" t="s">
        <v>214</v>
      </c>
      <c r="F688" t="s">
        <v>28</v>
      </c>
      <c r="H688" t="s">
        <v>10</v>
      </c>
      <c r="I688" t="s">
        <v>220</v>
      </c>
      <c r="J688">
        <v>11</v>
      </c>
      <c r="L688">
        <v>11</v>
      </c>
      <c r="N688">
        <f>Таблица1[[#This Row],[Часов на заказчика  в работе]]+Таблица1[[#This Row],[Часов на заказчика  дежурство]]</f>
        <v>11</v>
      </c>
      <c r="O6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8" s="9">
        <v>80000</v>
      </c>
      <c r="R688" s="9"/>
      <c r="S688" s="5">
        <v>1</v>
      </c>
      <c r="T6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табеле]])*S688,0)</f>
        <v>2666.666666666667</v>
      </c>
      <c r="U688" s="5">
        <f>IF(Таблица1[[#This Row],[ТТН]]&gt;0,Таблица1[[#This Row],[Ставка за ТТН]]*Таблица1[[#This Row],[ТТН]],0)</f>
        <v>0</v>
      </c>
    </row>
    <row r="689" spans="1:21" x14ac:dyDescent="0.25">
      <c r="A689" t="s">
        <v>84</v>
      </c>
      <c r="B689" s="24">
        <v>5</v>
      </c>
      <c r="C689" t="s">
        <v>120</v>
      </c>
      <c r="D689" t="s">
        <v>28</v>
      </c>
      <c r="E689" t="s">
        <v>214</v>
      </c>
      <c r="F689" t="s">
        <v>28</v>
      </c>
      <c r="H689" t="s">
        <v>10</v>
      </c>
      <c r="I689" t="s">
        <v>220</v>
      </c>
      <c r="J689">
        <v>11</v>
      </c>
      <c r="L689">
        <v>11</v>
      </c>
      <c r="N689">
        <f>Таблица1[[#This Row],[Часов на заказчика  в работе]]+Таблица1[[#This Row],[Часов на заказчика  дежурство]]</f>
        <v>11</v>
      </c>
      <c r="O6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89" s="9">
        <v>80000</v>
      </c>
      <c r="R689" s="9"/>
      <c r="S689" s="5">
        <v>1</v>
      </c>
      <c r="T6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табеле]])*S689,0)</f>
        <v>2666.666666666667</v>
      </c>
      <c r="U689" s="5">
        <f>IF(Таблица1[[#This Row],[ТТН]]&gt;0,Таблица1[[#This Row],[Ставка за ТТН]]*Таблица1[[#This Row],[ТТН]],0)</f>
        <v>0</v>
      </c>
    </row>
    <row r="690" spans="1:21" x14ac:dyDescent="0.25">
      <c r="A690" t="s">
        <v>84</v>
      </c>
      <c r="B690" s="24">
        <v>6</v>
      </c>
      <c r="C690" t="s">
        <v>120</v>
      </c>
      <c r="D690" t="s">
        <v>28</v>
      </c>
      <c r="E690" t="s">
        <v>214</v>
      </c>
      <c r="F690" t="s">
        <v>28</v>
      </c>
      <c r="H690" t="s">
        <v>10</v>
      </c>
      <c r="I690" t="s">
        <v>220</v>
      </c>
      <c r="J690">
        <v>11</v>
      </c>
      <c r="L690">
        <v>11</v>
      </c>
      <c r="N690">
        <f>Таблица1[[#This Row],[Часов на заказчика  в работе]]+Таблица1[[#This Row],[Часов на заказчика  дежурство]]</f>
        <v>11</v>
      </c>
      <c r="O6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0" s="9">
        <v>80000</v>
      </c>
      <c r="R690" s="9"/>
      <c r="S690" s="5">
        <v>1</v>
      </c>
      <c r="T6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табеле]])*S690,0)</f>
        <v>2666.666666666667</v>
      </c>
      <c r="U690" s="5">
        <f>IF(Таблица1[[#This Row],[ТТН]]&gt;0,Таблица1[[#This Row],[Ставка за ТТН]]*Таблица1[[#This Row],[ТТН]],0)</f>
        <v>0</v>
      </c>
    </row>
    <row r="691" spans="1:21" x14ac:dyDescent="0.25">
      <c r="A691" t="s">
        <v>84</v>
      </c>
      <c r="B691" s="24">
        <v>7</v>
      </c>
      <c r="C691" t="s">
        <v>120</v>
      </c>
      <c r="D691" t="s">
        <v>28</v>
      </c>
      <c r="E691" t="s">
        <v>214</v>
      </c>
      <c r="F691" t="s">
        <v>28</v>
      </c>
      <c r="H691" t="s">
        <v>10</v>
      </c>
      <c r="I691" t="s">
        <v>220</v>
      </c>
      <c r="J691">
        <v>11</v>
      </c>
      <c r="L691">
        <v>11</v>
      </c>
      <c r="N691">
        <f>Таблица1[[#This Row],[Часов на заказчика  в работе]]+Таблица1[[#This Row],[Часов на заказчика  дежурство]]</f>
        <v>11</v>
      </c>
      <c r="O6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1" s="9">
        <v>80000</v>
      </c>
      <c r="R691" s="9"/>
      <c r="S691" s="5">
        <v>1</v>
      </c>
      <c r="T6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табеле]])*S691,0)</f>
        <v>2666.666666666667</v>
      </c>
      <c r="U691" s="5">
        <f>IF(Таблица1[[#This Row],[ТТН]]&gt;0,Таблица1[[#This Row],[Ставка за ТТН]]*Таблица1[[#This Row],[ТТН]],0)</f>
        <v>0</v>
      </c>
    </row>
    <row r="692" spans="1:21" x14ac:dyDescent="0.25">
      <c r="A692" t="s">
        <v>84</v>
      </c>
      <c r="B692" s="24">
        <v>8</v>
      </c>
      <c r="C692" t="s">
        <v>120</v>
      </c>
      <c r="D692" t="s">
        <v>28</v>
      </c>
      <c r="E692" t="s">
        <v>214</v>
      </c>
      <c r="F692" t="s">
        <v>28</v>
      </c>
      <c r="H692" t="s">
        <v>10</v>
      </c>
      <c r="I692" t="s">
        <v>220</v>
      </c>
      <c r="J692">
        <v>11</v>
      </c>
      <c r="L692">
        <v>11</v>
      </c>
      <c r="N692">
        <f>Таблица1[[#This Row],[Часов на заказчика  в работе]]+Таблица1[[#This Row],[Часов на заказчика  дежурство]]</f>
        <v>11</v>
      </c>
      <c r="O6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2" s="9">
        <v>80000</v>
      </c>
      <c r="R692" s="9"/>
      <c r="S692" s="5">
        <v>1</v>
      </c>
      <c r="T6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табеле]])*S692,0)</f>
        <v>2666.666666666667</v>
      </c>
      <c r="U692" s="5">
        <f>IF(Таблица1[[#This Row],[ТТН]]&gt;0,Таблица1[[#This Row],[Ставка за ТТН]]*Таблица1[[#This Row],[ТТН]],0)</f>
        <v>0</v>
      </c>
    </row>
    <row r="693" spans="1:21" x14ac:dyDescent="0.25">
      <c r="A693" t="s">
        <v>84</v>
      </c>
      <c r="B693" s="24">
        <v>9</v>
      </c>
      <c r="C693" t="s">
        <v>120</v>
      </c>
      <c r="D693" t="s">
        <v>28</v>
      </c>
      <c r="E693" t="s">
        <v>214</v>
      </c>
      <c r="F693" t="s">
        <v>28</v>
      </c>
      <c r="H693" t="s">
        <v>10</v>
      </c>
      <c r="I693" t="s">
        <v>220</v>
      </c>
      <c r="J693">
        <v>11</v>
      </c>
      <c r="L693">
        <v>11</v>
      </c>
      <c r="N693">
        <f>Таблица1[[#This Row],[Часов на заказчика  в работе]]+Таблица1[[#This Row],[Часов на заказчика  дежурство]]</f>
        <v>11</v>
      </c>
      <c r="O6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3" s="9">
        <v>80000</v>
      </c>
      <c r="R693" s="9"/>
      <c r="S693" s="5">
        <v>1</v>
      </c>
      <c r="T6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табеле]])*S693,0)</f>
        <v>2666.666666666667</v>
      </c>
      <c r="U693" s="5">
        <f>IF(Таблица1[[#This Row],[ТТН]]&gt;0,Таблица1[[#This Row],[Ставка за ТТН]]*Таблица1[[#This Row],[ТТН]],0)</f>
        <v>0</v>
      </c>
    </row>
    <row r="694" spans="1:21" x14ac:dyDescent="0.25">
      <c r="A694" t="s">
        <v>84</v>
      </c>
      <c r="B694" s="24">
        <v>10</v>
      </c>
      <c r="C694" t="s">
        <v>120</v>
      </c>
      <c r="D694" t="s">
        <v>28</v>
      </c>
      <c r="E694" t="s">
        <v>214</v>
      </c>
      <c r="F694" t="s">
        <v>28</v>
      </c>
      <c r="H694" t="s">
        <v>10</v>
      </c>
      <c r="I694" t="s">
        <v>220</v>
      </c>
      <c r="J694">
        <v>11</v>
      </c>
      <c r="L694">
        <v>11</v>
      </c>
      <c r="N694">
        <f>Таблица1[[#This Row],[Часов на заказчика  в работе]]+Таблица1[[#This Row],[Часов на заказчика  дежурство]]</f>
        <v>11</v>
      </c>
      <c r="O6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4" s="9">
        <v>80000</v>
      </c>
      <c r="R694" s="9"/>
      <c r="S694" s="5">
        <v>1</v>
      </c>
      <c r="T6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табеле]])*S694,0)</f>
        <v>2666.666666666667</v>
      </c>
      <c r="U694" s="5">
        <f>IF(Таблица1[[#This Row],[ТТН]]&gt;0,Таблица1[[#This Row],[Ставка за ТТН]]*Таблица1[[#This Row],[ТТН]],0)</f>
        <v>0</v>
      </c>
    </row>
    <row r="695" spans="1:21" x14ac:dyDescent="0.25">
      <c r="A695" t="s">
        <v>84</v>
      </c>
      <c r="B695" s="24">
        <v>11</v>
      </c>
      <c r="C695" t="s">
        <v>120</v>
      </c>
      <c r="D695" t="s">
        <v>28</v>
      </c>
      <c r="E695" t="s">
        <v>214</v>
      </c>
      <c r="F695" t="s">
        <v>28</v>
      </c>
      <c r="H695" t="s">
        <v>10</v>
      </c>
      <c r="I695" t="s">
        <v>220</v>
      </c>
      <c r="J695">
        <v>11</v>
      </c>
      <c r="L695">
        <v>11</v>
      </c>
      <c r="N695">
        <f>Таблица1[[#This Row],[Часов на заказчика  в работе]]+Таблица1[[#This Row],[Часов на заказчика  дежурство]]</f>
        <v>11</v>
      </c>
      <c r="O6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5" s="9">
        <v>80000</v>
      </c>
      <c r="R695" s="9"/>
      <c r="S695" s="5">
        <v>1</v>
      </c>
      <c r="T6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табеле]])*S695,0)</f>
        <v>2666.666666666667</v>
      </c>
      <c r="U695" s="5">
        <f>IF(Таблица1[[#This Row],[ТТН]]&gt;0,Таблица1[[#This Row],[Ставка за ТТН]]*Таблица1[[#This Row],[ТТН]],0)</f>
        <v>0</v>
      </c>
    </row>
    <row r="696" spans="1:21" x14ac:dyDescent="0.25">
      <c r="A696" t="s">
        <v>84</v>
      </c>
      <c r="B696" s="24">
        <v>12</v>
      </c>
      <c r="C696" t="s">
        <v>120</v>
      </c>
      <c r="D696" t="s">
        <v>28</v>
      </c>
      <c r="E696" t="s">
        <v>214</v>
      </c>
      <c r="F696" t="s">
        <v>28</v>
      </c>
      <c r="H696" t="s">
        <v>10</v>
      </c>
      <c r="I696" t="s">
        <v>220</v>
      </c>
      <c r="J696">
        <v>11</v>
      </c>
      <c r="L696">
        <v>11</v>
      </c>
      <c r="N696">
        <f>Таблица1[[#This Row],[Часов на заказчика  в работе]]+Таблица1[[#This Row],[Часов на заказчика  дежурство]]</f>
        <v>11</v>
      </c>
      <c r="O6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6" s="9">
        <v>80000</v>
      </c>
      <c r="R696" s="9"/>
      <c r="S696" s="5">
        <v>1</v>
      </c>
      <c r="T6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табеле]])*S696,0)</f>
        <v>2666.666666666667</v>
      </c>
      <c r="U696" s="5">
        <f>IF(Таблица1[[#This Row],[ТТН]]&gt;0,Таблица1[[#This Row],[Ставка за ТТН]]*Таблица1[[#This Row],[ТТН]],0)</f>
        <v>0</v>
      </c>
    </row>
    <row r="697" spans="1:21" x14ac:dyDescent="0.25">
      <c r="A697" t="s">
        <v>84</v>
      </c>
      <c r="B697" s="24">
        <v>13</v>
      </c>
      <c r="C697" t="s">
        <v>120</v>
      </c>
      <c r="D697" t="s">
        <v>28</v>
      </c>
      <c r="E697" t="s">
        <v>214</v>
      </c>
      <c r="F697" t="s">
        <v>28</v>
      </c>
      <c r="H697" t="s">
        <v>10</v>
      </c>
      <c r="I697" t="s">
        <v>220</v>
      </c>
      <c r="J697">
        <v>22</v>
      </c>
      <c r="L697">
        <v>22</v>
      </c>
      <c r="N697">
        <f>Таблица1[[#This Row],[Часов на заказчика  в работе]]+Таблица1[[#This Row],[Часов на заказчика  дежурство]]</f>
        <v>22</v>
      </c>
      <c r="O6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7" s="9">
        <v>80000</v>
      </c>
      <c r="R697" s="9"/>
      <c r="S697" s="5">
        <v>1</v>
      </c>
      <c r="T6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табеле]])*S697,0)</f>
        <v>5333.3333333333339</v>
      </c>
      <c r="U697" s="5">
        <f>IF(Таблица1[[#This Row],[ТТН]]&gt;0,Таблица1[[#This Row],[Ставка за ТТН]]*Таблица1[[#This Row],[ТТН]],0)</f>
        <v>0</v>
      </c>
    </row>
    <row r="698" spans="1:21" x14ac:dyDescent="0.25">
      <c r="A698" t="s">
        <v>84</v>
      </c>
      <c r="B698" s="24">
        <v>14</v>
      </c>
      <c r="C698" t="s">
        <v>120</v>
      </c>
      <c r="D698" t="s">
        <v>28</v>
      </c>
      <c r="E698" t="s">
        <v>214</v>
      </c>
      <c r="F698" t="s">
        <v>28</v>
      </c>
      <c r="H698" t="s">
        <v>10</v>
      </c>
      <c r="I698" t="s">
        <v>220</v>
      </c>
      <c r="J698">
        <v>11</v>
      </c>
      <c r="L698">
        <v>11</v>
      </c>
      <c r="N698">
        <f>Таблица1[[#This Row],[Часов на заказчика  в работе]]+Таблица1[[#This Row],[Часов на заказчика  дежурство]]</f>
        <v>11</v>
      </c>
      <c r="O6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8" s="9">
        <v>80000</v>
      </c>
      <c r="R698" s="9"/>
      <c r="S698" s="5">
        <v>1</v>
      </c>
      <c r="T6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табеле]])*S698,0)</f>
        <v>2666.666666666667</v>
      </c>
      <c r="U698" s="5">
        <f>IF(Таблица1[[#This Row],[ТТН]]&gt;0,Таблица1[[#This Row],[Ставка за ТТН]]*Таблица1[[#This Row],[ТТН]],0)</f>
        <v>0</v>
      </c>
    </row>
    <row r="699" spans="1:21" x14ac:dyDescent="0.25">
      <c r="A699" t="s">
        <v>84</v>
      </c>
      <c r="B699" s="24">
        <v>15</v>
      </c>
      <c r="C699" t="s">
        <v>120</v>
      </c>
      <c r="D699" t="s">
        <v>28</v>
      </c>
      <c r="E699" t="s">
        <v>214</v>
      </c>
      <c r="F699" t="s">
        <v>28</v>
      </c>
      <c r="H699" t="s">
        <v>10</v>
      </c>
      <c r="I699" t="s">
        <v>220</v>
      </c>
      <c r="J699">
        <v>11</v>
      </c>
      <c r="L699">
        <v>11</v>
      </c>
      <c r="N699">
        <f>Таблица1[[#This Row],[Часов на заказчика  в работе]]+Таблица1[[#This Row],[Часов на заказчика  дежурство]]</f>
        <v>11</v>
      </c>
      <c r="O6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699" s="9">
        <v>80000</v>
      </c>
      <c r="R699" s="9"/>
      <c r="S699" s="5">
        <v>1</v>
      </c>
      <c r="T6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табеле]])*S699,0)</f>
        <v>2666.666666666667</v>
      </c>
      <c r="U699" s="5">
        <f>IF(Таблица1[[#This Row],[ТТН]]&gt;0,Таблица1[[#This Row],[Ставка за ТТН]]*Таблица1[[#This Row],[ТТН]],0)</f>
        <v>0</v>
      </c>
    </row>
    <row r="700" spans="1:21" x14ac:dyDescent="0.25">
      <c r="A700" t="s">
        <v>84</v>
      </c>
      <c r="B700" s="24">
        <v>16</v>
      </c>
      <c r="C700" t="s">
        <v>120</v>
      </c>
      <c r="D700" t="s">
        <v>28</v>
      </c>
      <c r="E700" t="s">
        <v>214</v>
      </c>
      <c r="F700" t="s">
        <v>28</v>
      </c>
      <c r="H700" t="s">
        <v>10</v>
      </c>
      <c r="I700" t="s">
        <v>220</v>
      </c>
      <c r="J700">
        <v>11</v>
      </c>
      <c r="L700">
        <v>11</v>
      </c>
      <c r="N700">
        <f>Таблица1[[#This Row],[Часов на заказчика  в работе]]+Таблица1[[#This Row],[Часов на заказчика  дежурство]]</f>
        <v>11</v>
      </c>
      <c r="O7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0" s="9">
        <v>80000</v>
      </c>
      <c r="R700" s="9"/>
      <c r="S700" s="5">
        <v>1</v>
      </c>
      <c r="T7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табеле]])*S700,0)</f>
        <v>2666.666666666667</v>
      </c>
      <c r="U700" s="5">
        <f>IF(Таблица1[[#This Row],[ТТН]]&gt;0,Таблица1[[#This Row],[Ставка за ТТН]]*Таблица1[[#This Row],[ТТН]],0)</f>
        <v>0</v>
      </c>
    </row>
    <row r="701" spans="1:21" x14ac:dyDescent="0.25">
      <c r="A701" t="s">
        <v>84</v>
      </c>
      <c r="B701" s="24">
        <v>17</v>
      </c>
      <c r="C701" t="s">
        <v>120</v>
      </c>
      <c r="D701" t="s">
        <v>28</v>
      </c>
      <c r="E701" t="s">
        <v>214</v>
      </c>
      <c r="F701" t="s">
        <v>28</v>
      </c>
      <c r="H701" t="s">
        <v>10</v>
      </c>
      <c r="I701" t="s">
        <v>220</v>
      </c>
      <c r="J701">
        <v>11</v>
      </c>
      <c r="L701">
        <v>11</v>
      </c>
      <c r="N701">
        <f>Таблица1[[#This Row],[Часов на заказчика  в работе]]+Таблица1[[#This Row],[Часов на заказчика  дежурство]]</f>
        <v>11</v>
      </c>
      <c r="O7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1" s="9">
        <v>80000</v>
      </c>
      <c r="R701" s="9"/>
      <c r="S701" s="5">
        <v>1</v>
      </c>
      <c r="T7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табеле]])*S701,0)</f>
        <v>2666.666666666667</v>
      </c>
      <c r="U701" s="5">
        <f>IF(Таблица1[[#This Row],[ТТН]]&gt;0,Таблица1[[#This Row],[Ставка за ТТН]]*Таблица1[[#This Row],[ТТН]],0)</f>
        <v>0</v>
      </c>
    </row>
    <row r="702" spans="1:21" x14ac:dyDescent="0.25">
      <c r="A702" t="s">
        <v>84</v>
      </c>
      <c r="B702" s="24">
        <v>18</v>
      </c>
      <c r="C702" t="s">
        <v>120</v>
      </c>
      <c r="D702" t="s">
        <v>28</v>
      </c>
      <c r="E702" t="s">
        <v>214</v>
      </c>
      <c r="F702" t="s">
        <v>28</v>
      </c>
      <c r="H702" t="s">
        <v>10</v>
      </c>
      <c r="I702" t="s">
        <v>220</v>
      </c>
      <c r="J702">
        <v>11</v>
      </c>
      <c r="L702">
        <v>11</v>
      </c>
      <c r="N702">
        <f>Таблица1[[#This Row],[Часов на заказчика  в работе]]+Таблица1[[#This Row],[Часов на заказчика  дежурство]]</f>
        <v>11</v>
      </c>
      <c r="O7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2" s="9">
        <v>80000</v>
      </c>
      <c r="R702" s="9"/>
      <c r="S702" s="5">
        <v>1</v>
      </c>
      <c r="T7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табеле]])*S702,0)</f>
        <v>2666.666666666667</v>
      </c>
      <c r="U702" s="5">
        <f>IF(Таблица1[[#This Row],[ТТН]]&gt;0,Таблица1[[#This Row],[Ставка за ТТН]]*Таблица1[[#This Row],[ТТН]],0)</f>
        <v>0</v>
      </c>
    </row>
    <row r="703" spans="1:21" x14ac:dyDescent="0.25">
      <c r="A703" t="s">
        <v>84</v>
      </c>
      <c r="B703" s="24">
        <v>19</v>
      </c>
      <c r="C703" t="s">
        <v>120</v>
      </c>
      <c r="D703" t="s">
        <v>28</v>
      </c>
      <c r="E703" t="s">
        <v>214</v>
      </c>
      <c r="F703" t="s">
        <v>28</v>
      </c>
      <c r="H703" t="s">
        <v>10</v>
      </c>
      <c r="I703" t="s">
        <v>220</v>
      </c>
      <c r="J703">
        <v>11</v>
      </c>
      <c r="L703">
        <v>11</v>
      </c>
      <c r="N703">
        <f>Таблица1[[#This Row],[Часов на заказчика  в работе]]+Таблица1[[#This Row],[Часов на заказчика  дежурство]]</f>
        <v>11</v>
      </c>
      <c r="O7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3" s="9">
        <v>80000</v>
      </c>
      <c r="R703" s="9"/>
      <c r="S703" s="5">
        <v>1</v>
      </c>
      <c r="T7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табеле]])*S703,0)</f>
        <v>2666.666666666667</v>
      </c>
      <c r="U703" s="5">
        <f>IF(Таблица1[[#This Row],[ТТН]]&gt;0,Таблица1[[#This Row],[Ставка за ТТН]]*Таблица1[[#This Row],[ТТН]],0)</f>
        <v>0</v>
      </c>
    </row>
    <row r="704" spans="1:21" x14ac:dyDescent="0.25">
      <c r="A704" t="s">
        <v>84</v>
      </c>
      <c r="B704" s="24">
        <v>20</v>
      </c>
      <c r="C704" t="s">
        <v>120</v>
      </c>
      <c r="D704" t="s">
        <v>28</v>
      </c>
      <c r="E704" t="s">
        <v>214</v>
      </c>
      <c r="F704" t="s">
        <v>28</v>
      </c>
      <c r="H704" t="s">
        <v>10</v>
      </c>
      <c r="I704" t="s">
        <v>220</v>
      </c>
      <c r="J704">
        <v>11</v>
      </c>
      <c r="L704">
        <v>11</v>
      </c>
      <c r="N704">
        <f>Таблица1[[#This Row],[Часов на заказчика  в работе]]+Таблица1[[#This Row],[Часов на заказчика  дежурство]]</f>
        <v>11</v>
      </c>
      <c r="O7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4" s="9">
        <v>80000</v>
      </c>
      <c r="R704" s="9"/>
      <c r="S704" s="5">
        <v>1</v>
      </c>
      <c r="T7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табеле]])*S704,0)</f>
        <v>2666.666666666667</v>
      </c>
      <c r="U704" s="5">
        <f>IF(Таблица1[[#This Row],[ТТН]]&gt;0,Таблица1[[#This Row],[Ставка за ТТН]]*Таблица1[[#This Row],[ТТН]],0)</f>
        <v>0</v>
      </c>
    </row>
    <row r="705" spans="1:21" x14ac:dyDescent="0.25">
      <c r="A705" t="s">
        <v>84</v>
      </c>
      <c r="B705" s="24">
        <v>21</v>
      </c>
      <c r="C705" t="s">
        <v>120</v>
      </c>
      <c r="D705" t="s">
        <v>28</v>
      </c>
      <c r="E705" t="s">
        <v>214</v>
      </c>
      <c r="F705" t="s">
        <v>28</v>
      </c>
      <c r="H705" t="s">
        <v>10</v>
      </c>
      <c r="I705" t="s">
        <v>220</v>
      </c>
      <c r="J705">
        <v>11</v>
      </c>
      <c r="L705">
        <v>11</v>
      </c>
      <c r="N705">
        <f>Таблица1[[#This Row],[Часов на заказчика  в работе]]+Таблица1[[#This Row],[Часов на заказчика  дежурство]]</f>
        <v>11</v>
      </c>
      <c r="O7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5" s="9">
        <v>80000</v>
      </c>
      <c r="R705" s="9"/>
      <c r="S705" s="5">
        <v>1</v>
      </c>
      <c r="T7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табеле]])*S705,0)</f>
        <v>2666.666666666667</v>
      </c>
      <c r="U705" s="5">
        <f>IF(Таблица1[[#This Row],[ТТН]]&gt;0,Таблица1[[#This Row],[Ставка за ТТН]]*Таблица1[[#This Row],[ТТН]],0)</f>
        <v>0</v>
      </c>
    </row>
    <row r="706" spans="1:21" x14ac:dyDescent="0.25">
      <c r="A706" t="s">
        <v>84</v>
      </c>
      <c r="B706" s="24">
        <v>22</v>
      </c>
      <c r="C706" t="s">
        <v>120</v>
      </c>
      <c r="D706" t="s">
        <v>28</v>
      </c>
      <c r="E706" t="s">
        <v>214</v>
      </c>
      <c r="F706" t="s">
        <v>28</v>
      </c>
      <c r="H706" t="s">
        <v>10</v>
      </c>
      <c r="I706" t="s">
        <v>220</v>
      </c>
      <c r="J706">
        <v>11</v>
      </c>
      <c r="L706">
        <v>11</v>
      </c>
      <c r="N706">
        <f>Таблица1[[#This Row],[Часов на заказчика  в работе]]+Таблица1[[#This Row],[Часов на заказчика  дежурство]]</f>
        <v>11</v>
      </c>
      <c r="O7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6" s="9">
        <v>80000</v>
      </c>
      <c r="R706" s="9"/>
      <c r="S706" s="5">
        <v>1</v>
      </c>
      <c r="T7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табеле]])*S706,0)</f>
        <v>2666.666666666667</v>
      </c>
      <c r="U706" s="5">
        <f>IF(Таблица1[[#This Row],[ТТН]]&gt;0,Таблица1[[#This Row],[Ставка за ТТН]]*Таблица1[[#This Row],[ТТН]],0)</f>
        <v>0</v>
      </c>
    </row>
    <row r="707" spans="1:21" x14ac:dyDescent="0.25">
      <c r="A707" t="s">
        <v>84</v>
      </c>
      <c r="B707" s="24">
        <v>23</v>
      </c>
      <c r="C707" t="s">
        <v>120</v>
      </c>
      <c r="D707" t="s">
        <v>28</v>
      </c>
      <c r="E707" t="s">
        <v>214</v>
      </c>
      <c r="F707" t="s">
        <v>28</v>
      </c>
      <c r="H707" t="s">
        <v>10</v>
      </c>
      <c r="I707" t="s">
        <v>220</v>
      </c>
      <c r="J707">
        <v>11</v>
      </c>
      <c r="L707">
        <v>11</v>
      </c>
      <c r="N707">
        <f>Таблица1[[#This Row],[Часов на заказчика  в работе]]+Таблица1[[#This Row],[Часов на заказчика  дежурство]]</f>
        <v>11</v>
      </c>
      <c r="O7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7" s="9">
        <v>80000</v>
      </c>
      <c r="R707" s="9"/>
      <c r="S707" s="5">
        <v>1</v>
      </c>
      <c r="T7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табеле]])*S707,0)</f>
        <v>2666.666666666667</v>
      </c>
      <c r="U707" s="5">
        <f>IF(Таблица1[[#This Row],[ТТН]]&gt;0,Таблица1[[#This Row],[Ставка за ТТН]]*Таблица1[[#This Row],[ТТН]],0)</f>
        <v>0</v>
      </c>
    </row>
    <row r="708" spans="1:21" x14ac:dyDescent="0.25">
      <c r="A708" t="s">
        <v>84</v>
      </c>
      <c r="B708" s="24">
        <v>24</v>
      </c>
      <c r="C708" t="s">
        <v>120</v>
      </c>
      <c r="D708" t="s">
        <v>28</v>
      </c>
      <c r="E708" t="s">
        <v>214</v>
      </c>
      <c r="F708" t="s">
        <v>28</v>
      </c>
      <c r="H708" t="s">
        <v>10</v>
      </c>
      <c r="I708" t="s">
        <v>220</v>
      </c>
      <c r="J708">
        <v>11</v>
      </c>
      <c r="L708">
        <v>11</v>
      </c>
      <c r="N708">
        <f>Таблица1[[#This Row],[Часов на заказчика  в работе]]+Таблица1[[#This Row],[Часов на заказчика  дежурство]]</f>
        <v>11</v>
      </c>
      <c r="O7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8" s="9">
        <v>80000</v>
      </c>
      <c r="R708" s="9"/>
      <c r="S708" s="5">
        <v>1</v>
      </c>
      <c r="T7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табеле]])*S708,0)</f>
        <v>2666.666666666667</v>
      </c>
      <c r="U708" s="5">
        <f>IF(Таблица1[[#This Row],[ТТН]]&gt;0,Таблица1[[#This Row],[Ставка за ТТН]]*Таблица1[[#This Row],[ТТН]],0)</f>
        <v>0</v>
      </c>
    </row>
    <row r="709" spans="1:21" x14ac:dyDescent="0.25">
      <c r="A709" t="s">
        <v>84</v>
      </c>
      <c r="B709" s="24">
        <v>25</v>
      </c>
      <c r="C709" t="s">
        <v>120</v>
      </c>
      <c r="D709" t="s">
        <v>28</v>
      </c>
      <c r="E709" t="s">
        <v>214</v>
      </c>
      <c r="F709" t="s">
        <v>28</v>
      </c>
      <c r="H709" t="s">
        <v>10</v>
      </c>
      <c r="I709" t="s">
        <v>220</v>
      </c>
      <c r="J709">
        <v>11</v>
      </c>
      <c r="L709">
        <v>11</v>
      </c>
      <c r="N709">
        <f>Таблица1[[#This Row],[Часов на заказчика  в работе]]+Таблица1[[#This Row],[Часов на заказчика  дежурство]]</f>
        <v>11</v>
      </c>
      <c r="O7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09" s="9">
        <v>80000</v>
      </c>
      <c r="R709" s="9"/>
      <c r="S709" s="5">
        <v>1</v>
      </c>
      <c r="T7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табеле]])*S709,0)</f>
        <v>2666.666666666667</v>
      </c>
      <c r="U709" s="5">
        <f>IF(Таблица1[[#This Row],[ТТН]]&gt;0,Таблица1[[#This Row],[Ставка за ТТН]]*Таблица1[[#This Row],[ТТН]],0)</f>
        <v>0</v>
      </c>
    </row>
    <row r="710" spans="1:21" x14ac:dyDescent="0.25">
      <c r="A710" t="s">
        <v>84</v>
      </c>
      <c r="B710" s="24">
        <v>26</v>
      </c>
      <c r="C710" t="s">
        <v>120</v>
      </c>
      <c r="D710" t="s">
        <v>28</v>
      </c>
      <c r="E710" t="s">
        <v>214</v>
      </c>
      <c r="F710" t="s">
        <v>28</v>
      </c>
      <c r="H710" t="s">
        <v>10</v>
      </c>
      <c r="I710" t="s">
        <v>220</v>
      </c>
      <c r="J710">
        <v>11</v>
      </c>
      <c r="L710">
        <v>11</v>
      </c>
      <c r="N710">
        <f>Таблица1[[#This Row],[Часов на заказчика  в работе]]+Таблица1[[#This Row],[Часов на заказчика  дежурство]]</f>
        <v>11</v>
      </c>
      <c r="O7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0" s="9">
        <v>80000</v>
      </c>
      <c r="R710" s="9"/>
      <c r="S710" s="5">
        <v>1</v>
      </c>
      <c r="T7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табеле]])*S710,0)</f>
        <v>2666.666666666667</v>
      </c>
      <c r="U710" s="5">
        <f>IF(Таблица1[[#This Row],[ТТН]]&gt;0,Таблица1[[#This Row],[Ставка за ТТН]]*Таблица1[[#This Row],[ТТН]],0)</f>
        <v>0</v>
      </c>
    </row>
    <row r="711" spans="1:21" x14ac:dyDescent="0.25">
      <c r="A711" t="s">
        <v>84</v>
      </c>
      <c r="B711" s="24">
        <v>27</v>
      </c>
      <c r="C711" t="s">
        <v>120</v>
      </c>
      <c r="D711" t="s">
        <v>28</v>
      </c>
      <c r="E711" t="s">
        <v>214</v>
      </c>
      <c r="F711" t="s">
        <v>28</v>
      </c>
      <c r="H711" t="s">
        <v>10</v>
      </c>
      <c r="I711" t="s">
        <v>220</v>
      </c>
      <c r="J711">
        <v>11</v>
      </c>
      <c r="L711">
        <v>11</v>
      </c>
      <c r="N711">
        <f>Таблица1[[#This Row],[Часов на заказчика  в работе]]+Таблица1[[#This Row],[Часов на заказчика  дежурство]]</f>
        <v>11</v>
      </c>
      <c r="O7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1" s="9">
        <v>80000</v>
      </c>
      <c r="R711" s="9"/>
      <c r="S711" s="5">
        <v>1</v>
      </c>
      <c r="T7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табеле]])*S711,0)</f>
        <v>2666.666666666667</v>
      </c>
      <c r="U711" s="5">
        <f>IF(Таблица1[[#This Row],[ТТН]]&gt;0,Таблица1[[#This Row],[Ставка за ТТН]]*Таблица1[[#This Row],[ТТН]],0)</f>
        <v>0</v>
      </c>
    </row>
    <row r="712" spans="1:21" x14ac:dyDescent="0.25">
      <c r="A712" t="s">
        <v>84</v>
      </c>
      <c r="B712" s="24">
        <v>28</v>
      </c>
      <c r="C712" t="s">
        <v>120</v>
      </c>
      <c r="D712" t="s">
        <v>28</v>
      </c>
      <c r="E712" t="s">
        <v>214</v>
      </c>
      <c r="F712" t="s">
        <v>28</v>
      </c>
      <c r="H712" t="s">
        <v>10</v>
      </c>
      <c r="I712" t="s">
        <v>220</v>
      </c>
      <c r="J712">
        <v>11</v>
      </c>
      <c r="L712">
        <v>11</v>
      </c>
      <c r="N712">
        <f>Таблица1[[#This Row],[Часов на заказчика  в работе]]+Таблица1[[#This Row],[Часов на заказчика  дежурство]]</f>
        <v>11</v>
      </c>
      <c r="O7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2" s="9">
        <v>80000</v>
      </c>
      <c r="R712" s="9"/>
      <c r="S712" s="5">
        <v>1</v>
      </c>
      <c r="T7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табеле]])*S712,0)</f>
        <v>2666.666666666667</v>
      </c>
      <c r="U712" s="5">
        <f>IF(Таблица1[[#This Row],[ТТН]]&gt;0,Таблица1[[#This Row],[Ставка за ТТН]]*Таблица1[[#This Row],[ТТН]],0)</f>
        <v>0</v>
      </c>
    </row>
    <row r="713" spans="1:21" x14ac:dyDescent="0.25">
      <c r="A713" t="s">
        <v>84</v>
      </c>
      <c r="B713" s="24">
        <v>29</v>
      </c>
      <c r="C713" t="s">
        <v>120</v>
      </c>
      <c r="D713" t="s">
        <v>28</v>
      </c>
      <c r="E713" t="s">
        <v>214</v>
      </c>
      <c r="F713" t="s">
        <v>28</v>
      </c>
      <c r="H713" t="s">
        <v>10</v>
      </c>
      <c r="I713" t="s">
        <v>220</v>
      </c>
      <c r="J713">
        <v>11</v>
      </c>
      <c r="L713">
        <v>11</v>
      </c>
      <c r="N713">
        <f>Таблица1[[#This Row],[Часов на заказчика  в работе]]+Таблица1[[#This Row],[Часов на заказчика  дежурство]]</f>
        <v>11</v>
      </c>
      <c r="O7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3" s="9">
        <v>80000</v>
      </c>
      <c r="R713" s="9"/>
      <c r="S713" s="5">
        <v>1</v>
      </c>
      <c r="T7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табеле]])*S713,0)</f>
        <v>2666.666666666667</v>
      </c>
      <c r="U713" s="5">
        <f>IF(Таблица1[[#This Row],[ТТН]]&gt;0,Таблица1[[#This Row],[Ставка за ТТН]]*Таблица1[[#This Row],[ТТН]],0)</f>
        <v>0</v>
      </c>
    </row>
    <row r="714" spans="1:21" x14ac:dyDescent="0.25">
      <c r="A714" t="s">
        <v>84</v>
      </c>
      <c r="B714" s="24">
        <v>30</v>
      </c>
      <c r="C714" t="s">
        <v>121</v>
      </c>
      <c r="D714" t="s">
        <v>28</v>
      </c>
      <c r="E714" t="s">
        <v>214</v>
      </c>
      <c r="F714" t="s">
        <v>28</v>
      </c>
      <c r="H714" t="s">
        <v>10</v>
      </c>
      <c r="I714" t="s">
        <v>220</v>
      </c>
      <c r="J714">
        <v>11</v>
      </c>
      <c r="L714">
        <v>11</v>
      </c>
      <c r="N714">
        <f>Таблица1[[#This Row],[Часов на заказчика  в работе]]+Таблица1[[#This Row],[Часов на заказчика  дежурство]]</f>
        <v>11</v>
      </c>
      <c r="O7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4" s="9">
        <v>88000</v>
      </c>
      <c r="R714" s="9"/>
      <c r="S714" s="5">
        <v>1</v>
      </c>
      <c r="T7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табеле]])*S714,0)</f>
        <v>2933.3333333333335</v>
      </c>
      <c r="U714" s="5">
        <f>IF(Таблица1[[#This Row],[ТТН]]&gt;0,Таблица1[[#This Row],[Ставка за ТТН]]*Таблица1[[#This Row],[ТТН]],0)</f>
        <v>0</v>
      </c>
    </row>
    <row r="715" spans="1:21" x14ac:dyDescent="0.25">
      <c r="A715" t="s">
        <v>84</v>
      </c>
      <c r="B715" s="24">
        <v>1</v>
      </c>
      <c r="C715" t="s">
        <v>121</v>
      </c>
      <c r="D715" t="s">
        <v>35</v>
      </c>
      <c r="E715" t="s">
        <v>215</v>
      </c>
      <c r="F715" t="s">
        <v>36</v>
      </c>
      <c r="H715" t="s">
        <v>44</v>
      </c>
      <c r="I715" t="s">
        <v>217</v>
      </c>
      <c r="J715">
        <v>1</v>
      </c>
      <c r="N715">
        <f>Таблица1[[#This Row],[Часов на заказчика  в работе]]+Таблица1[[#This Row],[Часов на заказчика  дежурство]]</f>
        <v>0</v>
      </c>
      <c r="O7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5" s="9">
        <v>200000</v>
      </c>
      <c r="R715" s="9"/>
      <c r="S715" s="5">
        <v>1</v>
      </c>
      <c r="T7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табеле]])*S715,0)</f>
        <v>0</v>
      </c>
      <c r="U715" s="5">
        <f>IF(Таблица1[[#This Row],[ТТН]]&gt;0,Таблица1[[#This Row],[Ставка за ТТН]]*Таблица1[[#This Row],[ТТН]],0)</f>
        <v>0</v>
      </c>
    </row>
    <row r="716" spans="1:21" x14ac:dyDescent="0.25">
      <c r="A716" t="s">
        <v>84</v>
      </c>
      <c r="B716" s="24">
        <v>2</v>
      </c>
      <c r="C716" t="s">
        <v>121</v>
      </c>
      <c r="D716" t="s">
        <v>35</v>
      </c>
      <c r="E716" t="s">
        <v>215</v>
      </c>
      <c r="F716" t="s">
        <v>36</v>
      </c>
      <c r="H716" t="s">
        <v>24</v>
      </c>
      <c r="I716" t="s">
        <v>217</v>
      </c>
      <c r="J716">
        <v>8</v>
      </c>
      <c r="N716">
        <f>Таблица1[[#This Row],[Часов на заказчика  в работе]]+Таблица1[[#This Row],[Часов на заказчика  дежурство]]</f>
        <v>0</v>
      </c>
      <c r="O7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6" s="9">
        <v>200000</v>
      </c>
      <c r="R716" s="9"/>
      <c r="S716" s="5">
        <v>1</v>
      </c>
      <c r="T7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табеле]])*S716,0)</f>
        <v>0</v>
      </c>
      <c r="U716" s="5">
        <f>IF(Таблица1[[#This Row],[ТТН]]&gt;0,Таблица1[[#This Row],[Ставка за ТТН]]*Таблица1[[#This Row],[ТТН]],0)</f>
        <v>0</v>
      </c>
    </row>
    <row r="717" spans="1:21" x14ac:dyDescent="0.25">
      <c r="A717" t="s">
        <v>84</v>
      </c>
      <c r="B717" s="24">
        <v>3</v>
      </c>
      <c r="C717" t="s">
        <v>121</v>
      </c>
      <c r="D717" t="s">
        <v>35</v>
      </c>
      <c r="E717" t="s">
        <v>215</v>
      </c>
      <c r="F717" t="s">
        <v>36</v>
      </c>
      <c r="H717" t="s">
        <v>24</v>
      </c>
      <c r="I717" t="s">
        <v>217</v>
      </c>
      <c r="J717">
        <v>8</v>
      </c>
      <c r="N717">
        <f>Таблица1[[#This Row],[Часов на заказчика  в работе]]+Таблица1[[#This Row],[Часов на заказчика  дежурство]]</f>
        <v>0</v>
      </c>
      <c r="O7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7" s="9">
        <v>200000</v>
      </c>
      <c r="R717" s="9"/>
      <c r="S717" s="5">
        <v>1</v>
      </c>
      <c r="T7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табеле]])*S717,0)</f>
        <v>0</v>
      </c>
      <c r="U717" s="5">
        <f>IF(Таблица1[[#This Row],[ТТН]]&gt;0,Таблица1[[#This Row],[Ставка за ТТН]]*Таблица1[[#This Row],[ТТН]],0)</f>
        <v>0</v>
      </c>
    </row>
    <row r="718" spans="1:21" x14ac:dyDescent="0.25">
      <c r="A718" t="s">
        <v>84</v>
      </c>
      <c r="B718" s="24">
        <v>4</v>
      </c>
      <c r="C718" t="s">
        <v>121</v>
      </c>
      <c r="D718" t="s">
        <v>35</v>
      </c>
      <c r="E718" t="s">
        <v>215</v>
      </c>
      <c r="F718" t="s">
        <v>36</v>
      </c>
      <c r="H718" t="s">
        <v>24</v>
      </c>
      <c r="I718" t="s">
        <v>217</v>
      </c>
      <c r="J718">
        <v>8</v>
      </c>
      <c r="N718">
        <f>Таблица1[[#This Row],[Часов на заказчика  в работе]]+Таблица1[[#This Row],[Часов на заказчика  дежурство]]</f>
        <v>0</v>
      </c>
      <c r="O7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8" s="9">
        <v>200000</v>
      </c>
      <c r="R718" s="9"/>
      <c r="S718" s="5">
        <v>1</v>
      </c>
      <c r="T7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табеле]])*S718,0)</f>
        <v>0</v>
      </c>
      <c r="U718" s="5">
        <f>IF(Таблица1[[#This Row],[ТТН]]&gt;0,Таблица1[[#This Row],[Ставка за ТТН]]*Таблица1[[#This Row],[ТТН]],0)</f>
        <v>0</v>
      </c>
    </row>
    <row r="719" spans="1:21" x14ac:dyDescent="0.25">
      <c r="A719" t="s">
        <v>84</v>
      </c>
      <c r="B719" s="24">
        <v>5</v>
      </c>
      <c r="C719" t="s">
        <v>121</v>
      </c>
      <c r="D719" t="s">
        <v>35</v>
      </c>
      <c r="E719" t="s">
        <v>215</v>
      </c>
      <c r="F719" t="s">
        <v>36</v>
      </c>
      <c r="H719" t="s">
        <v>10</v>
      </c>
      <c r="I719" t="s">
        <v>217</v>
      </c>
      <c r="J719">
        <v>11</v>
      </c>
      <c r="N719">
        <f>Таблица1[[#This Row],[Часов на заказчика  в работе]]+Таблица1[[#This Row],[Часов на заказчика  дежурство]]</f>
        <v>0</v>
      </c>
      <c r="O7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19" s="9">
        <v>200000</v>
      </c>
      <c r="R719" s="9"/>
      <c r="S719" s="5">
        <v>1.2</v>
      </c>
      <c r="T7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табеле]])*S719,0)</f>
        <v>7999.9999999999991</v>
      </c>
      <c r="U719" s="5">
        <f>IF(Таблица1[[#This Row],[ТТН]]&gt;0,Таблица1[[#This Row],[Ставка за ТТН]]*Таблица1[[#This Row],[ТТН]],0)</f>
        <v>0</v>
      </c>
    </row>
    <row r="720" spans="1:21" x14ac:dyDescent="0.25">
      <c r="A720" t="s">
        <v>84</v>
      </c>
      <c r="B720" s="24">
        <v>6</v>
      </c>
      <c r="C720" t="s">
        <v>121</v>
      </c>
      <c r="D720" t="s">
        <v>35</v>
      </c>
      <c r="E720" t="s">
        <v>215</v>
      </c>
      <c r="F720" t="s">
        <v>36</v>
      </c>
      <c r="H720" t="s">
        <v>10</v>
      </c>
      <c r="I720" t="s">
        <v>217</v>
      </c>
      <c r="J720">
        <v>11</v>
      </c>
      <c r="N720">
        <f>Таблица1[[#This Row],[Часов на заказчика  в работе]]+Таблица1[[#This Row],[Часов на заказчика  дежурство]]</f>
        <v>0</v>
      </c>
      <c r="O7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0" s="9">
        <v>200000</v>
      </c>
      <c r="R720" s="9"/>
      <c r="S720" s="5">
        <v>1.2</v>
      </c>
      <c r="T7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табеле]])*S720,0)</f>
        <v>7999.9999999999991</v>
      </c>
      <c r="U720" s="5">
        <f>IF(Таблица1[[#This Row],[ТТН]]&gt;0,Таблица1[[#This Row],[Ставка за ТТН]]*Таблица1[[#This Row],[ТТН]],0)</f>
        <v>0</v>
      </c>
    </row>
    <row r="721" spans="1:21" x14ac:dyDescent="0.25">
      <c r="A721" t="s">
        <v>84</v>
      </c>
      <c r="B721" s="24">
        <v>7</v>
      </c>
      <c r="C721" t="s">
        <v>121</v>
      </c>
      <c r="D721" t="s">
        <v>35</v>
      </c>
      <c r="E721" t="s">
        <v>215</v>
      </c>
      <c r="F721" t="s">
        <v>36</v>
      </c>
      <c r="H721" t="s">
        <v>10</v>
      </c>
      <c r="I721" t="s">
        <v>217</v>
      </c>
      <c r="J721">
        <v>11</v>
      </c>
      <c r="N721">
        <f>Таблица1[[#This Row],[Часов на заказчика  в работе]]+Таблица1[[#This Row],[Часов на заказчика  дежурство]]</f>
        <v>0</v>
      </c>
      <c r="O7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1" s="9">
        <v>200000</v>
      </c>
      <c r="R721" s="9"/>
      <c r="S721" s="5">
        <v>1.2</v>
      </c>
      <c r="T7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табеле]])*S721,0)</f>
        <v>7999.9999999999991</v>
      </c>
      <c r="U721" s="5">
        <f>IF(Таблица1[[#This Row],[ТТН]]&gt;0,Таблица1[[#This Row],[Ставка за ТТН]]*Таблица1[[#This Row],[ТТН]],0)</f>
        <v>0</v>
      </c>
    </row>
    <row r="722" spans="1:21" x14ac:dyDescent="0.25">
      <c r="A722" t="s">
        <v>84</v>
      </c>
      <c r="B722" s="24">
        <v>8</v>
      </c>
      <c r="C722" t="s">
        <v>121</v>
      </c>
      <c r="D722" t="s">
        <v>35</v>
      </c>
      <c r="E722" t="s">
        <v>215</v>
      </c>
      <c r="F722" t="s">
        <v>36</v>
      </c>
      <c r="H722" t="s">
        <v>10</v>
      </c>
      <c r="I722" t="s">
        <v>217</v>
      </c>
      <c r="J722">
        <v>11</v>
      </c>
      <c r="N722">
        <f>Таблица1[[#This Row],[Часов на заказчика  в работе]]+Таблица1[[#This Row],[Часов на заказчика  дежурство]]</f>
        <v>0</v>
      </c>
      <c r="O7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2" s="9">
        <v>200000</v>
      </c>
      <c r="R722" s="9"/>
      <c r="S722" s="5">
        <v>1.2</v>
      </c>
      <c r="T7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табеле]])*S722,0)</f>
        <v>7999.9999999999991</v>
      </c>
      <c r="U722" s="5">
        <f>IF(Таблица1[[#This Row],[ТТН]]&gt;0,Таблица1[[#This Row],[Ставка за ТТН]]*Таблица1[[#This Row],[ТТН]],0)</f>
        <v>0</v>
      </c>
    </row>
    <row r="723" spans="1:21" x14ac:dyDescent="0.25">
      <c r="A723" t="s">
        <v>84</v>
      </c>
      <c r="B723" s="24">
        <v>9</v>
      </c>
      <c r="C723" t="s">
        <v>121</v>
      </c>
      <c r="D723" t="s">
        <v>35</v>
      </c>
      <c r="E723" t="s">
        <v>215</v>
      </c>
      <c r="F723" t="s">
        <v>36</v>
      </c>
      <c r="H723" t="s">
        <v>10</v>
      </c>
      <c r="I723" t="s">
        <v>217</v>
      </c>
      <c r="J723">
        <v>11</v>
      </c>
      <c r="N723">
        <f>Таблица1[[#This Row],[Часов на заказчика  в работе]]+Таблица1[[#This Row],[Часов на заказчика  дежурство]]</f>
        <v>0</v>
      </c>
      <c r="O7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3" s="9">
        <v>200000</v>
      </c>
      <c r="R723" s="9"/>
      <c r="S723" s="5">
        <v>1.2</v>
      </c>
      <c r="T7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табеле]])*S723,0)</f>
        <v>7999.9999999999991</v>
      </c>
      <c r="U723" s="5">
        <f>IF(Таблица1[[#This Row],[ТТН]]&gt;0,Таблица1[[#This Row],[Ставка за ТТН]]*Таблица1[[#This Row],[ТТН]],0)</f>
        <v>0</v>
      </c>
    </row>
    <row r="724" spans="1:21" x14ac:dyDescent="0.25">
      <c r="A724" t="s">
        <v>84</v>
      </c>
      <c r="B724" s="24">
        <v>10</v>
      </c>
      <c r="C724" t="s">
        <v>121</v>
      </c>
      <c r="D724" t="s">
        <v>35</v>
      </c>
      <c r="E724" t="s">
        <v>215</v>
      </c>
      <c r="F724" t="s">
        <v>36</v>
      </c>
      <c r="H724" t="s">
        <v>10</v>
      </c>
      <c r="I724" t="s">
        <v>217</v>
      </c>
      <c r="J724">
        <v>11</v>
      </c>
      <c r="N724">
        <f>Таблица1[[#This Row],[Часов на заказчика  в работе]]+Таблица1[[#This Row],[Часов на заказчика  дежурство]]</f>
        <v>0</v>
      </c>
      <c r="O7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4" s="9">
        <v>200000</v>
      </c>
      <c r="R724" s="9"/>
      <c r="S724" s="5">
        <v>1.2</v>
      </c>
      <c r="T7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табеле]])*S724,0)</f>
        <v>7999.9999999999991</v>
      </c>
      <c r="U724" s="5">
        <f>IF(Таблица1[[#This Row],[ТТН]]&gt;0,Таблица1[[#This Row],[Ставка за ТТН]]*Таблица1[[#This Row],[ТТН]],0)</f>
        <v>0</v>
      </c>
    </row>
    <row r="725" spans="1:21" x14ac:dyDescent="0.25">
      <c r="A725" t="s">
        <v>84</v>
      </c>
      <c r="B725" s="24">
        <v>11</v>
      </c>
      <c r="C725" t="s">
        <v>121</v>
      </c>
      <c r="D725" t="s">
        <v>35</v>
      </c>
      <c r="E725" t="s">
        <v>215</v>
      </c>
      <c r="F725" t="s">
        <v>36</v>
      </c>
      <c r="H725" t="s">
        <v>10</v>
      </c>
      <c r="I725" t="s">
        <v>217</v>
      </c>
      <c r="J725">
        <v>11</v>
      </c>
      <c r="N725">
        <f>Таблица1[[#This Row],[Часов на заказчика  в работе]]+Таблица1[[#This Row],[Часов на заказчика  дежурство]]</f>
        <v>0</v>
      </c>
      <c r="O7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5" s="9">
        <v>200000</v>
      </c>
      <c r="R725" s="9"/>
      <c r="S725" s="5">
        <v>1.2</v>
      </c>
      <c r="T7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табеле]])*S725,0)</f>
        <v>7999.9999999999991</v>
      </c>
      <c r="U725" s="5">
        <f>IF(Таблица1[[#This Row],[ТТН]]&gt;0,Таблица1[[#This Row],[Ставка за ТТН]]*Таблица1[[#This Row],[ТТН]],0)</f>
        <v>0</v>
      </c>
    </row>
    <row r="726" spans="1:21" x14ac:dyDescent="0.25">
      <c r="A726" t="s">
        <v>84</v>
      </c>
      <c r="B726" s="24">
        <v>12</v>
      </c>
      <c r="C726" t="s">
        <v>121</v>
      </c>
      <c r="D726" t="s">
        <v>35</v>
      </c>
      <c r="E726" t="s">
        <v>215</v>
      </c>
      <c r="F726" t="s">
        <v>36</v>
      </c>
      <c r="H726" t="s">
        <v>10</v>
      </c>
      <c r="I726" t="s">
        <v>217</v>
      </c>
      <c r="J726">
        <v>11</v>
      </c>
      <c r="N726">
        <f>Таблица1[[#This Row],[Часов на заказчика  в работе]]+Таблица1[[#This Row],[Часов на заказчика  дежурство]]</f>
        <v>0</v>
      </c>
      <c r="O7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6" s="9">
        <v>200000</v>
      </c>
      <c r="R726" s="9"/>
      <c r="S726" s="5">
        <v>1.2</v>
      </c>
      <c r="T7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табеле]])*S726,0)</f>
        <v>7999.9999999999991</v>
      </c>
      <c r="U726" s="5">
        <f>IF(Таблица1[[#This Row],[ТТН]]&gt;0,Таблица1[[#This Row],[Ставка за ТТН]]*Таблица1[[#This Row],[ТТН]],0)</f>
        <v>0</v>
      </c>
    </row>
    <row r="727" spans="1:21" x14ac:dyDescent="0.25">
      <c r="A727" t="s">
        <v>84</v>
      </c>
      <c r="B727" s="24">
        <v>13</v>
      </c>
      <c r="C727" t="s">
        <v>121</v>
      </c>
      <c r="D727" t="s">
        <v>35</v>
      </c>
      <c r="E727" t="s">
        <v>215</v>
      </c>
      <c r="F727" t="s">
        <v>36</v>
      </c>
      <c r="H727" t="s">
        <v>10</v>
      </c>
      <c r="I727" t="s">
        <v>217</v>
      </c>
      <c r="J727">
        <v>11</v>
      </c>
      <c r="N727">
        <f>Таблица1[[#This Row],[Часов на заказчика  в работе]]+Таблица1[[#This Row],[Часов на заказчика  дежурство]]</f>
        <v>0</v>
      </c>
      <c r="O7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7" s="9">
        <v>200000</v>
      </c>
      <c r="R727" s="9"/>
      <c r="S727" s="5">
        <v>1.2</v>
      </c>
      <c r="T7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табеле]])*S727,0)</f>
        <v>7999.9999999999991</v>
      </c>
      <c r="U727" s="5">
        <f>IF(Таблица1[[#This Row],[ТТН]]&gt;0,Таблица1[[#This Row],[Ставка за ТТН]]*Таблица1[[#This Row],[ТТН]],0)</f>
        <v>0</v>
      </c>
    </row>
    <row r="728" spans="1:21" x14ac:dyDescent="0.25">
      <c r="A728" t="s">
        <v>84</v>
      </c>
      <c r="B728" s="24">
        <v>14</v>
      </c>
      <c r="C728" t="s">
        <v>121</v>
      </c>
      <c r="D728" t="s">
        <v>35</v>
      </c>
      <c r="E728" t="s">
        <v>215</v>
      </c>
      <c r="F728" t="s">
        <v>36</v>
      </c>
      <c r="H728" t="s">
        <v>10</v>
      </c>
      <c r="I728" t="s">
        <v>217</v>
      </c>
      <c r="J728">
        <v>11</v>
      </c>
      <c r="N728">
        <f>Таблица1[[#This Row],[Часов на заказчика  в работе]]+Таблица1[[#This Row],[Часов на заказчика  дежурство]]</f>
        <v>0</v>
      </c>
      <c r="O7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8" s="9">
        <v>200000</v>
      </c>
      <c r="R728" s="9"/>
      <c r="S728" s="5">
        <v>1.2</v>
      </c>
      <c r="T7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табеле]])*S728,0)</f>
        <v>7999.9999999999991</v>
      </c>
      <c r="U728" s="5">
        <f>IF(Таблица1[[#This Row],[ТТН]]&gt;0,Таблица1[[#This Row],[Ставка за ТТН]]*Таблица1[[#This Row],[ТТН]],0)</f>
        <v>0</v>
      </c>
    </row>
    <row r="729" spans="1:21" x14ac:dyDescent="0.25">
      <c r="A729" t="s">
        <v>84</v>
      </c>
      <c r="B729" s="24">
        <v>15</v>
      </c>
      <c r="C729" t="s">
        <v>121</v>
      </c>
      <c r="D729" t="s">
        <v>35</v>
      </c>
      <c r="E729" t="s">
        <v>215</v>
      </c>
      <c r="F729" t="s">
        <v>36</v>
      </c>
      <c r="H729" t="s">
        <v>10</v>
      </c>
      <c r="I729" t="s">
        <v>217</v>
      </c>
      <c r="J729">
        <v>22</v>
      </c>
      <c r="N729">
        <f>Таблица1[[#This Row],[Часов на заказчика  в работе]]+Таблица1[[#This Row],[Часов на заказчика  дежурство]]</f>
        <v>0</v>
      </c>
      <c r="O7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29" s="9">
        <v>200000</v>
      </c>
      <c r="R729" s="9"/>
      <c r="S729" s="5">
        <v>1.2</v>
      </c>
      <c r="T7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табеле]])*S729,0)</f>
        <v>15999.999999999998</v>
      </c>
      <c r="U729" s="5">
        <f>IF(Таблица1[[#This Row],[ТТН]]&gt;0,Таблица1[[#This Row],[Ставка за ТТН]]*Таблица1[[#This Row],[ТТН]],0)</f>
        <v>0</v>
      </c>
    </row>
    <row r="730" spans="1:21" x14ac:dyDescent="0.25">
      <c r="A730" t="s">
        <v>84</v>
      </c>
      <c r="B730" s="24">
        <v>16</v>
      </c>
      <c r="C730" t="s">
        <v>121</v>
      </c>
      <c r="D730" t="s">
        <v>35</v>
      </c>
      <c r="E730" t="s">
        <v>215</v>
      </c>
      <c r="F730" t="s">
        <v>36</v>
      </c>
      <c r="H730" t="s">
        <v>10</v>
      </c>
      <c r="I730" t="s">
        <v>217</v>
      </c>
      <c r="J730">
        <v>22</v>
      </c>
      <c r="N730">
        <f>Таблица1[[#This Row],[Часов на заказчика  в работе]]+Таблица1[[#This Row],[Часов на заказчика  дежурство]]</f>
        <v>0</v>
      </c>
      <c r="O7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0" s="9">
        <v>200000</v>
      </c>
      <c r="R730" s="9"/>
      <c r="S730" s="5">
        <v>1.2</v>
      </c>
      <c r="T7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табеле]])*S730,0)</f>
        <v>15999.999999999998</v>
      </c>
      <c r="U730" s="5">
        <f>IF(Таблица1[[#This Row],[ТТН]]&gt;0,Таблица1[[#This Row],[Ставка за ТТН]]*Таблица1[[#This Row],[ТТН]],0)</f>
        <v>0</v>
      </c>
    </row>
    <row r="731" spans="1:21" x14ac:dyDescent="0.25">
      <c r="A731" t="s">
        <v>84</v>
      </c>
      <c r="B731" s="24">
        <v>17</v>
      </c>
      <c r="C731" t="s">
        <v>121</v>
      </c>
      <c r="D731" t="s">
        <v>35</v>
      </c>
      <c r="E731" t="s">
        <v>215</v>
      </c>
      <c r="F731" t="s">
        <v>36</v>
      </c>
      <c r="H731" t="s">
        <v>10</v>
      </c>
      <c r="I731" t="s">
        <v>217</v>
      </c>
      <c r="J731">
        <v>11</v>
      </c>
      <c r="N731">
        <f>Таблица1[[#This Row],[Часов на заказчика  в работе]]+Таблица1[[#This Row],[Часов на заказчика  дежурство]]</f>
        <v>0</v>
      </c>
      <c r="O7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1" s="9">
        <v>200000</v>
      </c>
      <c r="R731" s="9"/>
      <c r="S731" s="5">
        <v>1.2</v>
      </c>
      <c r="T7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табеле]])*S731,0)</f>
        <v>7999.9999999999991</v>
      </c>
      <c r="U731" s="5">
        <f>IF(Таблица1[[#This Row],[ТТН]]&gt;0,Таблица1[[#This Row],[Ставка за ТТН]]*Таблица1[[#This Row],[ТТН]],0)</f>
        <v>0</v>
      </c>
    </row>
    <row r="732" spans="1:21" x14ac:dyDescent="0.25">
      <c r="A732" t="s">
        <v>84</v>
      </c>
      <c r="B732" s="24">
        <v>18</v>
      </c>
      <c r="C732" t="s">
        <v>121</v>
      </c>
      <c r="D732" t="s">
        <v>35</v>
      </c>
      <c r="E732" t="s">
        <v>215</v>
      </c>
      <c r="F732" t="s">
        <v>36</v>
      </c>
      <c r="H732" t="s">
        <v>10</v>
      </c>
      <c r="I732" t="s">
        <v>219</v>
      </c>
      <c r="J732">
        <v>11</v>
      </c>
      <c r="L732">
        <v>11</v>
      </c>
      <c r="N732">
        <f>Таблица1[[#This Row],[Часов на заказчика  в работе]]+Таблица1[[#This Row],[Часов на заказчика  дежурство]]</f>
        <v>11</v>
      </c>
      <c r="O7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2" s="9">
        <v>200000</v>
      </c>
      <c r="R732" s="9"/>
      <c r="S732" s="5">
        <v>1.2</v>
      </c>
      <c r="T7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табеле]])*S732,0)</f>
        <v>7999.9999999999991</v>
      </c>
      <c r="U732" s="5">
        <f>IF(Таблица1[[#This Row],[ТТН]]&gt;0,Таблица1[[#This Row],[Ставка за ТТН]]*Таблица1[[#This Row],[ТТН]],0)</f>
        <v>0</v>
      </c>
    </row>
    <row r="733" spans="1:21" x14ac:dyDescent="0.25">
      <c r="A733" t="s">
        <v>84</v>
      </c>
      <c r="B733" s="24">
        <v>19</v>
      </c>
      <c r="C733" t="s">
        <v>121</v>
      </c>
      <c r="D733" t="s">
        <v>35</v>
      </c>
      <c r="E733" t="s">
        <v>215</v>
      </c>
      <c r="F733" t="s">
        <v>36</v>
      </c>
      <c r="H733" t="s">
        <v>10</v>
      </c>
      <c r="I733" t="s">
        <v>219</v>
      </c>
      <c r="J733">
        <v>11</v>
      </c>
      <c r="L733">
        <v>11</v>
      </c>
      <c r="N733">
        <f>Таблица1[[#This Row],[Часов на заказчика  в работе]]+Таблица1[[#This Row],[Часов на заказчика  дежурство]]</f>
        <v>11</v>
      </c>
      <c r="O7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3" s="9">
        <v>200000</v>
      </c>
      <c r="R733" s="9"/>
      <c r="S733" s="5">
        <v>1.2</v>
      </c>
      <c r="T7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табеле]])*S733,0)</f>
        <v>7999.9999999999991</v>
      </c>
      <c r="U733" s="5">
        <f>IF(Таблица1[[#This Row],[ТТН]]&gt;0,Таблица1[[#This Row],[Ставка за ТТН]]*Таблица1[[#This Row],[ТТН]],0)</f>
        <v>0</v>
      </c>
    </row>
    <row r="734" spans="1:21" x14ac:dyDescent="0.25">
      <c r="A734" t="s">
        <v>84</v>
      </c>
      <c r="B734" s="24">
        <v>20</v>
      </c>
      <c r="C734" t="s">
        <v>121</v>
      </c>
      <c r="D734" t="s">
        <v>35</v>
      </c>
      <c r="E734" t="s">
        <v>215</v>
      </c>
      <c r="F734" t="s">
        <v>36</v>
      </c>
      <c r="H734" t="s">
        <v>10</v>
      </c>
      <c r="I734" t="s">
        <v>219</v>
      </c>
      <c r="J734">
        <v>11</v>
      </c>
      <c r="L734">
        <v>11</v>
      </c>
      <c r="N734">
        <f>Таблица1[[#This Row],[Часов на заказчика  в работе]]+Таблица1[[#This Row],[Часов на заказчика  дежурство]]</f>
        <v>11</v>
      </c>
      <c r="O7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4" s="9">
        <v>200000</v>
      </c>
      <c r="R734" s="9"/>
      <c r="S734" s="5">
        <v>1.2</v>
      </c>
      <c r="T7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табеле]])*S734,0)</f>
        <v>7999.9999999999991</v>
      </c>
      <c r="U734" s="5">
        <f>IF(Таблица1[[#This Row],[ТТН]]&gt;0,Таблица1[[#This Row],[Ставка за ТТН]]*Таблица1[[#This Row],[ТТН]],0)</f>
        <v>0</v>
      </c>
    </row>
    <row r="735" spans="1:21" x14ac:dyDescent="0.25">
      <c r="A735" t="s">
        <v>84</v>
      </c>
      <c r="B735" s="24">
        <v>21</v>
      </c>
      <c r="C735" t="s">
        <v>121</v>
      </c>
      <c r="D735" t="s">
        <v>35</v>
      </c>
      <c r="E735" t="s">
        <v>215</v>
      </c>
      <c r="F735" t="s">
        <v>36</v>
      </c>
      <c r="H735" t="s">
        <v>10</v>
      </c>
      <c r="I735" t="s">
        <v>219</v>
      </c>
      <c r="J735">
        <v>11</v>
      </c>
      <c r="L735">
        <v>11</v>
      </c>
      <c r="N735">
        <f>Таблица1[[#This Row],[Часов на заказчика  в работе]]+Таблица1[[#This Row],[Часов на заказчика  дежурство]]</f>
        <v>11</v>
      </c>
      <c r="O7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5" s="9">
        <v>200000</v>
      </c>
      <c r="R735" s="9"/>
      <c r="S735" s="5">
        <v>1.2</v>
      </c>
      <c r="T7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табеле]])*S735,0)</f>
        <v>7999.9999999999991</v>
      </c>
      <c r="U735" s="5">
        <f>IF(Таблица1[[#This Row],[ТТН]]&gt;0,Таблица1[[#This Row],[Ставка за ТТН]]*Таблица1[[#This Row],[ТТН]],0)</f>
        <v>0</v>
      </c>
    </row>
    <row r="736" spans="1:21" x14ac:dyDescent="0.25">
      <c r="A736" t="s">
        <v>84</v>
      </c>
      <c r="B736" s="24">
        <v>22</v>
      </c>
      <c r="C736" t="s">
        <v>121</v>
      </c>
      <c r="D736" t="s">
        <v>35</v>
      </c>
      <c r="E736" t="s">
        <v>215</v>
      </c>
      <c r="F736" t="s">
        <v>36</v>
      </c>
      <c r="H736" t="s">
        <v>10</v>
      </c>
      <c r="I736" t="s">
        <v>219</v>
      </c>
      <c r="J736">
        <v>11</v>
      </c>
      <c r="L736">
        <v>11</v>
      </c>
      <c r="N736">
        <f>Таблица1[[#This Row],[Часов на заказчика  в работе]]+Таблица1[[#This Row],[Часов на заказчика  дежурство]]</f>
        <v>11</v>
      </c>
      <c r="O7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6" s="9">
        <v>200000</v>
      </c>
      <c r="R736" s="9"/>
      <c r="S736" s="5">
        <v>1.2</v>
      </c>
      <c r="T7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табеле]])*S736,0)</f>
        <v>7999.9999999999991</v>
      </c>
      <c r="U736" s="5">
        <f>IF(Таблица1[[#This Row],[ТТН]]&gt;0,Таблица1[[#This Row],[Ставка за ТТН]]*Таблица1[[#This Row],[ТТН]],0)</f>
        <v>0</v>
      </c>
    </row>
    <row r="737" spans="1:21" x14ac:dyDescent="0.25">
      <c r="A737" t="s">
        <v>84</v>
      </c>
      <c r="B737" s="24">
        <v>23</v>
      </c>
      <c r="C737" t="s">
        <v>121</v>
      </c>
      <c r="D737" t="s">
        <v>35</v>
      </c>
      <c r="E737" t="s">
        <v>215</v>
      </c>
      <c r="F737" t="s">
        <v>36</v>
      </c>
      <c r="H737" t="s">
        <v>10</v>
      </c>
      <c r="I737" t="s">
        <v>219</v>
      </c>
      <c r="J737">
        <v>11</v>
      </c>
      <c r="L737">
        <v>11</v>
      </c>
      <c r="N737">
        <f>Таблица1[[#This Row],[Часов на заказчика  в работе]]+Таблица1[[#This Row],[Часов на заказчика  дежурство]]</f>
        <v>11</v>
      </c>
      <c r="O7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7" s="9">
        <v>200000</v>
      </c>
      <c r="R737" s="9"/>
      <c r="S737" s="5">
        <v>1.2</v>
      </c>
      <c r="T7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табеле]])*S737,0)</f>
        <v>7999.9999999999991</v>
      </c>
      <c r="U737" s="5">
        <f>IF(Таблица1[[#This Row],[ТТН]]&gt;0,Таблица1[[#This Row],[Ставка за ТТН]]*Таблица1[[#This Row],[ТТН]],0)</f>
        <v>0</v>
      </c>
    </row>
    <row r="738" spans="1:21" x14ac:dyDescent="0.25">
      <c r="A738" t="s">
        <v>84</v>
      </c>
      <c r="B738" s="24">
        <v>24</v>
      </c>
      <c r="C738" t="s">
        <v>121</v>
      </c>
      <c r="D738" t="s">
        <v>35</v>
      </c>
      <c r="E738" t="s">
        <v>215</v>
      </c>
      <c r="F738" t="s">
        <v>36</v>
      </c>
      <c r="H738" t="s">
        <v>10</v>
      </c>
      <c r="I738" t="s">
        <v>219</v>
      </c>
      <c r="J738">
        <v>11</v>
      </c>
      <c r="L738">
        <v>11</v>
      </c>
      <c r="N738">
        <f>Таблица1[[#This Row],[Часов на заказчика  в работе]]+Таблица1[[#This Row],[Часов на заказчика  дежурство]]</f>
        <v>11</v>
      </c>
      <c r="O7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8" s="9">
        <v>200000</v>
      </c>
      <c r="R738" s="9"/>
      <c r="S738" s="5">
        <v>1.2</v>
      </c>
      <c r="T7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табеле]])*S738,0)</f>
        <v>7999.9999999999991</v>
      </c>
      <c r="U738" s="5">
        <f>IF(Таблица1[[#This Row],[ТТН]]&gt;0,Таблица1[[#This Row],[Ставка за ТТН]]*Таблица1[[#This Row],[ТТН]],0)</f>
        <v>0</v>
      </c>
    </row>
    <row r="739" spans="1:21" x14ac:dyDescent="0.25">
      <c r="A739" t="s">
        <v>84</v>
      </c>
      <c r="B739" s="24">
        <v>25</v>
      </c>
      <c r="C739" t="s">
        <v>121</v>
      </c>
      <c r="D739" t="s">
        <v>35</v>
      </c>
      <c r="E739" t="s">
        <v>215</v>
      </c>
      <c r="F739" t="s">
        <v>36</v>
      </c>
      <c r="H739" t="s">
        <v>10</v>
      </c>
      <c r="I739" t="s">
        <v>219</v>
      </c>
      <c r="J739">
        <v>11</v>
      </c>
      <c r="L739">
        <v>11</v>
      </c>
      <c r="N739">
        <f>Таблица1[[#This Row],[Часов на заказчика  в работе]]+Таблица1[[#This Row],[Часов на заказчика  дежурство]]</f>
        <v>11</v>
      </c>
      <c r="O7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39" s="9">
        <v>200000</v>
      </c>
      <c r="R739" s="9"/>
      <c r="S739" s="5">
        <v>1.2</v>
      </c>
      <c r="T7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табеле]])*S739,0)</f>
        <v>7999.9999999999991</v>
      </c>
      <c r="U739" s="5">
        <f>IF(Таблица1[[#This Row],[ТТН]]&gt;0,Таблица1[[#This Row],[Ставка за ТТН]]*Таблица1[[#This Row],[ТТН]],0)</f>
        <v>0</v>
      </c>
    </row>
    <row r="740" spans="1:21" x14ac:dyDescent="0.25">
      <c r="A740" t="s">
        <v>84</v>
      </c>
      <c r="B740" s="24">
        <v>26</v>
      </c>
      <c r="C740" t="s">
        <v>121</v>
      </c>
      <c r="D740" t="s">
        <v>35</v>
      </c>
      <c r="E740" t="s">
        <v>215</v>
      </c>
      <c r="F740" t="s">
        <v>36</v>
      </c>
      <c r="H740" t="s">
        <v>10</v>
      </c>
      <c r="I740" t="s">
        <v>219</v>
      </c>
      <c r="J740">
        <v>11</v>
      </c>
      <c r="L740">
        <v>11</v>
      </c>
      <c r="N740">
        <f>Таблица1[[#This Row],[Часов на заказчика  в работе]]+Таблица1[[#This Row],[Часов на заказчика  дежурство]]</f>
        <v>11</v>
      </c>
      <c r="O7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0" s="9">
        <v>200000</v>
      </c>
      <c r="R740" s="9"/>
      <c r="S740" s="5">
        <v>1.2</v>
      </c>
      <c r="T7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табеле]])*S740,0)</f>
        <v>7999.9999999999991</v>
      </c>
      <c r="U740" s="5">
        <f>IF(Таблица1[[#This Row],[ТТН]]&gt;0,Таблица1[[#This Row],[Ставка за ТТН]]*Таблица1[[#This Row],[ТТН]],0)</f>
        <v>0</v>
      </c>
    </row>
    <row r="741" spans="1:21" x14ac:dyDescent="0.25">
      <c r="A741" t="s">
        <v>84</v>
      </c>
      <c r="B741" s="24">
        <v>27</v>
      </c>
      <c r="C741" t="s">
        <v>121</v>
      </c>
      <c r="D741" t="s">
        <v>35</v>
      </c>
      <c r="E741" t="s">
        <v>215</v>
      </c>
      <c r="F741" t="s">
        <v>36</v>
      </c>
      <c r="H741" t="s">
        <v>10</v>
      </c>
      <c r="I741" t="s">
        <v>219</v>
      </c>
      <c r="J741">
        <v>11</v>
      </c>
      <c r="L741">
        <v>11</v>
      </c>
      <c r="N741">
        <f>Таблица1[[#This Row],[Часов на заказчика  в работе]]+Таблица1[[#This Row],[Часов на заказчика  дежурство]]</f>
        <v>11</v>
      </c>
      <c r="O7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1" s="9">
        <v>200000</v>
      </c>
      <c r="R741" s="9"/>
      <c r="S741" s="5">
        <v>1.2</v>
      </c>
      <c r="T7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табеле]])*S741,0)</f>
        <v>7999.9999999999991</v>
      </c>
      <c r="U741" s="5">
        <f>IF(Таблица1[[#This Row],[ТТН]]&gt;0,Таблица1[[#This Row],[Ставка за ТТН]]*Таблица1[[#This Row],[ТТН]],0)</f>
        <v>0</v>
      </c>
    </row>
    <row r="742" spans="1:21" x14ac:dyDescent="0.25">
      <c r="A742" t="s">
        <v>84</v>
      </c>
      <c r="B742" s="24">
        <v>28</v>
      </c>
      <c r="C742" t="s">
        <v>121</v>
      </c>
      <c r="D742" t="s">
        <v>35</v>
      </c>
      <c r="E742" t="s">
        <v>215</v>
      </c>
      <c r="F742" t="s">
        <v>36</v>
      </c>
      <c r="H742" t="s">
        <v>10</v>
      </c>
      <c r="I742" t="s">
        <v>219</v>
      </c>
      <c r="J742">
        <v>11</v>
      </c>
      <c r="L742">
        <v>11</v>
      </c>
      <c r="N742">
        <f>Таблица1[[#This Row],[Часов на заказчика  в работе]]+Таблица1[[#This Row],[Часов на заказчика  дежурство]]</f>
        <v>11</v>
      </c>
      <c r="O7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2" s="9">
        <v>200000</v>
      </c>
      <c r="R742" s="9"/>
      <c r="S742" s="5">
        <v>1.2</v>
      </c>
      <c r="T7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табеле]])*S742,0)</f>
        <v>7999.9999999999991</v>
      </c>
      <c r="U742" s="5">
        <f>IF(Таблица1[[#This Row],[ТТН]]&gt;0,Таблица1[[#This Row],[Ставка за ТТН]]*Таблица1[[#This Row],[ТТН]],0)</f>
        <v>0</v>
      </c>
    </row>
    <row r="743" spans="1:21" x14ac:dyDescent="0.25">
      <c r="A743" t="s">
        <v>84</v>
      </c>
      <c r="B743" s="24">
        <v>29</v>
      </c>
      <c r="C743" t="s">
        <v>121</v>
      </c>
      <c r="D743" t="s">
        <v>35</v>
      </c>
      <c r="E743" t="s">
        <v>215</v>
      </c>
      <c r="F743" t="s">
        <v>36</v>
      </c>
      <c r="H743" t="s">
        <v>10</v>
      </c>
      <c r="I743" t="s">
        <v>219</v>
      </c>
      <c r="J743">
        <v>11</v>
      </c>
      <c r="L743">
        <v>11</v>
      </c>
      <c r="N743">
        <f>Таблица1[[#This Row],[Часов на заказчика  в работе]]+Таблица1[[#This Row],[Часов на заказчика  дежурство]]</f>
        <v>11</v>
      </c>
      <c r="O7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3" s="9">
        <v>200000</v>
      </c>
      <c r="R743" s="9"/>
      <c r="S743" s="5">
        <v>1.2</v>
      </c>
      <c r="T7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табеле]])*S743,0)</f>
        <v>7999.9999999999991</v>
      </c>
      <c r="U743" s="5">
        <f>IF(Таблица1[[#This Row],[ТТН]]&gt;0,Таблица1[[#This Row],[Ставка за ТТН]]*Таблица1[[#This Row],[ТТН]],0)</f>
        <v>0</v>
      </c>
    </row>
    <row r="744" spans="1:21" x14ac:dyDescent="0.25">
      <c r="A744" t="s">
        <v>84</v>
      </c>
      <c r="B744" s="24">
        <v>30</v>
      </c>
      <c r="C744" t="s">
        <v>122</v>
      </c>
      <c r="D744" t="s">
        <v>35</v>
      </c>
      <c r="E744" t="s">
        <v>215</v>
      </c>
      <c r="F744" t="s">
        <v>36</v>
      </c>
      <c r="H744" t="s">
        <v>10</v>
      </c>
      <c r="I744" t="s">
        <v>219</v>
      </c>
      <c r="J744">
        <v>11</v>
      </c>
      <c r="L744">
        <v>11</v>
      </c>
      <c r="N744">
        <f>Таблица1[[#This Row],[Часов на заказчика  в работе]]+Таблица1[[#This Row],[Часов на заказчика  дежурство]]</f>
        <v>11</v>
      </c>
      <c r="O7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4" s="9">
        <v>200000</v>
      </c>
      <c r="R744" s="9"/>
      <c r="S744" s="5">
        <v>1.2</v>
      </c>
      <c r="T7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табеле]])*S744,0)</f>
        <v>7999.9999999999991</v>
      </c>
      <c r="U744" s="5">
        <f>IF(Таблица1[[#This Row],[ТТН]]&gt;0,Таблица1[[#This Row],[Ставка за ТТН]]*Таблица1[[#This Row],[ТТН]],0)</f>
        <v>0</v>
      </c>
    </row>
    <row r="745" spans="1:21" x14ac:dyDescent="0.25">
      <c r="A745" t="s">
        <v>84</v>
      </c>
      <c r="B745" s="24">
        <v>1</v>
      </c>
      <c r="C745" t="s">
        <v>122</v>
      </c>
      <c r="D745" t="s">
        <v>49</v>
      </c>
      <c r="E745" t="s">
        <v>215</v>
      </c>
      <c r="F745" t="s">
        <v>51</v>
      </c>
      <c r="H745" t="s">
        <v>10</v>
      </c>
      <c r="I745" t="s">
        <v>219</v>
      </c>
      <c r="J745">
        <v>11</v>
      </c>
      <c r="L745">
        <v>11</v>
      </c>
      <c r="N745">
        <f>Таблица1[[#This Row],[Часов на заказчика  в работе]]+Таблица1[[#This Row],[Часов на заказчика  дежурство]]</f>
        <v>11</v>
      </c>
      <c r="O7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5" s="9">
        <v>180000</v>
      </c>
      <c r="R745" s="9"/>
      <c r="S745" s="5">
        <v>1.2</v>
      </c>
      <c r="T7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табеле]])*S745,0)</f>
        <v>7200</v>
      </c>
      <c r="U745" s="5">
        <f>IF(Таблица1[[#This Row],[ТТН]]&gt;0,Таблица1[[#This Row],[Ставка за ТТН]]*Таблица1[[#This Row],[ТТН]],0)</f>
        <v>0</v>
      </c>
    </row>
    <row r="746" spans="1:21" x14ac:dyDescent="0.25">
      <c r="A746" t="s">
        <v>84</v>
      </c>
      <c r="B746" s="24">
        <v>2</v>
      </c>
      <c r="C746" t="s">
        <v>122</v>
      </c>
      <c r="D746" t="s">
        <v>49</v>
      </c>
      <c r="E746" t="s">
        <v>215</v>
      </c>
      <c r="F746" t="s">
        <v>51</v>
      </c>
      <c r="H746" t="s">
        <v>10</v>
      </c>
      <c r="I746" t="s">
        <v>219</v>
      </c>
      <c r="J746">
        <v>11</v>
      </c>
      <c r="L746">
        <v>11</v>
      </c>
      <c r="N746">
        <f>Таблица1[[#This Row],[Часов на заказчика  в работе]]+Таблица1[[#This Row],[Часов на заказчика  дежурство]]</f>
        <v>11</v>
      </c>
      <c r="O7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6" s="9">
        <v>180000</v>
      </c>
      <c r="R746" s="9"/>
      <c r="S746" s="5">
        <v>1.2</v>
      </c>
      <c r="T7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табеле]])*S746,0)</f>
        <v>7200</v>
      </c>
      <c r="U746" s="5">
        <f>IF(Таблица1[[#This Row],[ТТН]]&gt;0,Таблица1[[#This Row],[Ставка за ТТН]]*Таблица1[[#This Row],[ТТН]],0)</f>
        <v>0</v>
      </c>
    </row>
    <row r="747" spans="1:21" x14ac:dyDescent="0.25">
      <c r="A747" t="s">
        <v>84</v>
      </c>
      <c r="B747" s="24">
        <v>3</v>
      </c>
      <c r="C747" t="s">
        <v>122</v>
      </c>
      <c r="D747" t="s">
        <v>49</v>
      </c>
      <c r="E747" t="s">
        <v>215</v>
      </c>
      <c r="F747" t="s">
        <v>51</v>
      </c>
      <c r="H747" t="s">
        <v>10</v>
      </c>
      <c r="I747" t="s">
        <v>219</v>
      </c>
      <c r="J747">
        <v>11</v>
      </c>
      <c r="L747">
        <v>11</v>
      </c>
      <c r="N747">
        <f>Таблица1[[#This Row],[Часов на заказчика  в работе]]+Таблица1[[#This Row],[Часов на заказчика  дежурство]]</f>
        <v>11</v>
      </c>
      <c r="O7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7" s="9">
        <v>180000</v>
      </c>
      <c r="R747" s="9"/>
      <c r="S747" s="5">
        <v>1.2</v>
      </c>
      <c r="T7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табеле]])*S747,0)</f>
        <v>7200</v>
      </c>
      <c r="U747" s="5">
        <f>IF(Таблица1[[#This Row],[ТТН]]&gt;0,Таблица1[[#This Row],[Ставка за ТТН]]*Таблица1[[#This Row],[ТТН]],0)</f>
        <v>0</v>
      </c>
    </row>
    <row r="748" spans="1:21" x14ac:dyDescent="0.25">
      <c r="A748" t="s">
        <v>84</v>
      </c>
      <c r="B748" s="24">
        <v>4</v>
      </c>
      <c r="C748" t="s">
        <v>122</v>
      </c>
      <c r="D748" t="s">
        <v>49</v>
      </c>
      <c r="E748" t="s">
        <v>215</v>
      </c>
      <c r="F748" t="s">
        <v>51</v>
      </c>
      <c r="H748" t="s">
        <v>10</v>
      </c>
      <c r="I748" t="s">
        <v>219</v>
      </c>
      <c r="J748">
        <v>11</v>
      </c>
      <c r="L748">
        <v>11</v>
      </c>
      <c r="N748">
        <f>Таблица1[[#This Row],[Часов на заказчика  в работе]]+Таблица1[[#This Row],[Часов на заказчика  дежурство]]</f>
        <v>11</v>
      </c>
      <c r="O7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8" s="9">
        <v>180000</v>
      </c>
      <c r="R748" s="9"/>
      <c r="S748" s="5">
        <v>1.2</v>
      </c>
      <c r="T7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табеле]])*S748,0)</f>
        <v>7200</v>
      </c>
      <c r="U748" s="5">
        <f>IF(Таблица1[[#This Row],[ТТН]]&gt;0,Таблица1[[#This Row],[Ставка за ТТН]]*Таблица1[[#This Row],[ТТН]],0)</f>
        <v>0</v>
      </c>
    </row>
    <row r="749" spans="1:21" x14ac:dyDescent="0.25">
      <c r="A749" t="s">
        <v>84</v>
      </c>
      <c r="B749" s="24">
        <v>5</v>
      </c>
      <c r="C749" t="s">
        <v>122</v>
      </c>
      <c r="D749" t="s">
        <v>49</v>
      </c>
      <c r="E749" t="s">
        <v>215</v>
      </c>
      <c r="F749" t="s">
        <v>51</v>
      </c>
      <c r="H749" t="s">
        <v>10</v>
      </c>
      <c r="I749" t="s">
        <v>219</v>
      </c>
      <c r="J749">
        <v>11</v>
      </c>
      <c r="L749">
        <v>11</v>
      </c>
      <c r="N749">
        <f>Таблица1[[#This Row],[Часов на заказчика  в работе]]+Таблица1[[#This Row],[Часов на заказчика  дежурство]]</f>
        <v>11</v>
      </c>
      <c r="O7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49" s="9">
        <v>180000</v>
      </c>
      <c r="R749" s="9"/>
      <c r="S749" s="5">
        <v>1.2</v>
      </c>
      <c r="T7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табеле]])*S749,0)</f>
        <v>7200</v>
      </c>
      <c r="U749" s="5">
        <f>IF(Таблица1[[#This Row],[ТТН]]&gt;0,Таблица1[[#This Row],[Ставка за ТТН]]*Таблица1[[#This Row],[ТТН]],0)</f>
        <v>0</v>
      </c>
    </row>
    <row r="750" spans="1:21" x14ac:dyDescent="0.25">
      <c r="A750" t="s">
        <v>84</v>
      </c>
      <c r="B750" s="24">
        <v>6</v>
      </c>
      <c r="C750" t="s">
        <v>122</v>
      </c>
      <c r="D750" t="s">
        <v>49</v>
      </c>
      <c r="E750" t="s">
        <v>215</v>
      </c>
      <c r="F750" t="s">
        <v>51</v>
      </c>
      <c r="H750" t="s">
        <v>10</v>
      </c>
      <c r="I750" t="s">
        <v>219</v>
      </c>
      <c r="J750">
        <v>4</v>
      </c>
      <c r="L750">
        <v>4</v>
      </c>
      <c r="N750">
        <f>Таблица1[[#This Row],[Часов на заказчика  в работе]]+Таблица1[[#This Row],[Часов на заказчика  дежурство]]</f>
        <v>4</v>
      </c>
      <c r="O7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0" s="9">
        <v>180000</v>
      </c>
      <c r="R750" s="9"/>
      <c r="S750" s="5">
        <v>1.2</v>
      </c>
      <c r="T7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табеле]])*S750,0)</f>
        <v>2618.1818181818185</v>
      </c>
      <c r="U750" s="5">
        <f>IF(Таблица1[[#This Row],[ТТН]]&gt;0,Таблица1[[#This Row],[Ставка за ТТН]]*Таблица1[[#This Row],[ТТН]],0)</f>
        <v>0</v>
      </c>
    </row>
    <row r="751" spans="1:21" x14ac:dyDescent="0.25">
      <c r="A751" t="s">
        <v>84</v>
      </c>
      <c r="B751" s="24">
        <v>7</v>
      </c>
      <c r="C751" t="s">
        <v>122</v>
      </c>
      <c r="D751" t="s">
        <v>49</v>
      </c>
      <c r="E751" t="s">
        <v>215</v>
      </c>
      <c r="F751" t="s">
        <v>51</v>
      </c>
      <c r="H751" t="s">
        <v>23</v>
      </c>
      <c r="I751" t="s">
        <v>217</v>
      </c>
      <c r="J751">
        <v>11</v>
      </c>
      <c r="N751">
        <f>Таблица1[[#This Row],[Часов на заказчика  в работе]]+Таблица1[[#This Row],[Часов на заказчика  дежурство]]</f>
        <v>0</v>
      </c>
      <c r="O7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1" s="9">
        <v>180000</v>
      </c>
      <c r="R751" s="9"/>
      <c r="S751" s="5">
        <v>1</v>
      </c>
      <c r="T7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табеле]])*S751,0)</f>
        <v>6000</v>
      </c>
      <c r="U751" s="5">
        <f>IF(Таблица1[[#This Row],[ТТН]]&gt;0,Таблица1[[#This Row],[Ставка за ТТН]]*Таблица1[[#This Row],[ТТН]],0)</f>
        <v>0</v>
      </c>
    </row>
    <row r="752" spans="1:21" x14ac:dyDescent="0.25">
      <c r="A752" t="s">
        <v>84</v>
      </c>
      <c r="B752" s="24">
        <v>8</v>
      </c>
      <c r="C752" t="s">
        <v>122</v>
      </c>
      <c r="D752" t="s">
        <v>49</v>
      </c>
      <c r="E752" t="s">
        <v>215</v>
      </c>
      <c r="F752" t="s">
        <v>51</v>
      </c>
      <c r="H752" t="s">
        <v>23</v>
      </c>
      <c r="I752" t="s">
        <v>219</v>
      </c>
      <c r="J752">
        <v>11</v>
      </c>
      <c r="L752">
        <v>11</v>
      </c>
      <c r="N752">
        <f>Таблица1[[#This Row],[Часов на заказчика  в работе]]+Таблица1[[#This Row],[Часов на заказчика  дежурство]]</f>
        <v>11</v>
      </c>
      <c r="O7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2" s="9">
        <v>180000</v>
      </c>
      <c r="R752" s="9"/>
      <c r="S752" s="5">
        <v>1.2</v>
      </c>
      <c r="T7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табеле]])*S752,0)</f>
        <v>7200</v>
      </c>
      <c r="U752" s="5">
        <f>IF(Таблица1[[#This Row],[ТТН]]&gt;0,Таблица1[[#This Row],[Ставка за ТТН]]*Таблица1[[#This Row],[ТТН]],0)</f>
        <v>0</v>
      </c>
    </row>
    <row r="753" spans="1:21" x14ac:dyDescent="0.25">
      <c r="A753" t="s">
        <v>84</v>
      </c>
      <c r="B753" s="24">
        <v>9</v>
      </c>
      <c r="C753" t="s">
        <v>122</v>
      </c>
      <c r="D753" t="s">
        <v>49</v>
      </c>
      <c r="E753" t="s">
        <v>215</v>
      </c>
      <c r="F753" t="s">
        <v>51</v>
      </c>
      <c r="H753" t="s">
        <v>10</v>
      </c>
      <c r="I753" t="s">
        <v>219</v>
      </c>
      <c r="J753">
        <v>11</v>
      </c>
      <c r="L753">
        <v>11</v>
      </c>
      <c r="N753">
        <f>Таблица1[[#This Row],[Часов на заказчика  в работе]]+Таблица1[[#This Row],[Часов на заказчика  дежурство]]</f>
        <v>11</v>
      </c>
      <c r="O7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3" s="9">
        <v>180000</v>
      </c>
      <c r="R753" s="9"/>
      <c r="S753" s="5">
        <v>1.2</v>
      </c>
      <c r="T7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табеле]])*S753,0)</f>
        <v>7200</v>
      </c>
      <c r="U753" s="5">
        <f>IF(Таблица1[[#This Row],[ТТН]]&gt;0,Таблица1[[#This Row],[Ставка за ТТН]]*Таблица1[[#This Row],[ТТН]],0)</f>
        <v>0</v>
      </c>
    </row>
    <row r="754" spans="1:21" x14ac:dyDescent="0.25">
      <c r="A754" t="s">
        <v>84</v>
      </c>
      <c r="B754" s="24">
        <v>10</v>
      </c>
      <c r="C754" t="s">
        <v>122</v>
      </c>
      <c r="D754" t="s">
        <v>49</v>
      </c>
      <c r="E754" t="s">
        <v>215</v>
      </c>
      <c r="F754" t="s">
        <v>51</v>
      </c>
      <c r="H754" t="s">
        <v>10</v>
      </c>
      <c r="I754" t="s">
        <v>219</v>
      </c>
      <c r="J754">
        <v>11</v>
      </c>
      <c r="L754">
        <v>11</v>
      </c>
      <c r="N754">
        <f>Таблица1[[#This Row],[Часов на заказчика  в работе]]+Таблица1[[#This Row],[Часов на заказчика  дежурство]]</f>
        <v>11</v>
      </c>
      <c r="O7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4" s="9">
        <v>180000</v>
      </c>
      <c r="R754" s="9"/>
      <c r="S754" s="5">
        <v>1.2</v>
      </c>
      <c r="T7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табеле]])*S754,0)</f>
        <v>7200</v>
      </c>
      <c r="U754" s="5">
        <f>IF(Таблица1[[#This Row],[ТТН]]&gt;0,Таблица1[[#This Row],[Ставка за ТТН]]*Таблица1[[#This Row],[ТТН]],0)</f>
        <v>0</v>
      </c>
    </row>
    <row r="755" spans="1:21" x14ac:dyDescent="0.25">
      <c r="A755" t="s">
        <v>84</v>
      </c>
      <c r="B755" s="24">
        <v>11</v>
      </c>
      <c r="C755" t="s">
        <v>122</v>
      </c>
      <c r="D755" t="s">
        <v>49</v>
      </c>
      <c r="E755" t="s">
        <v>215</v>
      </c>
      <c r="F755" t="s">
        <v>51</v>
      </c>
      <c r="H755" t="s">
        <v>10</v>
      </c>
      <c r="I755" t="s">
        <v>219</v>
      </c>
      <c r="J755">
        <v>11</v>
      </c>
      <c r="L755">
        <v>11</v>
      </c>
      <c r="N755">
        <f>Таблица1[[#This Row],[Часов на заказчика  в работе]]+Таблица1[[#This Row],[Часов на заказчика  дежурство]]</f>
        <v>11</v>
      </c>
      <c r="O7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5" s="9">
        <v>180000</v>
      </c>
      <c r="R755" s="9"/>
      <c r="S755" s="5">
        <v>1.2</v>
      </c>
      <c r="T7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табеле]])*S755,0)</f>
        <v>7200</v>
      </c>
      <c r="U755" s="5">
        <f>IF(Таблица1[[#This Row],[ТТН]]&gt;0,Таблица1[[#This Row],[Ставка за ТТН]]*Таблица1[[#This Row],[ТТН]],0)</f>
        <v>0</v>
      </c>
    </row>
    <row r="756" spans="1:21" x14ac:dyDescent="0.25">
      <c r="A756" t="s">
        <v>84</v>
      </c>
      <c r="B756" s="24">
        <v>12</v>
      </c>
      <c r="C756" t="s">
        <v>122</v>
      </c>
      <c r="D756" t="s">
        <v>49</v>
      </c>
      <c r="E756" t="s">
        <v>215</v>
      </c>
      <c r="F756" t="s">
        <v>51</v>
      </c>
      <c r="H756" t="s">
        <v>10</v>
      </c>
      <c r="I756" t="s">
        <v>219</v>
      </c>
      <c r="J756">
        <v>11</v>
      </c>
      <c r="L756">
        <v>11</v>
      </c>
      <c r="N756">
        <f>Таблица1[[#This Row],[Часов на заказчика  в работе]]+Таблица1[[#This Row],[Часов на заказчика  дежурство]]</f>
        <v>11</v>
      </c>
      <c r="O7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6" s="9">
        <v>180000</v>
      </c>
      <c r="R756" s="9"/>
      <c r="S756" s="5">
        <v>1.2</v>
      </c>
      <c r="T7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табеле]])*S756,0)</f>
        <v>7200</v>
      </c>
      <c r="U756" s="5">
        <f>IF(Таблица1[[#This Row],[ТТН]]&gt;0,Таблица1[[#This Row],[Ставка за ТТН]]*Таблица1[[#This Row],[ТТН]],0)</f>
        <v>0</v>
      </c>
    </row>
    <row r="757" spans="1:21" x14ac:dyDescent="0.25">
      <c r="A757" t="s">
        <v>84</v>
      </c>
      <c r="B757" s="24">
        <v>13</v>
      </c>
      <c r="C757" t="s">
        <v>122</v>
      </c>
      <c r="D757" t="s">
        <v>49</v>
      </c>
      <c r="E757" t="s">
        <v>215</v>
      </c>
      <c r="F757" t="s">
        <v>51</v>
      </c>
      <c r="H757" t="s">
        <v>10</v>
      </c>
      <c r="I757" t="s">
        <v>219</v>
      </c>
      <c r="J757">
        <v>11</v>
      </c>
      <c r="L757">
        <v>11</v>
      </c>
      <c r="N757">
        <f>Таблица1[[#This Row],[Часов на заказчика  в работе]]+Таблица1[[#This Row],[Часов на заказчика  дежурство]]</f>
        <v>11</v>
      </c>
      <c r="O7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7" s="9">
        <v>180000</v>
      </c>
      <c r="R757" s="9"/>
      <c r="S757" s="5">
        <v>1.2</v>
      </c>
      <c r="T7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табеле]])*S757,0)</f>
        <v>7200</v>
      </c>
      <c r="U757" s="5">
        <f>IF(Таблица1[[#This Row],[ТТН]]&gt;0,Таблица1[[#This Row],[Ставка за ТТН]]*Таблица1[[#This Row],[ТТН]],0)</f>
        <v>0</v>
      </c>
    </row>
    <row r="758" spans="1:21" x14ac:dyDescent="0.25">
      <c r="A758" t="s">
        <v>84</v>
      </c>
      <c r="B758" s="24">
        <v>14</v>
      </c>
      <c r="C758" t="s">
        <v>122</v>
      </c>
      <c r="D758" t="s">
        <v>49</v>
      </c>
      <c r="E758" t="s">
        <v>215</v>
      </c>
      <c r="F758" t="s">
        <v>51</v>
      </c>
      <c r="H758" t="s">
        <v>10</v>
      </c>
      <c r="I758" t="s">
        <v>219</v>
      </c>
      <c r="J758">
        <v>11</v>
      </c>
      <c r="L758">
        <v>11</v>
      </c>
      <c r="N758">
        <f>Таблица1[[#This Row],[Часов на заказчика  в работе]]+Таблица1[[#This Row],[Часов на заказчика  дежурство]]</f>
        <v>11</v>
      </c>
      <c r="O7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8" s="9">
        <v>180000</v>
      </c>
      <c r="R758" s="9"/>
      <c r="S758" s="5">
        <v>1.2</v>
      </c>
      <c r="T7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табеле]])*S758,0)</f>
        <v>7200</v>
      </c>
      <c r="U758" s="5">
        <f>IF(Таблица1[[#This Row],[ТТН]]&gt;0,Таблица1[[#This Row],[Ставка за ТТН]]*Таблица1[[#This Row],[ТТН]],0)</f>
        <v>0</v>
      </c>
    </row>
    <row r="759" spans="1:21" x14ac:dyDescent="0.25">
      <c r="A759" t="s">
        <v>84</v>
      </c>
      <c r="B759" s="24">
        <v>15</v>
      </c>
      <c r="C759" t="s">
        <v>122</v>
      </c>
      <c r="D759" t="s">
        <v>49</v>
      </c>
      <c r="E759" t="s">
        <v>215</v>
      </c>
      <c r="F759" t="s">
        <v>51</v>
      </c>
      <c r="H759" t="s">
        <v>10</v>
      </c>
      <c r="I759" t="s">
        <v>219</v>
      </c>
      <c r="J759">
        <v>11</v>
      </c>
      <c r="L759">
        <v>11</v>
      </c>
      <c r="N759">
        <f>Таблица1[[#This Row],[Часов на заказчика  в работе]]+Таблица1[[#This Row],[Часов на заказчика  дежурство]]</f>
        <v>11</v>
      </c>
      <c r="O7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59" s="9">
        <v>180000</v>
      </c>
      <c r="R759" s="9"/>
      <c r="S759" s="5">
        <v>1.2</v>
      </c>
      <c r="T7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табеле]])*S759,0)</f>
        <v>7200</v>
      </c>
      <c r="U759" s="5">
        <f>IF(Таблица1[[#This Row],[ТТН]]&gt;0,Таблица1[[#This Row],[Ставка за ТТН]]*Таблица1[[#This Row],[ТТН]],0)</f>
        <v>0</v>
      </c>
    </row>
    <row r="760" spans="1:21" x14ac:dyDescent="0.25">
      <c r="A760" t="s">
        <v>84</v>
      </c>
      <c r="B760" s="24">
        <v>16</v>
      </c>
      <c r="C760" t="s">
        <v>122</v>
      </c>
      <c r="D760" t="s">
        <v>49</v>
      </c>
      <c r="E760" t="s">
        <v>215</v>
      </c>
      <c r="F760" t="s">
        <v>51</v>
      </c>
      <c r="H760" t="s">
        <v>10</v>
      </c>
      <c r="I760" t="s">
        <v>219</v>
      </c>
      <c r="J760">
        <v>11</v>
      </c>
      <c r="L760">
        <v>11</v>
      </c>
      <c r="N760">
        <f>Таблица1[[#This Row],[Часов на заказчика  в работе]]+Таблица1[[#This Row],[Часов на заказчика  дежурство]]</f>
        <v>11</v>
      </c>
      <c r="O7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0" s="9">
        <v>180000</v>
      </c>
      <c r="R760" s="9"/>
      <c r="S760" s="5">
        <v>1.2</v>
      </c>
      <c r="T7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табеле]])*S760,0)</f>
        <v>7200</v>
      </c>
      <c r="U760" s="5">
        <f>IF(Таблица1[[#This Row],[ТТН]]&gt;0,Таблица1[[#This Row],[Ставка за ТТН]]*Таблица1[[#This Row],[ТТН]],0)</f>
        <v>0</v>
      </c>
    </row>
    <row r="761" spans="1:21" x14ac:dyDescent="0.25">
      <c r="A761" t="s">
        <v>84</v>
      </c>
      <c r="B761" s="24">
        <v>17</v>
      </c>
      <c r="C761" t="s">
        <v>122</v>
      </c>
      <c r="D761" t="s">
        <v>49</v>
      </c>
      <c r="E761" t="s">
        <v>215</v>
      </c>
      <c r="F761" t="s">
        <v>51</v>
      </c>
      <c r="H761" t="s">
        <v>10</v>
      </c>
      <c r="I761" t="s">
        <v>219</v>
      </c>
      <c r="J761">
        <v>11</v>
      </c>
      <c r="L761">
        <v>11</v>
      </c>
      <c r="N761">
        <f>Таблица1[[#This Row],[Часов на заказчика  в работе]]+Таблица1[[#This Row],[Часов на заказчика  дежурство]]</f>
        <v>11</v>
      </c>
      <c r="O7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1" s="9">
        <v>180000</v>
      </c>
      <c r="R761" s="9"/>
      <c r="S761" s="5">
        <v>1.2</v>
      </c>
      <c r="T7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табеле]])*S761,0)</f>
        <v>7200</v>
      </c>
      <c r="U761" s="5">
        <f>IF(Таблица1[[#This Row],[ТТН]]&gt;0,Таблица1[[#This Row],[Ставка за ТТН]]*Таблица1[[#This Row],[ТТН]],0)</f>
        <v>0</v>
      </c>
    </row>
    <row r="762" spans="1:21" x14ac:dyDescent="0.25">
      <c r="A762" t="s">
        <v>84</v>
      </c>
      <c r="B762" s="24">
        <v>18</v>
      </c>
      <c r="C762" t="s">
        <v>122</v>
      </c>
      <c r="D762" t="s">
        <v>49</v>
      </c>
      <c r="E762" t="s">
        <v>215</v>
      </c>
      <c r="F762" t="s">
        <v>51</v>
      </c>
      <c r="H762" t="s">
        <v>23</v>
      </c>
      <c r="I762" t="s">
        <v>217</v>
      </c>
      <c r="J762">
        <v>11</v>
      </c>
      <c r="N762">
        <f>Таблица1[[#This Row],[Часов на заказчика  в работе]]+Таблица1[[#This Row],[Часов на заказчика  дежурство]]</f>
        <v>0</v>
      </c>
      <c r="O7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2" s="9">
        <v>180000</v>
      </c>
      <c r="R762" s="9"/>
      <c r="S762" s="5">
        <v>1</v>
      </c>
      <c r="T7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табеле]])*S762,0)</f>
        <v>6000</v>
      </c>
      <c r="U762" s="5">
        <f>IF(Таблица1[[#This Row],[ТТН]]&gt;0,Таблица1[[#This Row],[Ставка за ТТН]]*Таблица1[[#This Row],[ТТН]],0)</f>
        <v>0</v>
      </c>
    </row>
    <row r="763" spans="1:21" x14ac:dyDescent="0.25">
      <c r="A763" t="s">
        <v>84</v>
      </c>
      <c r="B763" s="24">
        <v>19</v>
      </c>
      <c r="C763" t="s">
        <v>122</v>
      </c>
      <c r="D763" t="s">
        <v>49</v>
      </c>
      <c r="E763" t="s">
        <v>215</v>
      </c>
      <c r="F763" t="s">
        <v>51</v>
      </c>
      <c r="H763" t="s">
        <v>23</v>
      </c>
      <c r="I763" t="s">
        <v>217</v>
      </c>
      <c r="J763">
        <v>11</v>
      </c>
      <c r="N763">
        <f>Таблица1[[#This Row],[Часов на заказчика  в работе]]+Таблица1[[#This Row],[Часов на заказчика  дежурство]]</f>
        <v>0</v>
      </c>
      <c r="O7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3" s="9">
        <v>180000</v>
      </c>
      <c r="R763" s="9"/>
      <c r="S763" s="5">
        <v>1</v>
      </c>
      <c r="T7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табеле]])*S763,0)</f>
        <v>6000</v>
      </c>
      <c r="U763" s="5">
        <f>IF(Таблица1[[#This Row],[ТТН]]&gt;0,Таблица1[[#This Row],[Ставка за ТТН]]*Таблица1[[#This Row],[ТТН]],0)</f>
        <v>0</v>
      </c>
    </row>
    <row r="764" spans="1:21" x14ac:dyDescent="0.25">
      <c r="A764" t="s">
        <v>84</v>
      </c>
      <c r="B764" s="24">
        <v>20</v>
      </c>
      <c r="C764" t="s">
        <v>122</v>
      </c>
      <c r="D764" t="s">
        <v>49</v>
      </c>
      <c r="E764" t="s">
        <v>215</v>
      </c>
      <c r="F764" t="s">
        <v>51</v>
      </c>
      <c r="H764" t="s">
        <v>10</v>
      </c>
      <c r="I764" t="s">
        <v>219</v>
      </c>
      <c r="J764">
        <v>11</v>
      </c>
      <c r="L764">
        <v>11</v>
      </c>
      <c r="N764">
        <f>Таблица1[[#This Row],[Часов на заказчика  в работе]]+Таблица1[[#This Row],[Часов на заказчика  дежурство]]</f>
        <v>11</v>
      </c>
      <c r="O7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4" s="9">
        <v>180000</v>
      </c>
      <c r="R764" s="9"/>
      <c r="S764" s="5">
        <v>1.2</v>
      </c>
      <c r="T7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табеле]])*S764,0)</f>
        <v>7200</v>
      </c>
      <c r="U764" s="5">
        <f>IF(Таблица1[[#This Row],[ТТН]]&gt;0,Таблица1[[#This Row],[Ставка за ТТН]]*Таблица1[[#This Row],[ТТН]],0)</f>
        <v>0</v>
      </c>
    </row>
    <row r="765" spans="1:21" x14ac:dyDescent="0.25">
      <c r="A765" t="s">
        <v>84</v>
      </c>
      <c r="B765" s="24">
        <v>21</v>
      </c>
      <c r="C765" t="s">
        <v>122</v>
      </c>
      <c r="D765" t="s">
        <v>49</v>
      </c>
      <c r="E765" t="s">
        <v>215</v>
      </c>
      <c r="F765" t="s">
        <v>51</v>
      </c>
      <c r="H765" t="s">
        <v>10</v>
      </c>
      <c r="I765" t="s">
        <v>219</v>
      </c>
      <c r="J765">
        <v>11</v>
      </c>
      <c r="L765">
        <v>11</v>
      </c>
      <c r="N765">
        <f>Таблица1[[#This Row],[Часов на заказчика  в работе]]+Таблица1[[#This Row],[Часов на заказчика  дежурство]]</f>
        <v>11</v>
      </c>
      <c r="O7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5" s="9">
        <v>180000</v>
      </c>
      <c r="R765" s="9"/>
      <c r="S765" s="5">
        <v>1.2</v>
      </c>
      <c r="T7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табеле]])*S765,0)</f>
        <v>7200</v>
      </c>
      <c r="U765" s="5">
        <f>IF(Таблица1[[#This Row],[ТТН]]&gt;0,Таблица1[[#This Row],[Ставка за ТТН]]*Таблица1[[#This Row],[ТТН]],0)</f>
        <v>0</v>
      </c>
    </row>
    <row r="766" spans="1:21" x14ac:dyDescent="0.25">
      <c r="A766" t="s">
        <v>84</v>
      </c>
      <c r="B766" s="24">
        <v>22</v>
      </c>
      <c r="C766" t="s">
        <v>122</v>
      </c>
      <c r="D766" t="s">
        <v>49</v>
      </c>
      <c r="E766" t="s">
        <v>215</v>
      </c>
      <c r="F766" t="s">
        <v>51</v>
      </c>
      <c r="H766" t="s">
        <v>38</v>
      </c>
      <c r="I766" t="s">
        <v>219</v>
      </c>
      <c r="J766">
        <v>11</v>
      </c>
      <c r="L766">
        <v>11</v>
      </c>
      <c r="N766">
        <f>Таблица1[[#This Row],[Часов на заказчика  в работе]]+Таблица1[[#This Row],[Часов на заказчика  дежурство]]</f>
        <v>11</v>
      </c>
      <c r="O7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6" s="9">
        <v>180000</v>
      </c>
      <c r="R766" s="9"/>
      <c r="S766" s="5">
        <v>1.2</v>
      </c>
      <c r="T7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табеле]])*S766,0)</f>
        <v>7200</v>
      </c>
      <c r="U766" s="5">
        <f>IF(Таблица1[[#This Row],[ТТН]]&gt;0,Таблица1[[#This Row],[Ставка за ТТН]]*Таблица1[[#This Row],[ТТН]],0)</f>
        <v>0</v>
      </c>
    </row>
    <row r="767" spans="1:21" x14ac:dyDescent="0.25">
      <c r="A767" t="s">
        <v>84</v>
      </c>
      <c r="B767" s="24">
        <v>23</v>
      </c>
      <c r="C767" t="s">
        <v>122</v>
      </c>
      <c r="D767" t="s">
        <v>49</v>
      </c>
      <c r="E767" t="s">
        <v>215</v>
      </c>
      <c r="F767" t="s">
        <v>51</v>
      </c>
      <c r="H767" t="s">
        <v>10</v>
      </c>
      <c r="I767" t="s">
        <v>219</v>
      </c>
      <c r="J767">
        <v>11</v>
      </c>
      <c r="L767">
        <v>11</v>
      </c>
      <c r="N767">
        <f>Таблица1[[#This Row],[Часов на заказчика  в работе]]+Таблица1[[#This Row],[Часов на заказчика  дежурство]]</f>
        <v>11</v>
      </c>
      <c r="O7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7" s="9">
        <v>180000</v>
      </c>
      <c r="R767" s="9"/>
      <c r="S767" s="5">
        <v>1.2</v>
      </c>
      <c r="T7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табеле]])*S767,0)</f>
        <v>7200</v>
      </c>
      <c r="U767" s="5">
        <f>IF(Таблица1[[#This Row],[ТТН]]&gt;0,Таблица1[[#This Row],[Ставка за ТТН]]*Таблица1[[#This Row],[ТТН]],0)</f>
        <v>0</v>
      </c>
    </row>
    <row r="768" spans="1:21" x14ac:dyDescent="0.25">
      <c r="A768" t="s">
        <v>84</v>
      </c>
      <c r="B768" s="24">
        <v>24</v>
      </c>
      <c r="C768" t="s">
        <v>122</v>
      </c>
      <c r="D768" t="s">
        <v>49</v>
      </c>
      <c r="E768" t="s">
        <v>215</v>
      </c>
      <c r="F768" t="s">
        <v>51</v>
      </c>
      <c r="H768" t="s">
        <v>10</v>
      </c>
      <c r="I768" t="s">
        <v>219</v>
      </c>
      <c r="J768">
        <v>11</v>
      </c>
      <c r="L768">
        <v>11</v>
      </c>
      <c r="N768">
        <f>Таблица1[[#This Row],[Часов на заказчика  в работе]]+Таблица1[[#This Row],[Часов на заказчика  дежурство]]</f>
        <v>11</v>
      </c>
      <c r="O7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8" s="9">
        <v>180000</v>
      </c>
      <c r="R768" s="9"/>
      <c r="S768" s="5">
        <v>1.2</v>
      </c>
      <c r="T7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табеле]])*S768,0)</f>
        <v>7200</v>
      </c>
      <c r="U768" s="5">
        <f>IF(Таблица1[[#This Row],[ТТН]]&gt;0,Таблица1[[#This Row],[Ставка за ТТН]]*Таблица1[[#This Row],[ТТН]],0)</f>
        <v>0</v>
      </c>
    </row>
    <row r="769" spans="1:21" x14ac:dyDescent="0.25">
      <c r="A769" t="s">
        <v>84</v>
      </c>
      <c r="B769" s="24">
        <v>25</v>
      </c>
      <c r="C769" t="s">
        <v>122</v>
      </c>
      <c r="D769" t="s">
        <v>49</v>
      </c>
      <c r="E769" t="s">
        <v>215</v>
      </c>
      <c r="F769" t="s">
        <v>51</v>
      </c>
      <c r="H769" t="s">
        <v>10</v>
      </c>
      <c r="I769" t="s">
        <v>219</v>
      </c>
      <c r="J769">
        <v>11</v>
      </c>
      <c r="L769">
        <v>11</v>
      </c>
      <c r="N769">
        <f>Таблица1[[#This Row],[Часов на заказчика  в работе]]+Таблица1[[#This Row],[Часов на заказчика  дежурство]]</f>
        <v>11</v>
      </c>
      <c r="O7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69" s="9">
        <v>180000</v>
      </c>
      <c r="R769" s="9"/>
      <c r="S769" s="5">
        <v>1.2</v>
      </c>
      <c r="T7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табеле]])*S769,0)</f>
        <v>7200</v>
      </c>
      <c r="U769" s="5">
        <f>IF(Таблица1[[#This Row],[ТТН]]&gt;0,Таблица1[[#This Row],[Ставка за ТТН]]*Таблица1[[#This Row],[ТТН]],0)</f>
        <v>0</v>
      </c>
    </row>
    <row r="770" spans="1:21" x14ac:dyDescent="0.25">
      <c r="A770" t="s">
        <v>84</v>
      </c>
      <c r="B770" s="24">
        <v>26</v>
      </c>
      <c r="C770" t="s">
        <v>122</v>
      </c>
      <c r="D770" t="s">
        <v>49</v>
      </c>
      <c r="E770" t="s">
        <v>215</v>
      </c>
      <c r="F770" t="s">
        <v>51</v>
      </c>
      <c r="H770" t="s">
        <v>10</v>
      </c>
      <c r="I770" t="s">
        <v>219</v>
      </c>
      <c r="J770">
        <v>11</v>
      </c>
      <c r="L770">
        <v>11</v>
      </c>
      <c r="N770">
        <f>Таблица1[[#This Row],[Часов на заказчика  в работе]]+Таблица1[[#This Row],[Часов на заказчика  дежурство]]</f>
        <v>11</v>
      </c>
      <c r="O7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0" s="9">
        <v>180000</v>
      </c>
      <c r="R770" s="9"/>
      <c r="S770" s="5">
        <v>1.2</v>
      </c>
      <c r="T7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табеле]])*S770,0)</f>
        <v>7200</v>
      </c>
      <c r="U770" s="5">
        <f>IF(Таблица1[[#This Row],[ТТН]]&gt;0,Таблица1[[#This Row],[Ставка за ТТН]]*Таблица1[[#This Row],[ТТН]],0)</f>
        <v>0</v>
      </c>
    </row>
    <row r="771" spans="1:21" x14ac:dyDescent="0.25">
      <c r="A771" t="s">
        <v>84</v>
      </c>
      <c r="B771" s="24">
        <v>27</v>
      </c>
      <c r="C771" t="s">
        <v>122</v>
      </c>
      <c r="D771" t="s">
        <v>49</v>
      </c>
      <c r="E771" t="s">
        <v>215</v>
      </c>
      <c r="F771" t="s">
        <v>51</v>
      </c>
      <c r="H771" t="s">
        <v>10</v>
      </c>
      <c r="I771" t="s">
        <v>219</v>
      </c>
      <c r="J771">
        <v>11</v>
      </c>
      <c r="L771">
        <v>11</v>
      </c>
      <c r="N771">
        <f>Таблица1[[#This Row],[Часов на заказчика  в работе]]+Таблица1[[#This Row],[Часов на заказчика  дежурство]]</f>
        <v>11</v>
      </c>
      <c r="O7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1" s="9">
        <v>180000</v>
      </c>
      <c r="R771" s="9"/>
      <c r="S771" s="5">
        <v>1.2</v>
      </c>
      <c r="T7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табеле]])*S771,0)</f>
        <v>7200</v>
      </c>
      <c r="U771" s="5">
        <f>IF(Таблица1[[#This Row],[ТТН]]&gt;0,Таблица1[[#This Row],[Ставка за ТТН]]*Таблица1[[#This Row],[ТТН]],0)</f>
        <v>0</v>
      </c>
    </row>
    <row r="772" spans="1:21" x14ac:dyDescent="0.25">
      <c r="A772" t="s">
        <v>84</v>
      </c>
      <c r="B772" s="24">
        <v>28</v>
      </c>
      <c r="C772" t="s">
        <v>122</v>
      </c>
      <c r="D772" t="s">
        <v>49</v>
      </c>
      <c r="E772" t="s">
        <v>215</v>
      </c>
      <c r="F772" t="s">
        <v>51</v>
      </c>
      <c r="H772" t="s">
        <v>10</v>
      </c>
      <c r="I772" t="s">
        <v>219</v>
      </c>
      <c r="J772">
        <v>11</v>
      </c>
      <c r="L772">
        <v>11</v>
      </c>
      <c r="N772">
        <f>Таблица1[[#This Row],[Часов на заказчика  в работе]]+Таблица1[[#This Row],[Часов на заказчика  дежурство]]</f>
        <v>11</v>
      </c>
      <c r="O7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2" s="9">
        <v>180000</v>
      </c>
      <c r="R772" s="9"/>
      <c r="S772" s="5">
        <v>1.2</v>
      </c>
      <c r="T7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табеле]])*S772,0)</f>
        <v>7200</v>
      </c>
      <c r="U772" s="5">
        <f>IF(Таблица1[[#This Row],[ТТН]]&gt;0,Таблица1[[#This Row],[Ставка за ТТН]]*Таблица1[[#This Row],[ТТН]],0)</f>
        <v>0</v>
      </c>
    </row>
    <row r="773" spans="1:21" x14ac:dyDescent="0.25">
      <c r="A773" t="s">
        <v>84</v>
      </c>
      <c r="B773" s="24">
        <v>29</v>
      </c>
      <c r="C773" t="s">
        <v>122</v>
      </c>
      <c r="D773" t="s">
        <v>49</v>
      </c>
      <c r="E773" t="s">
        <v>215</v>
      </c>
      <c r="F773" t="s">
        <v>51</v>
      </c>
      <c r="H773" t="s">
        <v>10</v>
      </c>
      <c r="I773" t="s">
        <v>219</v>
      </c>
      <c r="J773">
        <v>11</v>
      </c>
      <c r="L773">
        <v>11</v>
      </c>
      <c r="N773">
        <f>Таблица1[[#This Row],[Часов на заказчика  в работе]]+Таблица1[[#This Row],[Часов на заказчика  дежурство]]</f>
        <v>11</v>
      </c>
      <c r="O7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3" s="9">
        <v>180000</v>
      </c>
      <c r="R773" s="9"/>
      <c r="S773" s="5">
        <v>1.2</v>
      </c>
      <c r="T7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табеле]])*S773,0)</f>
        <v>7200</v>
      </c>
      <c r="U773" s="5">
        <f>IF(Таблица1[[#This Row],[ТТН]]&gt;0,Таблица1[[#This Row],[Ставка за ТТН]]*Таблица1[[#This Row],[ТТН]],0)</f>
        <v>0</v>
      </c>
    </row>
    <row r="774" spans="1:21" x14ac:dyDescent="0.25">
      <c r="A774" t="s">
        <v>84</v>
      </c>
      <c r="B774" s="24">
        <v>30</v>
      </c>
      <c r="C774" t="s">
        <v>123</v>
      </c>
      <c r="D774" t="s">
        <v>49</v>
      </c>
      <c r="E774" t="s">
        <v>215</v>
      </c>
      <c r="F774" t="s">
        <v>51</v>
      </c>
      <c r="H774" t="s">
        <v>10</v>
      </c>
      <c r="I774" t="s">
        <v>219</v>
      </c>
      <c r="J774">
        <v>11</v>
      </c>
      <c r="L774">
        <v>11</v>
      </c>
      <c r="N774">
        <f>Таблица1[[#This Row],[Часов на заказчика  в работе]]+Таблица1[[#This Row],[Часов на заказчика  дежурство]]</f>
        <v>11</v>
      </c>
      <c r="O7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4" s="9">
        <v>180000</v>
      </c>
      <c r="R774" s="9"/>
      <c r="S774" s="5">
        <v>1.2</v>
      </c>
      <c r="T7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табеле]])*S774,0)</f>
        <v>7200</v>
      </c>
      <c r="U774" s="5">
        <f>IF(Таблица1[[#This Row],[ТТН]]&gt;0,Таблица1[[#This Row],[Ставка за ТТН]]*Таблица1[[#This Row],[ТТН]],0)</f>
        <v>0</v>
      </c>
    </row>
    <row r="775" spans="1:21" x14ac:dyDescent="0.25">
      <c r="A775" t="s">
        <v>84</v>
      </c>
      <c r="B775" s="24">
        <v>1</v>
      </c>
      <c r="C775" t="s">
        <v>123</v>
      </c>
      <c r="D775" t="s">
        <v>32</v>
      </c>
      <c r="E775" t="s">
        <v>214</v>
      </c>
      <c r="F775" t="s">
        <v>31</v>
      </c>
      <c r="H775" t="s">
        <v>29</v>
      </c>
      <c r="I775" t="s">
        <v>217</v>
      </c>
      <c r="J775">
        <v>8</v>
      </c>
      <c r="N775">
        <f>Таблица1[[#This Row],[Часов на заказчика  в работе]]+Таблица1[[#This Row],[Часов на заказчика  дежурство]]</f>
        <v>0</v>
      </c>
      <c r="O7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5" s="9">
        <v>160000</v>
      </c>
      <c r="R775" s="9"/>
      <c r="S775" s="5">
        <v>1</v>
      </c>
      <c r="T7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табеле]])*S775,0)</f>
        <v>0</v>
      </c>
      <c r="U775" s="5">
        <f>IF(Таблица1[[#This Row],[ТТН]]&gt;0,Таблица1[[#This Row],[Ставка за ТТН]]*Таблица1[[#This Row],[ТТН]],0)</f>
        <v>0</v>
      </c>
    </row>
    <row r="776" spans="1:21" x14ac:dyDescent="0.25">
      <c r="A776" t="s">
        <v>84</v>
      </c>
      <c r="B776" s="24">
        <v>2</v>
      </c>
      <c r="C776" t="s">
        <v>123</v>
      </c>
      <c r="D776" t="s">
        <v>32</v>
      </c>
      <c r="E776" t="s">
        <v>214</v>
      </c>
      <c r="F776" t="s">
        <v>31</v>
      </c>
      <c r="H776" t="s">
        <v>29</v>
      </c>
      <c r="I776" t="s">
        <v>217</v>
      </c>
      <c r="J776">
        <v>8</v>
      </c>
      <c r="N776">
        <f>Таблица1[[#This Row],[Часов на заказчика  в работе]]+Таблица1[[#This Row],[Часов на заказчика  дежурство]]</f>
        <v>0</v>
      </c>
      <c r="O7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6" s="9">
        <v>160000</v>
      </c>
      <c r="R776" s="9"/>
      <c r="S776" s="5">
        <v>1</v>
      </c>
      <c r="T7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табеле]])*S776,0)</f>
        <v>0</v>
      </c>
      <c r="U776" s="5">
        <f>IF(Таблица1[[#This Row],[ТТН]]&gt;0,Таблица1[[#This Row],[Ставка за ТТН]]*Таблица1[[#This Row],[ТТН]],0)</f>
        <v>0</v>
      </c>
    </row>
    <row r="777" spans="1:21" x14ac:dyDescent="0.25">
      <c r="A777" t="s">
        <v>84</v>
      </c>
      <c r="B777" s="24">
        <v>3</v>
      </c>
      <c r="C777" t="s">
        <v>123</v>
      </c>
      <c r="D777" t="s">
        <v>32</v>
      </c>
      <c r="E777" t="s">
        <v>214</v>
      </c>
      <c r="F777" t="s">
        <v>31</v>
      </c>
      <c r="H777" t="s">
        <v>29</v>
      </c>
      <c r="I777" t="s">
        <v>217</v>
      </c>
      <c r="J777">
        <v>8</v>
      </c>
      <c r="N777">
        <f>Таблица1[[#This Row],[Часов на заказчика  в работе]]+Таблица1[[#This Row],[Часов на заказчика  дежурство]]</f>
        <v>0</v>
      </c>
      <c r="O7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7" s="9">
        <v>160000</v>
      </c>
      <c r="R777" s="9"/>
      <c r="S777" s="5">
        <v>1</v>
      </c>
      <c r="T7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табеле]])*S777,0)</f>
        <v>0</v>
      </c>
      <c r="U777" s="5">
        <f>IF(Таблица1[[#This Row],[ТТН]]&gt;0,Таблица1[[#This Row],[Ставка за ТТН]]*Таблица1[[#This Row],[ТТН]],0)</f>
        <v>0</v>
      </c>
    </row>
    <row r="778" spans="1:21" x14ac:dyDescent="0.25">
      <c r="A778" t="s">
        <v>84</v>
      </c>
      <c r="B778" s="24">
        <v>4</v>
      </c>
      <c r="C778" t="s">
        <v>123</v>
      </c>
      <c r="D778" t="s">
        <v>32</v>
      </c>
      <c r="E778" t="s">
        <v>214</v>
      </c>
      <c r="F778" t="s">
        <v>31</v>
      </c>
      <c r="H778" t="s">
        <v>29</v>
      </c>
      <c r="I778" t="s">
        <v>217</v>
      </c>
      <c r="J778">
        <v>8</v>
      </c>
      <c r="N778">
        <f>Таблица1[[#This Row],[Часов на заказчика  в работе]]+Таблица1[[#This Row],[Часов на заказчика  дежурство]]</f>
        <v>0</v>
      </c>
      <c r="O7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8" s="9">
        <v>160000</v>
      </c>
      <c r="R778" s="9"/>
      <c r="S778" s="5">
        <v>1</v>
      </c>
      <c r="T7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табеле]])*S778,0)</f>
        <v>0</v>
      </c>
      <c r="U778" s="5">
        <f>IF(Таблица1[[#This Row],[ТТН]]&gt;0,Таблица1[[#This Row],[Ставка за ТТН]]*Таблица1[[#This Row],[ТТН]],0)</f>
        <v>0</v>
      </c>
    </row>
    <row r="779" spans="1:21" x14ac:dyDescent="0.25">
      <c r="A779" t="s">
        <v>84</v>
      </c>
      <c r="B779" s="24">
        <v>5</v>
      </c>
      <c r="C779" t="s">
        <v>123</v>
      </c>
      <c r="D779" t="s">
        <v>32</v>
      </c>
      <c r="E779" t="s">
        <v>214</v>
      </c>
      <c r="F779" t="s">
        <v>31</v>
      </c>
      <c r="H779" t="s">
        <v>29</v>
      </c>
      <c r="I779" t="s">
        <v>217</v>
      </c>
      <c r="J779">
        <v>8</v>
      </c>
      <c r="N779">
        <f>Таблица1[[#This Row],[Часов на заказчика  в работе]]+Таблица1[[#This Row],[Часов на заказчика  дежурство]]</f>
        <v>0</v>
      </c>
      <c r="O7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79" s="9">
        <v>160000</v>
      </c>
      <c r="R779" s="9"/>
      <c r="S779" s="5">
        <v>1</v>
      </c>
      <c r="T7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табеле]])*S779,0)</f>
        <v>0</v>
      </c>
      <c r="U779" s="5">
        <f>IF(Таблица1[[#This Row],[ТТН]]&gt;0,Таблица1[[#This Row],[Ставка за ТТН]]*Таблица1[[#This Row],[ТТН]],0)</f>
        <v>0</v>
      </c>
    </row>
    <row r="780" spans="1:21" x14ac:dyDescent="0.25">
      <c r="A780" t="s">
        <v>84</v>
      </c>
      <c r="B780" s="24">
        <v>6</v>
      </c>
      <c r="C780" t="s">
        <v>123</v>
      </c>
      <c r="D780" t="s">
        <v>32</v>
      </c>
      <c r="E780" t="s">
        <v>214</v>
      </c>
      <c r="F780" t="s">
        <v>31</v>
      </c>
      <c r="H780" t="s">
        <v>30</v>
      </c>
      <c r="I780" t="s">
        <v>217</v>
      </c>
      <c r="J780">
        <v>1</v>
      </c>
      <c r="N780">
        <f>Таблица1[[#This Row],[Часов на заказчика  в работе]]+Таблица1[[#This Row],[Часов на заказчика  дежурство]]</f>
        <v>0</v>
      </c>
      <c r="O7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0" s="9">
        <v>160000</v>
      </c>
      <c r="R780" s="9"/>
      <c r="S780" s="5">
        <v>1</v>
      </c>
      <c r="T7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табеле]])*S780,0)</f>
        <v>0</v>
      </c>
      <c r="U780" s="5">
        <f>IF(Таблица1[[#This Row],[ТТН]]&gt;0,Таблица1[[#This Row],[Ставка за ТТН]]*Таблица1[[#This Row],[ТТН]],0)</f>
        <v>0</v>
      </c>
    </row>
    <row r="781" spans="1:21" x14ac:dyDescent="0.25">
      <c r="A781" t="s">
        <v>84</v>
      </c>
      <c r="B781" s="24">
        <v>7</v>
      </c>
      <c r="C781" t="s">
        <v>123</v>
      </c>
      <c r="D781" t="s">
        <v>32</v>
      </c>
      <c r="E781" t="s">
        <v>214</v>
      </c>
      <c r="F781" t="s">
        <v>31</v>
      </c>
      <c r="H781" t="s">
        <v>30</v>
      </c>
      <c r="I781" t="s">
        <v>217</v>
      </c>
      <c r="J781">
        <v>1</v>
      </c>
      <c r="N781">
        <f>Таблица1[[#This Row],[Часов на заказчика  в работе]]+Таблица1[[#This Row],[Часов на заказчика  дежурство]]</f>
        <v>0</v>
      </c>
      <c r="O7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1" s="9">
        <v>160000</v>
      </c>
      <c r="R781" s="9"/>
      <c r="S781" s="5">
        <v>1</v>
      </c>
      <c r="T7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табеле]])*S781,0)</f>
        <v>0</v>
      </c>
      <c r="U781" s="5">
        <f>IF(Таблица1[[#This Row],[ТТН]]&gt;0,Таблица1[[#This Row],[Ставка за ТТН]]*Таблица1[[#This Row],[ТТН]],0)</f>
        <v>0</v>
      </c>
    </row>
    <row r="782" spans="1:21" x14ac:dyDescent="0.25">
      <c r="A782" t="s">
        <v>84</v>
      </c>
      <c r="B782" s="24">
        <v>8</v>
      </c>
      <c r="C782" t="s">
        <v>123</v>
      </c>
      <c r="D782" t="s">
        <v>32</v>
      </c>
      <c r="E782" t="s">
        <v>214</v>
      </c>
      <c r="F782" t="s">
        <v>31</v>
      </c>
      <c r="H782" t="s">
        <v>29</v>
      </c>
      <c r="I782" t="s">
        <v>217</v>
      </c>
      <c r="J782">
        <v>8</v>
      </c>
      <c r="N782">
        <f>Таблица1[[#This Row],[Часов на заказчика  в работе]]+Таблица1[[#This Row],[Часов на заказчика  дежурство]]</f>
        <v>0</v>
      </c>
      <c r="O7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2" s="9">
        <v>160000</v>
      </c>
      <c r="R782" s="9"/>
      <c r="S782" s="5">
        <v>1</v>
      </c>
      <c r="T7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табеле]])*S782,0)</f>
        <v>0</v>
      </c>
      <c r="U782" s="5">
        <f>IF(Таблица1[[#This Row],[ТТН]]&gt;0,Таблица1[[#This Row],[Ставка за ТТН]]*Таблица1[[#This Row],[ТТН]],0)</f>
        <v>0</v>
      </c>
    </row>
    <row r="783" spans="1:21" x14ac:dyDescent="0.25">
      <c r="A783" t="s">
        <v>84</v>
      </c>
      <c r="B783" s="24">
        <v>9</v>
      </c>
      <c r="C783" t="s">
        <v>123</v>
      </c>
      <c r="D783" t="s">
        <v>32</v>
      </c>
      <c r="E783" t="s">
        <v>214</v>
      </c>
      <c r="F783" t="s">
        <v>31</v>
      </c>
      <c r="H783" t="s">
        <v>24</v>
      </c>
      <c r="I783" t="s">
        <v>217</v>
      </c>
      <c r="J783">
        <v>8</v>
      </c>
      <c r="N783">
        <f>Таблица1[[#This Row],[Часов на заказчика  в работе]]+Таблица1[[#This Row],[Часов на заказчика  дежурство]]</f>
        <v>0</v>
      </c>
      <c r="O7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3" s="9">
        <v>160000</v>
      </c>
      <c r="R783" s="9"/>
      <c r="S783" s="5">
        <v>1</v>
      </c>
      <c r="T7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табеле]])*S783,0)</f>
        <v>0</v>
      </c>
      <c r="U783" s="5">
        <f>IF(Таблица1[[#This Row],[ТТН]]&gt;0,Таблица1[[#This Row],[Ставка за ТТН]]*Таблица1[[#This Row],[ТТН]],0)</f>
        <v>0</v>
      </c>
    </row>
    <row r="784" spans="1:21" x14ac:dyDescent="0.25">
      <c r="A784" t="s">
        <v>84</v>
      </c>
      <c r="B784" s="24">
        <v>10</v>
      </c>
      <c r="C784" t="s">
        <v>123</v>
      </c>
      <c r="D784" t="s">
        <v>32</v>
      </c>
      <c r="E784" t="s">
        <v>214</v>
      </c>
      <c r="F784" t="s">
        <v>31</v>
      </c>
      <c r="H784" t="s">
        <v>24</v>
      </c>
      <c r="I784" t="s">
        <v>217</v>
      </c>
      <c r="J784">
        <v>8</v>
      </c>
      <c r="N784">
        <f>Таблица1[[#This Row],[Часов на заказчика  в работе]]+Таблица1[[#This Row],[Часов на заказчика  дежурство]]</f>
        <v>0</v>
      </c>
      <c r="O7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4" s="9">
        <v>160000</v>
      </c>
      <c r="R784" s="9"/>
      <c r="S784" s="5">
        <v>1</v>
      </c>
      <c r="T7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табеле]])*S784,0)</f>
        <v>0</v>
      </c>
      <c r="U784" s="5">
        <f>IF(Таблица1[[#This Row],[ТТН]]&gt;0,Таблица1[[#This Row],[Ставка за ТТН]]*Таблица1[[#This Row],[ТТН]],0)</f>
        <v>0</v>
      </c>
    </row>
    <row r="785" spans="1:21" x14ac:dyDescent="0.25">
      <c r="A785" t="s">
        <v>84</v>
      </c>
      <c r="B785" s="24">
        <v>11</v>
      </c>
      <c r="C785" t="s">
        <v>123</v>
      </c>
      <c r="D785" t="s">
        <v>32</v>
      </c>
      <c r="E785" t="s">
        <v>214</v>
      </c>
      <c r="F785" t="s">
        <v>31</v>
      </c>
      <c r="H785" t="s">
        <v>50</v>
      </c>
      <c r="I785" t="s">
        <v>217</v>
      </c>
      <c r="J785">
        <v>11</v>
      </c>
      <c r="N785">
        <f>Таблица1[[#This Row],[Часов на заказчика  в работе]]+Таблица1[[#This Row],[Часов на заказчика  дежурство]]</f>
        <v>0</v>
      </c>
      <c r="O7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5" s="9">
        <v>160000</v>
      </c>
      <c r="R785" s="9"/>
      <c r="S785" s="5">
        <v>1</v>
      </c>
      <c r="T7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табеле]])*S785,0)</f>
        <v>0</v>
      </c>
      <c r="U785" s="5">
        <f>IF(Таблица1[[#This Row],[ТТН]]&gt;0,Таблица1[[#This Row],[Ставка за ТТН]]*Таблица1[[#This Row],[ТТН]],0)</f>
        <v>0</v>
      </c>
    </row>
    <row r="786" spans="1:21" x14ac:dyDescent="0.25">
      <c r="A786" t="s">
        <v>84</v>
      </c>
      <c r="B786" s="24">
        <v>12</v>
      </c>
      <c r="C786" t="s">
        <v>123</v>
      </c>
      <c r="D786" t="s">
        <v>32</v>
      </c>
      <c r="E786" t="s">
        <v>214</v>
      </c>
      <c r="F786" t="s">
        <v>31</v>
      </c>
      <c r="H786" t="s">
        <v>50</v>
      </c>
      <c r="I786" t="s">
        <v>217</v>
      </c>
      <c r="J786">
        <v>11</v>
      </c>
      <c r="N786">
        <f>Таблица1[[#This Row],[Часов на заказчика  в работе]]+Таблица1[[#This Row],[Часов на заказчика  дежурство]]</f>
        <v>0</v>
      </c>
      <c r="O7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6" s="9">
        <v>160000</v>
      </c>
      <c r="R786" s="9"/>
      <c r="S786" s="5">
        <v>1</v>
      </c>
      <c r="T7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табеле]])*S786,0)</f>
        <v>0</v>
      </c>
      <c r="U786" s="5">
        <f>IF(Таблица1[[#This Row],[ТТН]]&gt;0,Таблица1[[#This Row],[Ставка за ТТН]]*Таблица1[[#This Row],[ТТН]],0)</f>
        <v>0</v>
      </c>
    </row>
    <row r="787" spans="1:21" x14ac:dyDescent="0.25">
      <c r="A787" t="s">
        <v>84</v>
      </c>
      <c r="B787" s="24">
        <v>13</v>
      </c>
      <c r="C787" t="s">
        <v>123</v>
      </c>
      <c r="D787" t="s">
        <v>32</v>
      </c>
      <c r="E787" t="s">
        <v>214</v>
      </c>
      <c r="F787" t="s">
        <v>31</v>
      </c>
      <c r="H787" t="s">
        <v>38</v>
      </c>
      <c r="I787" t="s">
        <v>217</v>
      </c>
      <c r="J787">
        <v>11</v>
      </c>
      <c r="N787">
        <f>Таблица1[[#This Row],[Часов на заказчика  в работе]]+Таблица1[[#This Row],[Часов на заказчика  дежурство]]</f>
        <v>0</v>
      </c>
      <c r="O7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7" s="9">
        <v>160000</v>
      </c>
      <c r="R787" s="9"/>
      <c r="S787" s="5">
        <v>1</v>
      </c>
      <c r="T7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табеле]])*S787,0)</f>
        <v>5333.3333333333339</v>
      </c>
      <c r="U787" s="5">
        <f>IF(Таблица1[[#This Row],[ТТН]]&gt;0,Таблица1[[#This Row],[Ставка за ТТН]]*Таблица1[[#This Row],[ТТН]],0)</f>
        <v>0</v>
      </c>
    </row>
    <row r="788" spans="1:21" x14ac:dyDescent="0.25">
      <c r="A788" t="s">
        <v>84</v>
      </c>
      <c r="B788" s="24">
        <v>14</v>
      </c>
      <c r="C788" t="s">
        <v>123</v>
      </c>
      <c r="D788" t="s">
        <v>32</v>
      </c>
      <c r="E788" t="s">
        <v>214</v>
      </c>
      <c r="F788" t="s">
        <v>31</v>
      </c>
      <c r="H788" t="s">
        <v>50</v>
      </c>
      <c r="I788" t="s">
        <v>217</v>
      </c>
      <c r="J788">
        <v>11</v>
      </c>
      <c r="N788">
        <f>Таблица1[[#This Row],[Часов на заказчика  в работе]]+Таблица1[[#This Row],[Часов на заказчика  дежурство]]</f>
        <v>0</v>
      </c>
      <c r="O7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8" s="9">
        <v>160000</v>
      </c>
      <c r="R788" s="9"/>
      <c r="S788" s="5">
        <v>1</v>
      </c>
      <c r="T7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табеле]])*S788,0)</f>
        <v>0</v>
      </c>
      <c r="U788" s="5">
        <f>IF(Таблица1[[#This Row],[ТТН]]&gt;0,Таблица1[[#This Row],[Ставка за ТТН]]*Таблица1[[#This Row],[ТТН]],0)</f>
        <v>0</v>
      </c>
    </row>
    <row r="789" spans="1:21" x14ac:dyDescent="0.25">
      <c r="A789" t="s">
        <v>84</v>
      </c>
      <c r="B789" s="24">
        <v>15</v>
      </c>
      <c r="C789" t="s">
        <v>123</v>
      </c>
      <c r="D789" t="s">
        <v>32</v>
      </c>
      <c r="E789" t="s">
        <v>214</v>
      </c>
      <c r="F789" t="s">
        <v>31</v>
      </c>
      <c r="H789" t="s">
        <v>10</v>
      </c>
      <c r="I789" t="s">
        <v>217</v>
      </c>
      <c r="J789">
        <v>11</v>
      </c>
      <c r="N789">
        <f>Таблица1[[#This Row],[Часов на заказчика  в работе]]+Таблица1[[#This Row],[Часов на заказчика  дежурство]]</f>
        <v>0</v>
      </c>
      <c r="O7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89" s="9">
        <v>160000</v>
      </c>
      <c r="R789" s="9"/>
      <c r="S789" s="5">
        <v>1</v>
      </c>
      <c r="T7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табеле]])*S789,0)</f>
        <v>5333.3333333333339</v>
      </c>
      <c r="U789" s="5">
        <f>IF(Таблица1[[#This Row],[ТТН]]&gt;0,Таблица1[[#This Row],[Ставка за ТТН]]*Таблица1[[#This Row],[ТТН]],0)</f>
        <v>0</v>
      </c>
    </row>
    <row r="790" spans="1:21" x14ac:dyDescent="0.25">
      <c r="A790" t="s">
        <v>84</v>
      </c>
      <c r="B790" s="24">
        <v>16</v>
      </c>
      <c r="C790" t="s">
        <v>123</v>
      </c>
      <c r="D790" t="s">
        <v>32</v>
      </c>
      <c r="E790" t="s">
        <v>214</v>
      </c>
      <c r="F790" t="s">
        <v>31</v>
      </c>
      <c r="H790" t="s">
        <v>10</v>
      </c>
      <c r="I790" t="s">
        <v>221</v>
      </c>
      <c r="J790">
        <v>11</v>
      </c>
      <c r="L790">
        <v>11</v>
      </c>
      <c r="N790">
        <f>Таблица1[[#This Row],[Часов на заказчика  в работе]]+Таблица1[[#This Row],[Часов на заказчика  дежурство]]</f>
        <v>11</v>
      </c>
      <c r="O7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0" s="9">
        <v>160000</v>
      </c>
      <c r="R790" s="9"/>
      <c r="S790" s="5">
        <v>1</v>
      </c>
      <c r="T7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табеле]])*S790,0)</f>
        <v>5333.3333333333339</v>
      </c>
      <c r="U790" s="5">
        <f>IF(Таблица1[[#This Row],[ТТН]]&gt;0,Таблица1[[#This Row],[Ставка за ТТН]]*Таблица1[[#This Row],[ТТН]],0)</f>
        <v>0</v>
      </c>
    </row>
    <row r="791" spans="1:21" x14ac:dyDescent="0.25">
      <c r="A791" t="s">
        <v>84</v>
      </c>
      <c r="B791" s="24">
        <v>17</v>
      </c>
      <c r="C791" t="s">
        <v>123</v>
      </c>
      <c r="D791" t="s">
        <v>32</v>
      </c>
      <c r="E791" t="s">
        <v>214</v>
      </c>
      <c r="F791" t="s">
        <v>31</v>
      </c>
      <c r="H791" t="s">
        <v>10</v>
      </c>
      <c r="I791" t="s">
        <v>221</v>
      </c>
      <c r="J791">
        <v>11</v>
      </c>
      <c r="L791">
        <v>11</v>
      </c>
      <c r="N791">
        <f>Таблица1[[#This Row],[Часов на заказчика  в работе]]+Таблица1[[#This Row],[Часов на заказчика  дежурство]]</f>
        <v>11</v>
      </c>
      <c r="O7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1" s="9">
        <v>160000</v>
      </c>
      <c r="R791" s="9"/>
      <c r="S791" s="5">
        <v>1</v>
      </c>
      <c r="T7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табеле]])*S791,0)</f>
        <v>5333.3333333333339</v>
      </c>
      <c r="U791" s="5">
        <f>IF(Таблица1[[#This Row],[ТТН]]&gt;0,Таблица1[[#This Row],[Ставка за ТТН]]*Таблица1[[#This Row],[ТТН]],0)</f>
        <v>0</v>
      </c>
    </row>
    <row r="792" spans="1:21" x14ac:dyDescent="0.25">
      <c r="A792" t="s">
        <v>84</v>
      </c>
      <c r="B792" s="24">
        <v>18</v>
      </c>
      <c r="C792" t="s">
        <v>123</v>
      </c>
      <c r="D792" t="s">
        <v>32</v>
      </c>
      <c r="E792" t="s">
        <v>214</v>
      </c>
      <c r="F792" t="s">
        <v>31</v>
      </c>
      <c r="H792" t="s">
        <v>10</v>
      </c>
      <c r="I792" t="s">
        <v>221</v>
      </c>
      <c r="J792">
        <v>11</v>
      </c>
      <c r="L792">
        <v>11</v>
      </c>
      <c r="N792">
        <f>Таблица1[[#This Row],[Часов на заказчика  в работе]]+Таблица1[[#This Row],[Часов на заказчика  дежурство]]</f>
        <v>11</v>
      </c>
      <c r="O7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2" s="9">
        <v>160000</v>
      </c>
      <c r="R792" s="9"/>
      <c r="S792" s="5">
        <v>1</v>
      </c>
      <c r="T7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табеле]])*S792,0)</f>
        <v>5333.3333333333339</v>
      </c>
      <c r="U792" s="5">
        <f>IF(Таблица1[[#This Row],[ТТН]]&gt;0,Таблица1[[#This Row],[Ставка за ТТН]]*Таблица1[[#This Row],[ТТН]],0)</f>
        <v>0</v>
      </c>
    </row>
    <row r="793" spans="1:21" x14ac:dyDescent="0.25">
      <c r="A793" t="s">
        <v>84</v>
      </c>
      <c r="B793" s="24">
        <v>19</v>
      </c>
      <c r="C793" t="s">
        <v>123</v>
      </c>
      <c r="D793" t="s">
        <v>32</v>
      </c>
      <c r="E793" t="s">
        <v>214</v>
      </c>
      <c r="F793" t="s">
        <v>31</v>
      </c>
      <c r="H793" t="s">
        <v>10</v>
      </c>
      <c r="I793" t="s">
        <v>221</v>
      </c>
      <c r="J793">
        <v>11</v>
      </c>
      <c r="L793">
        <v>11</v>
      </c>
      <c r="N793">
        <f>Таблица1[[#This Row],[Часов на заказчика  в работе]]+Таблица1[[#This Row],[Часов на заказчика  дежурство]]</f>
        <v>11</v>
      </c>
      <c r="O7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3" s="9">
        <v>160000</v>
      </c>
      <c r="R793" s="9"/>
      <c r="S793" s="5">
        <v>1</v>
      </c>
      <c r="T7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табеле]])*S793,0)</f>
        <v>5333.3333333333339</v>
      </c>
      <c r="U793" s="5">
        <f>IF(Таблица1[[#This Row],[ТТН]]&gt;0,Таблица1[[#This Row],[Ставка за ТТН]]*Таблица1[[#This Row],[ТТН]],0)</f>
        <v>0</v>
      </c>
    </row>
    <row r="794" spans="1:21" x14ac:dyDescent="0.25">
      <c r="A794" t="s">
        <v>84</v>
      </c>
      <c r="B794" s="24">
        <v>20</v>
      </c>
      <c r="C794" t="s">
        <v>123</v>
      </c>
      <c r="D794" t="s">
        <v>32</v>
      </c>
      <c r="E794" t="s">
        <v>214</v>
      </c>
      <c r="F794" t="s">
        <v>31</v>
      </c>
      <c r="H794" t="s">
        <v>10</v>
      </c>
      <c r="I794" t="s">
        <v>221</v>
      </c>
      <c r="J794">
        <v>11</v>
      </c>
      <c r="L794">
        <v>11</v>
      </c>
      <c r="N794">
        <f>Таблица1[[#This Row],[Часов на заказчика  в работе]]+Таблица1[[#This Row],[Часов на заказчика  дежурство]]</f>
        <v>11</v>
      </c>
      <c r="O7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4" s="9">
        <v>160000</v>
      </c>
      <c r="R794" s="9"/>
      <c r="S794" s="5">
        <v>1</v>
      </c>
      <c r="T7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табеле]])*S794,0)</f>
        <v>5333.3333333333339</v>
      </c>
      <c r="U794" s="5">
        <f>IF(Таблица1[[#This Row],[ТТН]]&gt;0,Таблица1[[#This Row],[Ставка за ТТН]]*Таблица1[[#This Row],[ТТН]],0)</f>
        <v>0</v>
      </c>
    </row>
    <row r="795" spans="1:21" x14ac:dyDescent="0.25">
      <c r="A795" t="s">
        <v>84</v>
      </c>
      <c r="B795" s="24">
        <v>21</v>
      </c>
      <c r="C795" t="s">
        <v>123</v>
      </c>
      <c r="D795" t="s">
        <v>32</v>
      </c>
      <c r="E795" t="s">
        <v>214</v>
      </c>
      <c r="F795" t="s">
        <v>31</v>
      </c>
      <c r="H795" t="s">
        <v>10</v>
      </c>
      <c r="I795" t="s">
        <v>221</v>
      </c>
      <c r="J795">
        <v>11</v>
      </c>
      <c r="L795">
        <v>11</v>
      </c>
      <c r="N795">
        <f>Таблица1[[#This Row],[Часов на заказчика  в работе]]+Таблица1[[#This Row],[Часов на заказчика  дежурство]]</f>
        <v>11</v>
      </c>
      <c r="O7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5" s="9">
        <v>160000</v>
      </c>
      <c r="R795" s="9"/>
      <c r="S795" s="5">
        <v>1</v>
      </c>
      <c r="T7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табеле]])*S795,0)</f>
        <v>5333.3333333333339</v>
      </c>
      <c r="U795" s="5">
        <f>IF(Таблица1[[#This Row],[ТТН]]&gt;0,Таблица1[[#This Row],[Ставка за ТТН]]*Таблица1[[#This Row],[ТТН]],0)</f>
        <v>0</v>
      </c>
    </row>
    <row r="796" spans="1:21" x14ac:dyDescent="0.25">
      <c r="A796" t="s">
        <v>84</v>
      </c>
      <c r="B796" s="24">
        <v>22</v>
      </c>
      <c r="C796" t="s">
        <v>123</v>
      </c>
      <c r="D796" t="s">
        <v>32</v>
      </c>
      <c r="E796" t="s">
        <v>214</v>
      </c>
      <c r="F796" t="s">
        <v>31</v>
      </c>
      <c r="H796" t="s">
        <v>10</v>
      </c>
      <c r="I796" t="s">
        <v>221</v>
      </c>
      <c r="J796">
        <v>11</v>
      </c>
      <c r="L796">
        <v>11</v>
      </c>
      <c r="N796">
        <f>Таблица1[[#This Row],[Часов на заказчика  в работе]]+Таблица1[[#This Row],[Часов на заказчика  дежурство]]</f>
        <v>11</v>
      </c>
      <c r="O7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6" s="9">
        <v>160000</v>
      </c>
      <c r="R796" s="9"/>
      <c r="S796" s="5">
        <v>1</v>
      </c>
      <c r="T7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табеле]])*S796,0)</f>
        <v>5333.3333333333339</v>
      </c>
      <c r="U796" s="5">
        <f>IF(Таблица1[[#This Row],[ТТН]]&gt;0,Таблица1[[#This Row],[Ставка за ТТН]]*Таблица1[[#This Row],[ТТН]],0)</f>
        <v>0</v>
      </c>
    </row>
    <row r="797" spans="1:21" x14ac:dyDescent="0.25">
      <c r="A797" t="s">
        <v>84</v>
      </c>
      <c r="B797" s="24">
        <v>23</v>
      </c>
      <c r="C797" t="s">
        <v>123</v>
      </c>
      <c r="D797" t="s">
        <v>32</v>
      </c>
      <c r="E797" t="s">
        <v>214</v>
      </c>
      <c r="F797" t="s">
        <v>31</v>
      </c>
      <c r="H797" t="s">
        <v>10</v>
      </c>
      <c r="I797" t="s">
        <v>221</v>
      </c>
      <c r="J797">
        <v>11</v>
      </c>
      <c r="L797">
        <v>11</v>
      </c>
      <c r="N797">
        <f>Таблица1[[#This Row],[Часов на заказчика  в работе]]+Таблица1[[#This Row],[Часов на заказчика  дежурство]]</f>
        <v>11</v>
      </c>
      <c r="O7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7" s="9">
        <v>160000</v>
      </c>
      <c r="R797" s="9"/>
      <c r="S797" s="5">
        <v>1</v>
      </c>
      <c r="T7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табеле]])*S797,0)</f>
        <v>5333.3333333333339</v>
      </c>
      <c r="U797" s="5">
        <f>IF(Таблица1[[#This Row],[ТТН]]&gt;0,Таблица1[[#This Row],[Ставка за ТТН]]*Таблица1[[#This Row],[ТТН]],0)</f>
        <v>0</v>
      </c>
    </row>
    <row r="798" spans="1:21" x14ac:dyDescent="0.25">
      <c r="A798" t="s">
        <v>84</v>
      </c>
      <c r="B798" s="24">
        <v>24</v>
      </c>
      <c r="C798" t="s">
        <v>123</v>
      </c>
      <c r="D798" t="s">
        <v>32</v>
      </c>
      <c r="E798" t="s">
        <v>214</v>
      </c>
      <c r="F798" t="s">
        <v>31</v>
      </c>
      <c r="H798" t="s">
        <v>10</v>
      </c>
      <c r="I798" t="s">
        <v>221</v>
      </c>
      <c r="J798">
        <v>11</v>
      </c>
      <c r="L798">
        <v>11</v>
      </c>
      <c r="N798">
        <f>Таблица1[[#This Row],[Часов на заказчика  в работе]]+Таблица1[[#This Row],[Часов на заказчика  дежурство]]</f>
        <v>11</v>
      </c>
      <c r="O7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8" s="9">
        <v>160000</v>
      </c>
      <c r="R798" s="9"/>
      <c r="S798" s="5">
        <v>1</v>
      </c>
      <c r="T7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табеле]])*S798,0)</f>
        <v>5333.3333333333339</v>
      </c>
      <c r="U798" s="5">
        <f>IF(Таблица1[[#This Row],[ТТН]]&gt;0,Таблица1[[#This Row],[Ставка за ТТН]]*Таблица1[[#This Row],[ТТН]],0)</f>
        <v>0</v>
      </c>
    </row>
    <row r="799" spans="1:21" x14ac:dyDescent="0.25">
      <c r="A799" t="s">
        <v>84</v>
      </c>
      <c r="B799" s="24">
        <v>25</v>
      </c>
      <c r="C799" t="s">
        <v>123</v>
      </c>
      <c r="D799" t="s">
        <v>32</v>
      </c>
      <c r="E799" t="s">
        <v>214</v>
      </c>
      <c r="F799" t="s">
        <v>31</v>
      </c>
      <c r="H799" t="s">
        <v>10</v>
      </c>
      <c r="I799" t="s">
        <v>221</v>
      </c>
      <c r="J799">
        <v>11</v>
      </c>
      <c r="L799">
        <v>11</v>
      </c>
      <c r="N799">
        <f>Таблица1[[#This Row],[Часов на заказчика  в работе]]+Таблица1[[#This Row],[Часов на заказчика  дежурство]]</f>
        <v>11</v>
      </c>
      <c r="O7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799" s="9">
        <v>160000</v>
      </c>
      <c r="R799" s="9"/>
      <c r="S799" s="5">
        <v>1</v>
      </c>
      <c r="T7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табеле]])*S799,0)</f>
        <v>5333.3333333333339</v>
      </c>
      <c r="U799" s="5">
        <f>IF(Таблица1[[#This Row],[ТТН]]&gt;0,Таблица1[[#This Row],[Ставка за ТТН]]*Таблица1[[#This Row],[ТТН]],0)</f>
        <v>0</v>
      </c>
    </row>
    <row r="800" spans="1:21" x14ac:dyDescent="0.25">
      <c r="A800" t="s">
        <v>84</v>
      </c>
      <c r="B800" s="24">
        <v>26</v>
      </c>
      <c r="C800" t="s">
        <v>123</v>
      </c>
      <c r="D800" t="s">
        <v>32</v>
      </c>
      <c r="E800" t="s">
        <v>214</v>
      </c>
      <c r="F800" t="s">
        <v>31</v>
      </c>
      <c r="H800" t="s">
        <v>10</v>
      </c>
      <c r="I800" t="s">
        <v>221</v>
      </c>
      <c r="J800">
        <v>11</v>
      </c>
      <c r="L800">
        <v>11</v>
      </c>
      <c r="N800">
        <f>Таблица1[[#This Row],[Часов на заказчика  в работе]]+Таблица1[[#This Row],[Часов на заказчика  дежурство]]</f>
        <v>11</v>
      </c>
      <c r="O8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0" s="9">
        <v>160000</v>
      </c>
      <c r="R800" s="9"/>
      <c r="S800" s="5">
        <v>1</v>
      </c>
      <c r="T8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табеле]])*S800,0)</f>
        <v>5333.3333333333339</v>
      </c>
      <c r="U800" s="5">
        <f>IF(Таблица1[[#This Row],[ТТН]]&gt;0,Таблица1[[#This Row],[Ставка за ТТН]]*Таблица1[[#This Row],[ТТН]],0)</f>
        <v>0</v>
      </c>
    </row>
    <row r="801" spans="1:21" x14ac:dyDescent="0.25">
      <c r="A801" t="s">
        <v>84</v>
      </c>
      <c r="B801" s="24">
        <v>27</v>
      </c>
      <c r="C801" t="s">
        <v>123</v>
      </c>
      <c r="D801" t="s">
        <v>32</v>
      </c>
      <c r="E801" t="s">
        <v>214</v>
      </c>
      <c r="F801" t="s">
        <v>31</v>
      </c>
      <c r="H801" t="s">
        <v>10</v>
      </c>
      <c r="I801" t="s">
        <v>221</v>
      </c>
      <c r="J801">
        <v>11</v>
      </c>
      <c r="L801">
        <v>11</v>
      </c>
      <c r="N801">
        <f>Таблица1[[#This Row],[Часов на заказчика  в работе]]+Таблица1[[#This Row],[Часов на заказчика  дежурство]]</f>
        <v>11</v>
      </c>
      <c r="O8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1" s="9">
        <v>160000</v>
      </c>
      <c r="R801" s="9"/>
      <c r="S801" s="5">
        <v>1</v>
      </c>
      <c r="T8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табеле]])*S801,0)</f>
        <v>5333.3333333333339</v>
      </c>
      <c r="U801" s="5">
        <f>IF(Таблица1[[#This Row],[ТТН]]&gt;0,Таблица1[[#This Row],[Ставка за ТТН]]*Таблица1[[#This Row],[ТТН]],0)</f>
        <v>0</v>
      </c>
    </row>
    <row r="802" spans="1:21" x14ac:dyDescent="0.25">
      <c r="A802" t="s">
        <v>84</v>
      </c>
      <c r="B802" s="24">
        <v>28</v>
      </c>
      <c r="C802" t="s">
        <v>123</v>
      </c>
      <c r="D802" t="s">
        <v>32</v>
      </c>
      <c r="E802" t="s">
        <v>214</v>
      </c>
      <c r="F802" t="s">
        <v>31</v>
      </c>
      <c r="H802" t="s">
        <v>10</v>
      </c>
      <c r="I802" t="s">
        <v>221</v>
      </c>
      <c r="J802">
        <v>11</v>
      </c>
      <c r="L802">
        <v>11</v>
      </c>
      <c r="N802">
        <f>Таблица1[[#This Row],[Часов на заказчика  в работе]]+Таблица1[[#This Row],[Часов на заказчика  дежурство]]</f>
        <v>11</v>
      </c>
      <c r="O8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2" s="9">
        <v>160000</v>
      </c>
      <c r="R802" s="9"/>
      <c r="S802" s="5">
        <v>1</v>
      </c>
      <c r="T8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табеле]])*S802,0)</f>
        <v>5333.3333333333339</v>
      </c>
      <c r="U802" s="5">
        <f>IF(Таблица1[[#This Row],[ТТН]]&gt;0,Таблица1[[#This Row],[Ставка за ТТН]]*Таблица1[[#This Row],[ТТН]],0)</f>
        <v>0</v>
      </c>
    </row>
    <row r="803" spans="1:21" x14ac:dyDescent="0.25">
      <c r="A803" t="s">
        <v>84</v>
      </c>
      <c r="B803" s="24">
        <v>29</v>
      </c>
      <c r="C803" t="s">
        <v>123</v>
      </c>
      <c r="D803" t="s">
        <v>32</v>
      </c>
      <c r="E803" t="s">
        <v>214</v>
      </c>
      <c r="F803" t="s">
        <v>31</v>
      </c>
      <c r="H803" t="s">
        <v>10</v>
      </c>
      <c r="I803" t="s">
        <v>221</v>
      </c>
      <c r="J803">
        <v>11</v>
      </c>
      <c r="L803">
        <v>11</v>
      </c>
      <c r="N803">
        <f>Таблица1[[#This Row],[Часов на заказчика  в работе]]+Таблица1[[#This Row],[Часов на заказчика  дежурство]]</f>
        <v>11</v>
      </c>
      <c r="O8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3" s="9">
        <v>160000</v>
      </c>
      <c r="R803" s="9"/>
      <c r="S803" s="5">
        <v>1</v>
      </c>
      <c r="T8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табеле]])*S803,0)</f>
        <v>5333.3333333333339</v>
      </c>
      <c r="U803" s="5">
        <f>IF(Таблица1[[#This Row],[ТТН]]&gt;0,Таблица1[[#This Row],[Ставка за ТТН]]*Таблица1[[#This Row],[ТТН]],0)</f>
        <v>0</v>
      </c>
    </row>
    <row r="804" spans="1:21" x14ac:dyDescent="0.25">
      <c r="A804" t="s">
        <v>84</v>
      </c>
      <c r="B804" s="24">
        <v>30</v>
      </c>
      <c r="C804" t="s">
        <v>124</v>
      </c>
      <c r="D804" t="s">
        <v>32</v>
      </c>
      <c r="E804" t="s">
        <v>214</v>
      </c>
      <c r="F804" t="s">
        <v>31</v>
      </c>
      <c r="H804" t="s">
        <v>10</v>
      </c>
      <c r="I804" t="s">
        <v>221</v>
      </c>
      <c r="J804">
        <v>11</v>
      </c>
      <c r="L804">
        <v>11</v>
      </c>
      <c r="N804">
        <f>Таблица1[[#This Row],[Часов на заказчика  в работе]]+Таблица1[[#This Row],[Часов на заказчика  дежурство]]</f>
        <v>11</v>
      </c>
      <c r="O8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4" s="9">
        <v>160000</v>
      </c>
      <c r="R804" s="9"/>
      <c r="S804" s="5">
        <v>1</v>
      </c>
      <c r="T8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табеле]])*S804,0)</f>
        <v>5333.3333333333339</v>
      </c>
      <c r="U804" s="5">
        <f>IF(Таблица1[[#This Row],[ТТН]]&gt;0,Таблица1[[#This Row],[Ставка за ТТН]]*Таблица1[[#This Row],[ТТН]],0)</f>
        <v>0</v>
      </c>
    </row>
    <row r="805" spans="1:21" x14ac:dyDescent="0.25">
      <c r="A805" t="s">
        <v>84</v>
      </c>
      <c r="B805" s="24">
        <v>1</v>
      </c>
      <c r="C805" t="s">
        <v>124</v>
      </c>
      <c r="D805" t="s">
        <v>28</v>
      </c>
      <c r="E805" t="s">
        <v>214</v>
      </c>
      <c r="F805" t="s">
        <v>28</v>
      </c>
      <c r="H805" t="s">
        <v>10</v>
      </c>
      <c r="I805" t="s">
        <v>220</v>
      </c>
      <c r="J805">
        <v>22</v>
      </c>
      <c r="L805">
        <v>22</v>
      </c>
      <c r="N805">
        <f>Таблица1[[#This Row],[Часов на заказчика  в работе]]+Таблица1[[#This Row],[Часов на заказчика  дежурство]]</f>
        <v>22</v>
      </c>
      <c r="O8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5" s="9">
        <v>88000</v>
      </c>
      <c r="R805" s="9"/>
      <c r="S805" s="5">
        <v>1</v>
      </c>
      <c r="T8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табеле]])*S805,0)</f>
        <v>5866.666666666667</v>
      </c>
      <c r="U805" s="5">
        <f>IF(Таблица1[[#This Row],[ТТН]]&gt;0,Таблица1[[#This Row],[Ставка за ТТН]]*Таблица1[[#This Row],[ТТН]],0)</f>
        <v>0</v>
      </c>
    </row>
    <row r="806" spans="1:21" x14ac:dyDescent="0.25">
      <c r="A806" t="s">
        <v>84</v>
      </c>
      <c r="B806" s="24">
        <v>2</v>
      </c>
      <c r="C806" t="s">
        <v>124</v>
      </c>
      <c r="D806" t="s">
        <v>28</v>
      </c>
      <c r="E806" t="s">
        <v>214</v>
      </c>
      <c r="F806" t="s">
        <v>28</v>
      </c>
      <c r="H806" t="s">
        <v>10</v>
      </c>
      <c r="I806" t="s">
        <v>220</v>
      </c>
      <c r="J806">
        <v>11</v>
      </c>
      <c r="L806">
        <v>11</v>
      </c>
      <c r="N806">
        <f>Таблица1[[#This Row],[Часов на заказчика  в работе]]+Таблица1[[#This Row],[Часов на заказчика  дежурство]]</f>
        <v>11</v>
      </c>
      <c r="O8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6" s="9">
        <v>88000</v>
      </c>
      <c r="R806" s="9"/>
      <c r="S806" s="5">
        <v>1</v>
      </c>
      <c r="T8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табеле]])*S806,0)</f>
        <v>2933.3333333333335</v>
      </c>
      <c r="U806" s="5">
        <f>IF(Таблица1[[#This Row],[ТТН]]&gt;0,Таблица1[[#This Row],[Ставка за ТТН]]*Таблица1[[#This Row],[ТТН]],0)</f>
        <v>0</v>
      </c>
    </row>
    <row r="807" spans="1:21" x14ac:dyDescent="0.25">
      <c r="A807" t="s">
        <v>84</v>
      </c>
      <c r="B807" s="24">
        <v>3</v>
      </c>
      <c r="C807" t="s">
        <v>124</v>
      </c>
      <c r="D807" t="s">
        <v>28</v>
      </c>
      <c r="E807" t="s">
        <v>214</v>
      </c>
      <c r="F807" t="s">
        <v>28</v>
      </c>
      <c r="H807" t="s">
        <v>10</v>
      </c>
      <c r="I807" t="s">
        <v>220</v>
      </c>
      <c r="J807">
        <v>11</v>
      </c>
      <c r="L807">
        <v>11</v>
      </c>
      <c r="N807">
        <f>Таблица1[[#This Row],[Часов на заказчика  в работе]]+Таблица1[[#This Row],[Часов на заказчика  дежурство]]</f>
        <v>11</v>
      </c>
      <c r="O8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7" s="9">
        <v>88000</v>
      </c>
      <c r="R807" s="9"/>
      <c r="S807" s="5">
        <v>1</v>
      </c>
      <c r="T8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табеле]])*S807,0)</f>
        <v>2933.3333333333335</v>
      </c>
      <c r="U807" s="5">
        <f>IF(Таблица1[[#This Row],[ТТН]]&gt;0,Таблица1[[#This Row],[Ставка за ТТН]]*Таблица1[[#This Row],[ТТН]],0)</f>
        <v>0</v>
      </c>
    </row>
    <row r="808" spans="1:21" x14ac:dyDescent="0.25">
      <c r="A808" t="s">
        <v>84</v>
      </c>
      <c r="B808" s="24">
        <v>4</v>
      </c>
      <c r="C808" t="s">
        <v>124</v>
      </c>
      <c r="D808" t="s">
        <v>28</v>
      </c>
      <c r="E808" t="s">
        <v>214</v>
      </c>
      <c r="F808" t="s">
        <v>28</v>
      </c>
      <c r="H808" t="s">
        <v>10</v>
      </c>
      <c r="I808" t="s">
        <v>220</v>
      </c>
      <c r="J808">
        <v>22</v>
      </c>
      <c r="L808">
        <v>22</v>
      </c>
      <c r="N808">
        <f>Таблица1[[#This Row],[Часов на заказчика  в работе]]+Таблица1[[#This Row],[Часов на заказчика  дежурство]]</f>
        <v>22</v>
      </c>
      <c r="O8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8" s="9">
        <v>88000</v>
      </c>
      <c r="R808" s="9"/>
      <c r="S808" s="5">
        <v>1</v>
      </c>
      <c r="T8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табеле]])*S808,0)</f>
        <v>5866.666666666667</v>
      </c>
      <c r="U808" s="5">
        <f>IF(Таблица1[[#This Row],[ТТН]]&gt;0,Таблица1[[#This Row],[Ставка за ТТН]]*Таблица1[[#This Row],[ТТН]],0)</f>
        <v>0</v>
      </c>
    </row>
    <row r="809" spans="1:21" x14ac:dyDescent="0.25">
      <c r="A809" t="s">
        <v>84</v>
      </c>
      <c r="B809" s="24">
        <v>5</v>
      </c>
      <c r="C809" t="s">
        <v>124</v>
      </c>
      <c r="D809" t="s">
        <v>28</v>
      </c>
      <c r="E809" t="s">
        <v>214</v>
      </c>
      <c r="F809" t="s">
        <v>28</v>
      </c>
      <c r="H809" t="s">
        <v>10</v>
      </c>
      <c r="I809" t="s">
        <v>220</v>
      </c>
      <c r="J809">
        <v>11</v>
      </c>
      <c r="L809">
        <v>11</v>
      </c>
      <c r="N809">
        <f>Таблица1[[#This Row],[Часов на заказчика  в работе]]+Таблица1[[#This Row],[Часов на заказчика  дежурство]]</f>
        <v>11</v>
      </c>
      <c r="O8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09" s="9">
        <v>88000</v>
      </c>
      <c r="R809" s="9"/>
      <c r="S809" s="5">
        <v>1</v>
      </c>
      <c r="T8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табеле]])*S809,0)</f>
        <v>2933.3333333333335</v>
      </c>
      <c r="U809" s="5">
        <f>IF(Таблица1[[#This Row],[ТТН]]&gt;0,Таблица1[[#This Row],[Ставка за ТТН]]*Таблица1[[#This Row],[ТТН]],0)</f>
        <v>0</v>
      </c>
    </row>
    <row r="810" spans="1:21" x14ac:dyDescent="0.25">
      <c r="A810" t="s">
        <v>84</v>
      </c>
      <c r="B810" s="24">
        <v>6</v>
      </c>
      <c r="C810" t="s">
        <v>124</v>
      </c>
      <c r="D810" t="s">
        <v>28</v>
      </c>
      <c r="E810" t="s">
        <v>214</v>
      </c>
      <c r="F810" t="s">
        <v>28</v>
      </c>
      <c r="H810" t="s">
        <v>10</v>
      </c>
      <c r="I810" t="s">
        <v>220</v>
      </c>
      <c r="J810">
        <v>11</v>
      </c>
      <c r="L810">
        <v>11</v>
      </c>
      <c r="N810">
        <f>Таблица1[[#This Row],[Часов на заказчика  в работе]]+Таблица1[[#This Row],[Часов на заказчика  дежурство]]</f>
        <v>11</v>
      </c>
      <c r="O8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0" s="9">
        <v>88000</v>
      </c>
      <c r="R810" s="9"/>
      <c r="S810" s="5">
        <v>1</v>
      </c>
      <c r="T8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табеле]])*S810,0)</f>
        <v>2933.3333333333335</v>
      </c>
      <c r="U810" s="5">
        <f>IF(Таблица1[[#This Row],[ТТН]]&gt;0,Таблица1[[#This Row],[Ставка за ТТН]]*Таблица1[[#This Row],[ТТН]],0)</f>
        <v>0</v>
      </c>
    </row>
    <row r="811" spans="1:21" x14ac:dyDescent="0.25">
      <c r="A811" t="s">
        <v>84</v>
      </c>
      <c r="B811" s="24">
        <v>7</v>
      </c>
      <c r="C811" t="s">
        <v>124</v>
      </c>
      <c r="D811" t="s">
        <v>28</v>
      </c>
      <c r="E811" t="s">
        <v>214</v>
      </c>
      <c r="F811" t="s">
        <v>28</v>
      </c>
      <c r="H811" t="s">
        <v>10</v>
      </c>
      <c r="I811" t="s">
        <v>220</v>
      </c>
      <c r="J811">
        <v>11</v>
      </c>
      <c r="L811">
        <v>11</v>
      </c>
      <c r="N811">
        <f>Таблица1[[#This Row],[Часов на заказчика  в работе]]+Таблица1[[#This Row],[Часов на заказчика  дежурство]]</f>
        <v>11</v>
      </c>
      <c r="O8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1" s="9">
        <v>88000</v>
      </c>
      <c r="R811" s="9"/>
      <c r="S811" s="5">
        <v>1</v>
      </c>
      <c r="T8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табеле]])*S811,0)</f>
        <v>2933.3333333333335</v>
      </c>
      <c r="U811" s="5">
        <f>IF(Таблица1[[#This Row],[ТТН]]&gt;0,Таблица1[[#This Row],[Ставка за ТТН]]*Таблица1[[#This Row],[ТТН]],0)</f>
        <v>0</v>
      </c>
    </row>
    <row r="812" spans="1:21" x14ac:dyDescent="0.25">
      <c r="A812" t="s">
        <v>84</v>
      </c>
      <c r="B812" s="24">
        <v>8</v>
      </c>
      <c r="C812" t="s">
        <v>124</v>
      </c>
      <c r="D812" t="s">
        <v>28</v>
      </c>
      <c r="E812" t="s">
        <v>214</v>
      </c>
      <c r="F812" t="s">
        <v>28</v>
      </c>
      <c r="H812" t="s">
        <v>10</v>
      </c>
      <c r="I812" t="s">
        <v>220</v>
      </c>
      <c r="J812">
        <v>11</v>
      </c>
      <c r="L812">
        <v>11</v>
      </c>
      <c r="N812">
        <f>Таблица1[[#This Row],[Часов на заказчика  в работе]]+Таблица1[[#This Row],[Часов на заказчика  дежурство]]</f>
        <v>11</v>
      </c>
      <c r="O8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2" s="9">
        <v>88000</v>
      </c>
      <c r="R812" s="9"/>
      <c r="S812" s="5">
        <v>1</v>
      </c>
      <c r="T8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табеле]])*S812,0)</f>
        <v>2933.3333333333335</v>
      </c>
      <c r="U812" s="5">
        <f>IF(Таблица1[[#This Row],[ТТН]]&gt;0,Таблица1[[#This Row],[Ставка за ТТН]]*Таблица1[[#This Row],[ТТН]],0)</f>
        <v>0</v>
      </c>
    </row>
    <row r="813" spans="1:21" x14ac:dyDescent="0.25">
      <c r="A813" t="s">
        <v>84</v>
      </c>
      <c r="B813" s="24">
        <v>9</v>
      </c>
      <c r="C813" t="s">
        <v>124</v>
      </c>
      <c r="D813" t="s">
        <v>28</v>
      </c>
      <c r="E813" t="s">
        <v>214</v>
      </c>
      <c r="F813" t="s">
        <v>28</v>
      </c>
      <c r="H813" t="s">
        <v>10</v>
      </c>
      <c r="I813" t="s">
        <v>220</v>
      </c>
      <c r="J813">
        <v>22</v>
      </c>
      <c r="L813">
        <v>22</v>
      </c>
      <c r="N813">
        <f>Таблица1[[#This Row],[Часов на заказчика  в работе]]+Таблица1[[#This Row],[Часов на заказчика  дежурство]]</f>
        <v>22</v>
      </c>
      <c r="O8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3" s="9">
        <v>88000</v>
      </c>
      <c r="R813" s="9"/>
      <c r="S813" s="5">
        <v>1</v>
      </c>
      <c r="T8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табеле]])*S813,0)</f>
        <v>5866.666666666667</v>
      </c>
      <c r="U813" s="5">
        <f>IF(Таблица1[[#This Row],[ТТН]]&gt;0,Таблица1[[#This Row],[Ставка за ТТН]]*Таблица1[[#This Row],[ТТН]],0)</f>
        <v>0</v>
      </c>
    </row>
    <row r="814" spans="1:21" x14ac:dyDescent="0.25">
      <c r="A814" t="s">
        <v>84</v>
      </c>
      <c r="B814" s="24">
        <v>10</v>
      </c>
      <c r="C814" t="s">
        <v>124</v>
      </c>
      <c r="D814" t="s">
        <v>28</v>
      </c>
      <c r="E814" t="s">
        <v>214</v>
      </c>
      <c r="F814" t="s">
        <v>28</v>
      </c>
      <c r="H814" t="s">
        <v>10</v>
      </c>
      <c r="I814" t="s">
        <v>220</v>
      </c>
      <c r="J814">
        <v>22</v>
      </c>
      <c r="L814">
        <v>22</v>
      </c>
      <c r="N814">
        <f>Таблица1[[#This Row],[Часов на заказчика  в работе]]+Таблица1[[#This Row],[Часов на заказчика  дежурство]]</f>
        <v>22</v>
      </c>
      <c r="O8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4" s="9">
        <v>88000</v>
      </c>
      <c r="R814" s="9"/>
      <c r="S814" s="5">
        <v>1</v>
      </c>
      <c r="T8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табеле]])*S814,0)</f>
        <v>5866.666666666667</v>
      </c>
      <c r="U814" s="5">
        <f>IF(Таблица1[[#This Row],[ТТН]]&gt;0,Таблица1[[#This Row],[Ставка за ТТН]]*Таблица1[[#This Row],[ТТН]],0)</f>
        <v>0</v>
      </c>
    </row>
    <row r="815" spans="1:21" x14ac:dyDescent="0.25">
      <c r="A815" t="s">
        <v>84</v>
      </c>
      <c r="B815" s="24">
        <v>11</v>
      </c>
      <c r="C815" t="s">
        <v>124</v>
      </c>
      <c r="D815" t="s">
        <v>28</v>
      </c>
      <c r="E815" t="s">
        <v>214</v>
      </c>
      <c r="F815" t="s">
        <v>28</v>
      </c>
      <c r="H815" t="s">
        <v>10</v>
      </c>
      <c r="I815" t="s">
        <v>220</v>
      </c>
      <c r="J815">
        <v>22</v>
      </c>
      <c r="L815">
        <v>22</v>
      </c>
      <c r="N815">
        <f>Таблица1[[#This Row],[Часов на заказчика  в работе]]+Таблица1[[#This Row],[Часов на заказчика  дежурство]]</f>
        <v>22</v>
      </c>
      <c r="O8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5" s="9">
        <v>88000</v>
      </c>
      <c r="R815" s="9"/>
      <c r="S815" s="5">
        <v>1</v>
      </c>
      <c r="T8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табеле]])*S815,0)</f>
        <v>5866.666666666667</v>
      </c>
      <c r="U815" s="5">
        <f>IF(Таблица1[[#This Row],[ТТН]]&gt;0,Таблица1[[#This Row],[Ставка за ТТН]]*Таблица1[[#This Row],[ТТН]],0)</f>
        <v>0</v>
      </c>
    </row>
    <row r="816" spans="1:21" x14ac:dyDescent="0.25">
      <c r="A816" t="s">
        <v>84</v>
      </c>
      <c r="B816" s="24">
        <v>12</v>
      </c>
      <c r="C816" t="s">
        <v>124</v>
      </c>
      <c r="D816" t="s">
        <v>28</v>
      </c>
      <c r="E816" t="s">
        <v>214</v>
      </c>
      <c r="F816" t="s">
        <v>28</v>
      </c>
      <c r="H816" t="s">
        <v>10</v>
      </c>
      <c r="I816" t="s">
        <v>220</v>
      </c>
      <c r="J816">
        <v>22</v>
      </c>
      <c r="L816">
        <v>22</v>
      </c>
      <c r="N816">
        <f>Таблица1[[#This Row],[Часов на заказчика  в работе]]+Таблица1[[#This Row],[Часов на заказчика  дежурство]]</f>
        <v>22</v>
      </c>
      <c r="O8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6" s="9">
        <v>88000</v>
      </c>
      <c r="R816" s="9"/>
      <c r="S816" s="5">
        <v>1</v>
      </c>
      <c r="T8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табеле]])*S816,0)</f>
        <v>5866.666666666667</v>
      </c>
      <c r="U816" s="5">
        <f>IF(Таблица1[[#This Row],[ТТН]]&gt;0,Таблица1[[#This Row],[Ставка за ТТН]]*Таблица1[[#This Row],[ТТН]],0)</f>
        <v>0</v>
      </c>
    </row>
    <row r="817" spans="1:21" x14ac:dyDescent="0.25">
      <c r="A817" t="s">
        <v>84</v>
      </c>
      <c r="B817" s="24">
        <v>13</v>
      </c>
      <c r="C817" t="s">
        <v>124</v>
      </c>
      <c r="D817" t="s">
        <v>28</v>
      </c>
      <c r="E817" t="s">
        <v>214</v>
      </c>
      <c r="F817" t="s">
        <v>28</v>
      </c>
      <c r="H817" t="s">
        <v>10</v>
      </c>
      <c r="I817" t="s">
        <v>220</v>
      </c>
      <c r="J817">
        <v>11</v>
      </c>
      <c r="L817">
        <v>11</v>
      </c>
      <c r="N817">
        <f>Таблица1[[#This Row],[Часов на заказчика  в работе]]+Таблица1[[#This Row],[Часов на заказчика  дежурство]]</f>
        <v>11</v>
      </c>
      <c r="O8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7" s="9">
        <v>88000</v>
      </c>
      <c r="R817" s="9"/>
      <c r="S817" s="5">
        <v>1</v>
      </c>
      <c r="T8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табеле]])*S817,0)</f>
        <v>2933.3333333333335</v>
      </c>
      <c r="U817" s="5">
        <f>IF(Таблица1[[#This Row],[ТТН]]&gt;0,Таблица1[[#This Row],[Ставка за ТТН]]*Таблица1[[#This Row],[ТТН]],0)</f>
        <v>0</v>
      </c>
    </row>
    <row r="818" spans="1:21" x14ac:dyDescent="0.25">
      <c r="A818" t="s">
        <v>84</v>
      </c>
      <c r="B818" s="24">
        <v>14</v>
      </c>
      <c r="C818" t="s">
        <v>124</v>
      </c>
      <c r="D818" t="s">
        <v>28</v>
      </c>
      <c r="E818" t="s">
        <v>214</v>
      </c>
      <c r="F818" t="s">
        <v>28</v>
      </c>
      <c r="H818" t="s">
        <v>10</v>
      </c>
      <c r="I818" t="s">
        <v>220</v>
      </c>
      <c r="J818">
        <v>11</v>
      </c>
      <c r="L818">
        <v>11</v>
      </c>
      <c r="N818">
        <f>Таблица1[[#This Row],[Часов на заказчика  в работе]]+Таблица1[[#This Row],[Часов на заказчика  дежурство]]</f>
        <v>11</v>
      </c>
      <c r="O8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8" s="9">
        <v>88000</v>
      </c>
      <c r="R818" s="9"/>
      <c r="S818" s="5">
        <v>1</v>
      </c>
      <c r="T8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табеле]])*S818,0)</f>
        <v>2933.3333333333335</v>
      </c>
      <c r="U818" s="5">
        <f>IF(Таблица1[[#This Row],[ТТН]]&gt;0,Таблица1[[#This Row],[Ставка за ТТН]]*Таблица1[[#This Row],[ТТН]],0)</f>
        <v>0</v>
      </c>
    </row>
    <row r="819" spans="1:21" x14ac:dyDescent="0.25">
      <c r="A819" t="s">
        <v>84</v>
      </c>
      <c r="B819" s="24">
        <v>15</v>
      </c>
      <c r="C819" t="s">
        <v>124</v>
      </c>
      <c r="D819" t="s">
        <v>28</v>
      </c>
      <c r="E819" t="s">
        <v>214</v>
      </c>
      <c r="F819" t="s">
        <v>28</v>
      </c>
      <c r="H819" t="s">
        <v>10</v>
      </c>
      <c r="I819" t="s">
        <v>220</v>
      </c>
      <c r="J819">
        <v>11</v>
      </c>
      <c r="L819">
        <v>11</v>
      </c>
      <c r="N819">
        <f>Таблица1[[#This Row],[Часов на заказчика  в работе]]+Таблица1[[#This Row],[Часов на заказчика  дежурство]]</f>
        <v>11</v>
      </c>
      <c r="O8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19" s="9">
        <v>88000</v>
      </c>
      <c r="R819" s="9"/>
      <c r="S819" s="5">
        <v>1</v>
      </c>
      <c r="T8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табеле]])*S819,0)</f>
        <v>2933.3333333333335</v>
      </c>
      <c r="U819" s="5">
        <f>IF(Таблица1[[#This Row],[ТТН]]&gt;0,Таблица1[[#This Row],[Ставка за ТТН]]*Таблица1[[#This Row],[ТТН]],0)</f>
        <v>0</v>
      </c>
    </row>
    <row r="820" spans="1:21" x14ac:dyDescent="0.25">
      <c r="A820" t="s">
        <v>84</v>
      </c>
      <c r="B820" s="24">
        <v>16</v>
      </c>
      <c r="C820" t="s">
        <v>124</v>
      </c>
      <c r="D820" t="s">
        <v>28</v>
      </c>
      <c r="E820" t="s">
        <v>214</v>
      </c>
      <c r="F820" t="s">
        <v>28</v>
      </c>
      <c r="H820" t="s">
        <v>10</v>
      </c>
      <c r="I820" t="s">
        <v>220</v>
      </c>
      <c r="J820">
        <v>11</v>
      </c>
      <c r="L820">
        <v>11</v>
      </c>
      <c r="N820">
        <f>Таблица1[[#This Row],[Часов на заказчика  в работе]]+Таблица1[[#This Row],[Часов на заказчика  дежурство]]</f>
        <v>11</v>
      </c>
      <c r="O8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0" s="9">
        <v>88000</v>
      </c>
      <c r="R820" s="9"/>
      <c r="S820" s="5">
        <v>1</v>
      </c>
      <c r="T8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табеле]])*S820,0)</f>
        <v>2933.3333333333335</v>
      </c>
      <c r="U820" s="5">
        <f>IF(Таблица1[[#This Row],[ТТН]]&gt;0,Таблица1[[#This Row],[Ставка за ТТН]]*Таблица1[[#This Row],[ТТН]],0)</f>
        <v>0</v>
      </c>
    </row>
    <row r="821" spans="1:21" x14ac:dyDescent="0.25">
      <c r="A821" t="s">
        <v>84</v>
      </c>
      <c r="B821" s="24">
        <v>17</v>
      </c>
      <c r="C821" t="s">
        <v>124</v>
      </c>
      <c r="D821" t="s">
        <v>28</v>
      </c>
      <c r="E821" t="s">
        <v>214</v>
      </c>
      <c r="F821" t="s">
        <v>28</v>
      </c>
      <c r="H821" t="s">
        <v>10</v>
      </c>
      <c r="I821" t="s">
        <v>220</v>
      </c>
      <c r="J821">
        <v>11</v>
      </c>
      <c r="L821">
        <v>11</v>
      </c>
      <c r="N821">
        <f>Таблица1[[#This Row],[Часов на заказчика  в работе]]+Таблица1[[#This Row],[Часов на заказчика  дежурство]]</f>
        <v>11</v>
      </c>
      <c r="O8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1" s="9">
        <v>88000</v>
      </c>
      <c r="R821" s="9"/>
      <c r="S821" s="5">
        <v>1</v>
      </c>
      <c r="T8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табеле]])*S821,0)</f>
        <v>2933.3333333333335</v>
      </c>
      <c r="U821" s="5">
        <f>IF(Таблица1[[#This Row],[ТТН]]&gt;0,Таблица1[[#This Row],[Ставка за ТТН]]*Таблица1[[#This Row],[ТТН]],0)</f>
        <v>0</v>
      </c>
    </row>
    <row r="822" spans="1:21" x14ac:dyDescent="0.25">
      <c r="A822" t="s">
        <v>84</v>
      </c>
      <c r="B822" s="24">
        <v>18</v>
      </c>
      <c r="C822" t="s">
        <v>124</v>
      </c>
      <c r="D822" t="s">
        <v>28</v>
      </c>
      <c r="E822" t="s">
        <v>214</v>
      </c>
      <c r="F822" t="s">
        <v>28</v>
      </c>
      <c r="H822" t="s">
        <v>10</v>
      </c>
      <c r="I822" t="s">
        <v>220</v>
      </c>
      <c r="J822">
        <v>11</v>
      </c>
      <c r="L822">
        <v>11</v>
      </c>
      <c r="N822">
        <f>Таблица1[[#This Row],[Часов на заказчика  в работе]]+Таблица1[[#This Row],[Часов на заказчика  дежурство]]</f>
        <v>11</v>
      </c>
      <c r="O8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2" s="9">
        <v>88000</v>
      </c>
      <c r="R822" s="9"/>
      <c r="S822" s="5">
        <v>1</v>
      </c>
      <c r="T8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табеле]])*S822,0)</f>
        <v>2933.3333333333335</v>
      </c>
      <c r="U822" s="5">
        <f>IF(Таблица1[[#This Row],[ТТН]]&gt;0,Таблица1[[#This Row],[Ставка за ТТН]]*Таблица1[[#This Row],[ТТН]],0)</f>
        <v>0</v>
      </c>
    </row>
    <row r="823" spans="1:21" x14ac:dyDescent="0.25">
      <c r="A823" t="s">
        <v>84</v>
      </c>
      <c r="B823" s="24">
        <v>19</v>
      </c>
      <c r="C823" t="s">
        <v>124</v>
      </c>
      <c r="D823" t="s">
        <v>28</v>
      </c>
      <c r="E823" t="s">
        <v>214</v>
      </c>
      <c r="F823" t="s">
        <v>28</v>
      </c>
      <c r="H823" t="s">
        <v>10</v>
      </c>
      <c r="I823" t="s">
        <v>220</v>
      </c>
      <c r="J823">
        <v>11</v>
      </c>
      <c r="L823">
        <v>11</v>
      </c>
      <c r="N823">
        <f>Таблица1[[#This Row],[Часов на заказчика  в работе]]+Таблица1[[#This Row],[Часов на заказчика  дежурство]]</f>
        <v>11</v>
      </c>
      <c r="O8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3" s="9">
        <v>88000</v>
      </c>
      <c r="R823" s="9"/>
      <c r="S823" s="5">
        <v>1</v>
      </c>
      <c r="T8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табеле]])*S823,0)</f>
        <v>2933.3333333333335</v>
      </c>
      <c r="U823" s="5">
        <f>IF(Таблица1[[#This Row],[ТТН]]&gt;0,Таблица1[[#This Row],[Ставка за ТТН]]*Таблица1[[#This Row],[ТТН]],0)</f>
        <v>0</v>
      </c>
    </row>
    <row r="824" spans="1:21" x14ac:dyDescent="0.25">
      <c r="A824" t="s">
        <v>84</v>
      </c>
      <c r="B824" s="24">
        <v>20</v>
      </c>
      <c r="C824" t="s">
        <v>124</v>
      </c>
      <c r="D824" t="s">
        <v>28</v>
      </c>
      <c r="E824" t="s">
        <v>214</v>
      </c>
      <c r="F824" t="s">
        <v>28</v>
      </c>
      <c r="H824" t="s">
        <v>10</v>
      </c>
      <c r="I824" t="s">
        <v>220</v>
      </c>
      <c r="J824">
        <v>11</v>
      </c>
      <c r="L824">
        <v>11</v>
      </c>
      <c r="N824">
        <f>Таблица1[[#This Row],[Часов на заказчика  в работе]]+Таблица1[[#This Row],[Часов на заказчика  дежурство]]</f>
        <v>11</v>
      </c>
      <c r="O8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4" s="9">
        <v>88000</v>
      </c>
      <c r="R824" s="9"/>
      <c r="S824" s="5">
        <v>1</v>
      </c>
      <c r="T8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табеле]])*S824,0)</f>
        <v>2933.3333333333335</v>
      </c>
      <c r="U824" s="5">
        <f>IF(Таблица1[[#This Row],[ТТН]]&gt;0,Таблица1[[#This Row],[Ставка за ТТН]]*Таблица1[[#This Row],[ТТН]],0)</f>
        <v>0</v>
      </c>
    </row>
    <row r="825" spans="1:21" x14ac:dyDescent="0.25">
      <c r="A825" t="s">
        <v>84</v>
      </c>
      <c r="B825" s="24">
        <v>21</v>
      </c>
      <c r="C825" t="s">
        <v>124</v>
      </c>
      <c r="D825" t="s">
        <v>28</v>
      </c>
      <c r="E825" t="s">
        <v>214</v>
      </c>
      <c r="F825" t="s">
        <v>28</v>
      </c>
      <c r="H825" t="s">
        <v>10</v>
      </c>
      <c r="I825" t="s">
        <v>220</v>
      </c>
      <c r="J825">
        <v>11</v>
      </c>
      <c r="L825">
        <v>11</v>
      </c>
      <c r="N825">
        <f>Таблица1[[#This Row],[Часов на заказчика  в работе]]+Таблица1[[#This Row],[Часов на заказчика  дежурство]]</f>
        <v>11</v>
      </c>
      <c r="O8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5" s="9">
        <v>88000</v>
      </c>
      <c r="R825" s="9"/>
      <c r="S825" s="5">
        <v>1</v>
      </c>
      <c r="T8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табеле]])*S825,0)</f>
        <v>2933.3333333333335</v>
      </c>
      <c r="U825" s="5">
        <f>IF(Таблица1[[#This Row],[ТТН]]&gt;0,Таблица1[[#This Row],[Ставка за ТТН]]*Таблица1[[#This Row],[ТТН]],0)</f>
        <v>0</v>
      </c>
    </row>
    <row r="826" spans="1:21" x14ac:dyDescent="0.25">
      <c r="A826" t="s">
        <v>84</v>
      </c>
      <c r="B826" s="24">
        <v>22</v>
      </c>
      <c r="C826" t="s">
        <v>124</v>
      </c>
      <c r="D826" t="s">
        <v>28</v>
      </c>
      <c r="E826" t="s">
        <v>214</v>
      </c>
      <c r="F826" t="s">
        <v>28</v>
      </c>
      <c r="H826" t="s">
        <v>10</v>
      </c>
      <c r="I826" t="s">
        <v>220</v>
      </c>
      <c r="J826">
        <v>11</v>
      </c>
      <c r="L826">
        <v>11</v>
      </c>
      <c r="N826">
        <f>Таблица1[[#This Row],[Часов на заказчика  в работе]]+Таблица1[[#This Row],[Часов на заказчика  дежурство]]</f>
        <v>11</v>
      </c>
      <c r="O8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6" s="9">
        <v>88000</v>
      </c>
      <c r="R826" s="9"/>
      <c r="S826" s="5">
        <v>1</v>
      </c>
      <c r="T8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табеле]])*S826,0)</f>
        <v>2933.3333333333335</v>
      </c>
      <c r="U826" s="5">
        <f>IF(Таблица1[[#This Row],[ТТН]]&gt;0,Таблица1[[#This Row],[Ставка за ТТН]]*Таблица1[[#This Row],[ТТН]],0)</f>
        <v>0</v>
      </c>
    </row>
    <row r="827" spans="1:21" x14ac:dyDescent="0.25">
      <c r="A827" t="s">
        <v>84</v>
      </c>
      <c r="B827" s="24">
        <v>23</v>
      </c>
      <c r="C827" t="s">
        <v>124</v>
      </c>
      <c r="D827" t="s">
        <v>28</v>
      </c>
      <c r="E827" t="s">
        <v>214</v>
      </c>
      <c r="F827" t="s">
        <v>28</v>
      </c>
      <c r="H827" t="s">
        <v>10</v>
      </c>
      <c r="I827" t="s">
        <v>220</v>
      </c>
      <c r="J827">
        <v>11</v>
      </c>
      <c r="L827">
        <v>11</v>
      </c>
      <c r="N827">
        <f>Таблица1[[#This Row],[Часов на заказчика  в работе]]+Таблица1[[#This Row],[Часов на заказчика  дежурство]]</f>
        <v>11</v>
      </c>
      <c r="O8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7" s="9">
        <v>88000</v>
      </c>
      <c r="R827" s="9"/>
      <c r="S827" s="5">
        <v>1</v>
      </c>
      <c r="T8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табеле]])*S827,0)</f>
        <v>2933.3333333333335</v>
      </c>
      <c r="U827" s="5">
        <f>IF(Таблица1[[#This Row],[ТТН]]&gt;0,Таблица1[[#This Row],[Ставка за ТТН]]*Таблица1[[#This Row],[ТТН]],0)</f>
        <v>0</v>
      </c>
    </row>
    <row r="828" spans="1:21" x14ac:dyDescent="0.25">
      <c r="A828" t="s">
        <v>84</v>
      </c>
      <c r="B828" s="24">
        <v>24</v>
      </c>
      <c r="C828" t="s">
        <v>124</v>
      </c>
      <c r="D828" t="s">
        <v>28</v>
      </c>
      <c r="E828" t="s">
        <v>214</v>
      </c>
      <c r="F828" t="s">
        <v>28</v>
      </c>
      <c r="H828" t="s">
        <v>10</v>
      </c>
      <c r="I828" t="s">
        <v>220</v>
      </c>
      <c r="J828">
        <v>11</v>
      </c>
      <c r="L828">
        <v>11</v>
      </c>
      <c r="N828">
        <f>Таблица1[[#This Row],[Часов на заказчика  в работе]]+Таблица1[[#This Row],[Часов на заказчика  дежурство]]</f>
        <v>11</v>
      </c>
      <c r="O8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8" s="9">
        <v>88000</v>
      </c>
      <c r="R828" s="9"/>
      <c r="S828" s="5">
        <v>1</v>
      </c>
      <c r="T8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табеле]])*S828,0)</f>
        <v>2933.3333333333335</v>
      </c>
      <c r="U828" s="5">
        <f>IF(Таблица1[[#This Row],[ТТН]]&gt;0,Таблица1[[#This Row],[Ставка за ТТН]]*Таблица1[[#This Row],[ТТН]],0)</f>
        <v>0</v>
      </c>
    </row>
    <row r="829" spans="1:21" x14ac:dyDescent="0.25">
      <c r="A829" t="s">
        <v>84</v>
      </c>
      <c r="B829" s="24">
        <v>25</v>
      </c>
      <c r="C829" t="s">
        <v>124</v>
      </c>
      <c r="D829" t="s">
        <v>28</v>
      </c>
      <c r="E829" t="s">
        <v>214</v>
      </c>
      <c r="F829" t="s">
        <v>28</v>
      </c>
      <c r="H829" t="s">
        <v>10</v>
      </c>
      <c r="I829" t="s">
        <v>220</v>
      </c>
      <c r="J829">
        <v>11</v>
      </c>
      <c r="L829">
        <v>11</v>
      </c>
      <c r="N829">
        <f>Таблица1[[#This Row],[Часов на заказчика  в работе]]+Таблица1[[#This Row],[Часов на заказчика  дежурство]]</f>
        <v>11</v>
      </c>
      <c r="O8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29" s="9">
        <v>88000</v>
      </c>
      <c r="R829" s="9"/>
      <c r="S829" s="5">
        <v>1</v>
      </c>
      <c r="T8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табеле]])*S829,0)</f>
        <v>2933.3333333333335</v>
      </c>
      <c r="U829" s="5">
        <f>IF(Таблица1[[#This Row],[ТТН]]&gt;0,Таблица1[[#This Row],[Ставка за ТТН]]*Таблица1[[#This Row],[ТТН]],0)</f>
        <v>0</v>
      </c>
    </row>
    <row r="830" spans="1:21" x14ac:dyDescent="0.25">
      <c r="A830" t="s">
        <v>84</v>
      </c>
      <c r="B830" s="24">
        <v>26</v>
      </c>
      <c r="C830" t="s">
        <v>124</v>
      </c>
      <c r="D830" t="s">
        <v>28</v>
      </c>
      <c r="E830" t="s">
        <v>214</v>
      </c>
      <c r="F830" t="s">
        <v>28</v>
      </c>
      <c r="H830" t="s">
        <v>10</v>
      </c>
      <c r="I830" t="s">
        <v>220</v>
      </c>
      <c r="J830">
        <v>11</v>
      </c>
      <c r="L830">
        <v>11</v>
      </c>
      <c r="N830">
        <f>Таблица1[[#This Row],[Часов на заказчика  в работе]]+Таблица1[[#This Row],[Часов на заказчика  дежурство]]</f>
        <v>11</v>
      </c>
      <c r="O8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0" s="9">
        <v>88000</v>
      </c>
      <c r="R830" s="9"/>
      <c r="S830" s="5">
        <v>1</v>
      </c>
      <c r="T8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табеле]])*S830,0)</f>
        <v>2933.3333333333335</v>
      </c>
      <c r="U830" s="5">
        <f>IF(Таблица1[[#This Row],[ТТН]]&gt;0,Таблица1[[#This Row],[Ставка за ТТН]]*Таблица1[[#This Row],[ТТН]],0)</f>
        <v>0</v>
      </c>
    </row>
    <row r="831" spans="1:21" x14ac:dyDescent="0.25">
      <c r="A831" t="s">
        <v>84</v>
      </c>
      <c r="B831" s="24">
        <v>27</v>
      </c>
      <c r="C831" t="s">
        <v>124</v>
      </c>
      <c r="D831" t="s">
        <v>28</v>
      </c>
      <c r="E831" t="s">
        <v>214</v>
      </c>
      <c r="F831" t="s">
        <v>28</v>
      </c>
      <c r="H831" t="s">
        <v>10</v>
      </c>
      <c r="I831" t="s">
        <v>220</v>
      </c>
      <c r="J831">
        <v>11</v>
      </c>
      <c r="L831">
        <v>11</v>
      </c>
      <c r="N831">
        <f>Таблица1[[#This Row],[Часов на заказчика  в работе]]+Таблица1[[#This Row],[Часов на заказчика  дежурство]]</f>
        <v>11</v>
      </c>
      <c r="O8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1" s="9">
        <v>88000</v>
      </c>
      <c r="R831" s="9"/>
      <c r="S831" s="5">
        <v>1</v>
      </c>
      <c r="T8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табеле]])*S831,0)</f>
        <v>2933.3333333333335</v>
      </c>
      <c r="U831" s="5">
        <f>IF(Таблица1[[#This Row],[ТТН]]&gt;0,Таблица1[[#This Row],[Ставка за ТТН]]*Таблица1[[#This Row],[ТТН]],0)</f>
        <v>0</v>
      </c>
    </row>
    <row r="832" spans="1:21" x14ac:dyDescent="0.25">
      <c r="A832" t="s">
        <v>84</v>
      </c>
      <c r="B832" s="24">
        <v>28</v>
      </c>
      <c r="C832" t="s">
        <v>124</v>
      </c>
      <c r="D832" t="s">
        <v>28</v>
      </c>
      <c r="E832" t="s">
        <v>214</v>
      </c>
      <c r="F832" t="s">
        <v>28</v>
      </c>
      <c r="H832" t="s">
        <v>10</v>
      </c>
      <c r="I832" t="s">
        <v>220</v>
      </c>
      <c r="J832">
        <v>11</v>
      </c>
      <c r="L832">
        <v>11</v>
      </c>
      <c r="N832">
        <f>Таблица1[[#This Row],[Часов на заказчика  в работе]]+Таблица1[[#This Row],[Часов на заказчика  дежурство]]</f>
        <v>11</v>
      </c>
      <c r="O8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2" s="9">
        <v>88000</v>
      </c>
      <c r="R832" s="9"/>
      <c r="S832" s="5">
        <v>1</v>
      </c>
      <c r="T8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табеле]])*S832,0)</f>
        <v>2933.3333333333335</v>
      </c>
      <c r="U832" s="5">
        <f>IF(Таблица1[[#This Row],[ТТН]]&gt;0,Таблица1[[#This Row],[Ставка за ТТН]]*Таблица1[[#This Row],[ТТН]],0)</f>
        <v>0</v>
      </c>
    </row>
    <row r="833" spans="1:21" x14ac:dyDescent="0.25">
      <c r="A833" t="s">
        <v>84</v>
      </c>
      <c r="B833" s="24">
        <v>29</v>
      </c>
      <c r="C833" t="s">
        <v>124</v>
      </c>
      <c r="D833" t="s">
        <v>28</v>
      </c>
      <c r="E833" t="s">
        <v>214</v>
      </c>
      <c r="F833" t="s">
        <v>28</v>
      </c>
      <c r="H833" t="s">
        <v>10</v>
      </c>
      <c r="I833" t="s">
        <v>220</v>
      </c>
      <c r="J833">
        <v>11</v>
      </c>
      <c r="L833">
        <v>11</v>
      </c>
      <c r="N833">
        <f>Таблица1[[#This Row],[Часов на заказчика  в работе]]+Таблица1[[#This Row],[Часов на заказчика  дежурство]]</f>
        <v>11</v>
      </c>
      <c r="O8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3" s="9">
        <v>88000</v>
      </c>
      <c r="R833" s="9"/>
      <c r="S833" s="5">
        <v>1</v>
      </c>
      <c r="T8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табеле]])*S833,0)</f>
        <v>2933.3333333333335</v>
      </c>
      <c r="U833" s="5">
        <f>IF(Таблица1[[#This Row],[ТТН]]&gt;0,Таблица1[[#This Row],[Ставка за ТТН]]*Таблица1[[#This Row],[ТТН]],0)</f>
        <v>0</v>
      </c>
    </row>
    <row r="834" spans="1:21" x14ac:dyDescent="0.25">
      <c r="A834" t="s">
        <v>84</v>
      </c>
      <c r="B834" s="24">
        <v>30</v>
      </c>
      <c r="C834" t="s">
        <v>125</v>
      </c>
      <c r="D834" t="s">
        <v>28</v>
      </c>
      <c r="E834" t="s">
        <v>214</v>
      </c>
      <c r="F834" t="s">
        <v>28</v>
      </c>
      <c r="H834" t="s">
        <v>10</v>
      </c>
      <c r="I834" t="s">
        <v>220</v>
      </c>
      <c r="J834">
        <v>11</v>
      </c>
      <c r="L834">
        <v>11</v>
      </c>
      <c r="N834">
        <f>Таблица1[[#This Row],[Часов на заказчика  в работе]]+Таблица1[[#This Row],[Часов на заказчика  дежурство]]</f>
        <v>11</v>
      </c>
      <c r="O8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4" s="9">
        <v>88000</v>
      </c>
      <c r="R834" s="9"/>
      <c r="S834" s="5">
        <v>1</v>
      </c>
      <c r="T8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табеле]])*S834,0)</f>
        <v>2933.3333333333335</v>
      </c>
      <c r="U834" s="5">
        <f>IF(Таблица1[[#This Row],[ТТН]]&gt;0,Таблица1[[#This Row],[Ставка за ТТН]]*Таблица1[[#This Row],[ТТН]],0)</f>
        <v>0</v>
      </c>
    </row>
    <row r="835" spans="1:21" x14ac:dyDescent="0.25">
      <c r="A835" t="s">
        <v>84</v>
      </c>
      <c r="B835" s="24">
        <v>1</v>
      </c>
      <c r="C835" t="s">
        <v>125</v>
      </c>
      <c r="D835" t="s">
        <v>33</v>
      </c>
      <c r="E835" t="s">
        <v>214</v>
      </c>
      <c r="F835" t="s">
        <v>33</v>
      </c>
      <c r="H835" t="s">
        <v>10</v>
      </c>
      <c r="I835" t="s">
        <v>217</v>
      </c>
      <c r="J835">
        <v>11</v>
      </c>
      <c r="N835">
        <f>Таблица1[[#This Row],[Часов на заказчика  в работе]]+Таблица1[[#This Row],[Часов на заказчика  дежурство]]</f>
        <v>0</v>
      </c>
      <c r="O8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5" s="9"/>
      <c r="R835" s="9"/>
      <c r="S835" s="5">
        <v>1</v>
      </c>
      <c r="T8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табеле]])*S835,0)</f>
        <v>0</v>
      </c>
      <c r="U835" s="5">
        <f>IF(Таблица1[[#This Row],[ТТН]]&gt;0,Таблица1[[#This Row],[Ставка за ТТН]]*Таблица1[[#This Row],[ТТН]],0)</f>
        <v>0</v>
      </c>
    </row>
    <row r="836" spans="1:21" x14ac:dyDescent="0.25">
      <c r="A836" t="s">
        <v>84</v>
      </c>
      <c r="B836" s="24">
        <v>2</v>
      </c>
      <c r="C836" t="s">
        <v>125</v>
      </c>
      <c r="D836" t="s">
        <v>33</v>
      </c>
      <c r="E836" t="s">
        <v>214</v>
      </c>
      <c r="F836" t="s">
        <v>33</v>
      </c>
      <c r="H836" t="s">
        <v>10</v>
      </c>
      <c r="I836" t="s">
        <v>217</v>
      </c>
      <c r="J836">
        <v>11</v>
      </c>
      <c r="N836">
        <f>Таблица1[[#This Row],[Часов на заказчика  в работе]]+Таблица1[[#This Row],[Часов на заказчика  дежурство]]</f>
        <v>0</v>
      </c>
      <c r="O8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6" s="9"/>
      <c r="R836" s="9"/>
      <c r="S836" s="5">
        <v>1</v>
      </c>
      <c r="T8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табеле]])*S836,0)</f>
        <v>0</v>
      </c>
      <c r="U836" s="5">
        <f>IF(Таблица1[[#This Row],[ТТН]]&gt;0,Таблица1[[#This Row],[Ставка за ТТН]]*Таблица1[[#This Row],[ТТН]],0)</f>
        <v>0</v>
      </c>
    </row>
    <row r="837" spans="1:21" x14ac:dyDescent="0.25">
      <c r="A837" t="s">
        <v>84</v>
      </c>
      <c r="B837" s="24">
        <v>3</v>
      </c>
      <c r="C837" t="s">
        <v>125</v>
      </c>
      <c r="D837" t="s">
        <v>33</v>
      </c>
      <c r="E837" t="s">
        <v>214</v>
      </c>
      <c r="F837" t="s">
        <v>33</v>
      </c>
      <c r="H837" t="s">
        <v>10</v>
      </c>
      <c r="I837" t="s">
        <v>217</v>
      </c>
      <c r="J837">
        <v>11</v>
      </c>
      <c r="N837">
        <f>Таблица1[[#This Row],[Часов на заказчика  в работе]]+Таблица1[[#This Row],[Часов на заказчика  дежурство]]</f>
        <v>0</v>
      </c>
      <c r="O8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7" s="9"/>
      <c r="R837" s="9"/>
      <c r="S837" s="5">
        <v>1</v>
      </c>
      <c r="T8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табеле]])*S837,0)</f>
        <v>0</v>
      </c>
      <c r="U837" s="5">
        <f>IF(Таблица1[[#This Row],[ТТН]]&gt;0,Таблица1[[#This Row],[Ставка за ТТН]]*Таблица1[[#This Row],[ТТН]],0)</f>
        <v>0</v>
      </c>
    </row>
    <row r="838" spans="1:21" x14ac:dyDescent="0.25">
      <c r="A838" t="s">
        <v>84</v>
      </c>
      <c r="B838" s="24">
        <v>4</v>
      </c>
      <c r="C838" t="s">
        <v>125</v>
      </c>
      <c r="D838" t="s">
        <v>33</v>
      </c>
      <c r="E838" t="s">
        <v>214</v>
      </c>
      <c r="F838" t="s">
        <v>33</v>
      </c>
      <c r="H838" t="s">
        <v>10</v>
      </c>
      <c r="I838" t="s">
        <v>217</v>
      </c>
      <c r="J838">
        <v>11</v>
      </c>
      <c r="N838">
        <f>Таблица1[[#This Row],[Часов на заказчика  в работе]]+Таблица1[[#This Row],[Часов на заказчика  дежурство]]</f>
        <v>0</v>
      </c>
      <c r="O8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8" s="9"/>
      <c r="R838" s="9"/>
      <c r="S838" s="5">
        <v>1</v>
      </c>
      <c r="T8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табеле]])*S838,0)</f>
        <v>0</v>
      </c>
      <c r="U838" s="5">
        <f>IF(Таблица1[[#This Row],[ТТН]]&gt;0,Таблица1[[#This Row],[Ставка за ТТН]]*Таблица1[[#This Row],[ТТН]],0)</f>
        <v>0</v>
      </c>
    </row>
    <row r="839" spans="1:21" x14ac:dyDescent="0.25">
      <c r="A839" t="s">
        <v>84</v>
      </c>
      <c r="B839" s="24">
        <v>5</v>
      </c>
      <c r="C839" t="s">
        <v>125</v>
      </c>
      <c r="D839" t="s">
        <v>33</v>
      </c>
      <c r="E839" t="s">
        <v>214</v>
      </c>
      <c r="F839" t="s">
        <v>33</v>
      </c>
      <c r="H839" t="s">
        <v>10</v>
      </c>
      <c r="I839" t="s">
        <v>217</v>
      </c>
      <c r="J839">
        <v>11</v>
      </c>
      <c r="N839">
        <f>Таблица1[[#This Row],[Часов на заказчика  в работе]]+Таблица1[[#This Row],[Часов на заказчика  дежурство]]</f>
        <v>0</v>
      </c>
      <c r="O8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39" s="9"/>
      <c r="R839" s="9"/>
      <c r="S839" s="5">
        <v>1</v>
      </c>
      <c r="T8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табеле]])*S839,0)</f>
        <v>0</v>
      </c>
      <c r="U839" s="5">
        <f>IF(Таблица1[[#This Row],[ТТН]]&gt;0,Таблица1[[#This Row],[Ставка за ТТН]]*Таблица1[[#This Row],[ТТН]],0)</f>
        <v>0</v>
      </c>
    </row>
    <row r="840" spans="1:21" x14ac:dyDescent="0.25">
      <c r="A840" t="s">
        <v>84</v>
      </c>
      <c r="B840" s="24">
        <v>6</v>
      </c>
      <c r="C840" t="s">
        <v>125</v>
      </c>
      <c r="D840" t="s">
        <v>33</v>
      </c>
      <c r="E840" t="s">
        <v>214</v>
      </c>
      <c r="F840" t="s">
        <v>33</v>
      </c>
      <c r="H840" t="s">
        <v>10</v>
      </c>
      <c r="I840" t="s">
        <v>217</v>
      </c>
      <c r="J840">
        <v>11</v>
      </c>
      <c r="N840">
        <f>Таблица1[[#This Row],[Часов на заказчика  в работе]]+Таблица1[[#This Row],[Часов на заказчика  дежурство]]</f>
        <v>0</v>
      </c>
      <c r="O8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0" s="9"/>
      <c r="R840" s="9"/>
      <c r="S840" s="5">
        <v>1</v>
      </c>
      <c r="T8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табеле]])*S840,0)</f>
        <v>0</v>
      </c>
      <c r="U840" s="5">
        <f>IF(Таблица1[[#This Row],[ТТН]]&gt;0,Таблица1[[#This Row],[Ставка за ТТН]]*Таблица1[[#This Row],[ТТН]],0)</f>
        <v>0</v>
      </c>
    </row>
    <row r="841" spans="1:21" x14ac:dyDescent="0.25">
      <c r="A841" t="s">
        <v>84</v>
      </c>
      <c r="B841" s="24">
        <v>7</v>
      </c>
      <c r="C841" t="s">
        <v>125</v>
      </c>
      <c r="D841" t="s">
        <v>33</v>
      </c>
      <c r="E841" t="s">
        <v>214</v>
      </c>
      <c r="F841" t="s">
        <v>33</v>
      </c>
      <c r="H841" t="s">
        <v>10</v>
      </c>
      <c r="I841" t="s">
        <v>217</v>
      </c>
      <c r="J841">
        <v>11</v>
      </c>
      <c r="N841">
        <f>Таблица1[[#This Row],[Часов на заказчика  в работе]]+Таблица1[[#This Row],[Часов на заказчика  дежурство]]</f>
        <v>0</v>
      </c>
      <c r="O8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1" s="9"/>
      <c r="R841" s="9"/>
      <c r="S841" s="5">
        <v>1</v>
      </c>
      <c r="T8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табеле]])*S841,0)</f>
        <v>0</v>
      </c>
      <c r="U841" s="5">
        <f>IF(Таблица1[[#This Row],[ТТН]]&gt;0,Таблица1[[#This Row],[Ставка за ТТН]]*Таблица1[[#This Row],[ТТН]],0)</f>
        <v>0</v>
      </c>
    </row>
    <row r="842" spans="1:21" x14ac:dyDescent="0.25">
      <c r="A842" t="s">
        <v>84</v>
      </c>
      <c r="B842" s="24">
        <v>8</v>
      </c>
      <c r="C842" t="s">
        <v>125</v>
      </c>
      <c r="D842" t="s">
        <v>33</v>
      </c>
      <c r="E842" t="s">
        <v>214</v>
      </c>
      <c r="F842" t="s">
        <v>33</v>
      </c>
      <c r="H842" t="s">
        <v>10</v>
      </c>
      <c r="I842" t="s">
        <v>217</v>
      </c>
      <c r="J842">
        <v>11</v>
      </c>
      <c r="N842">
        <f>Таблица1[[#This Row],[Часов на заказчика  в работе]]+Таблица1[[#This Row],[Часов на заказчика  дежурство]]</f>
        <v>0</v>
      </c>
      <c r="O8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2" s="9"/>
      <c r="R842" s="9"/>
      <c r="S842" s="5">
        <v>1</v>
      </c>
      <c r="T8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табеле]])*S842,0)</f>
        <v>0</v>
      </c>
      <c r="U842" s="5">
        <f>IF(Таблица1[[#This Row],[ТТН]]&gt;0,Таблица1[[#This Row],[Ставка за ТТН]]*Таблица1[[#This Row],[ТТН]],0)</f>
        <v>0</v>
      </c>
    </row>
    <row r="843" spans="1:21" x14ac:dyDescent="0.25">
      <c r="A843" t="s">
        <v>84</v>
      </c>
      <c r="B843" s="24">
        <v>9</v>
      </c>
      <c r="C843" t="s">
        <v>125</v>
      </c>
      <c r="D843" t="s">
        <v>33</v>
      </c>
      <c r="E843" t="s">
        <v>214</v>
      </c>
      <c r="F843" t="s">
        <v>33</v>
      </c>
      <c r="H843" t="s">
        <v>10</v>
      </c>
      <c r="I843" t="s">
        <v>217</v>
      </c>
      <c r="J843">
        <v>11</v>
      </c>
      <c r="N843">
        <f>Таблица1[[#This Row],[Часов на заказчика  в работе]]+Таблица1[[#This Row],[Часов на заказчика  дежурство]]</f>
        <v>0</v>
      </c>
      <c r="O8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3" s="9"/>
      <c r="R843" s="9"/>
      <c r="S843" s="5">
        <v>1</v>
      </c>
      <c r="T8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табеле]])*S843,0)</f>
        <v>0</v>
      </c>
      <c r="U843" s="5">
        <f>IF(Таблица1[[#This Row],[ТТН]]&gt;0,Таблица1[[#This Row],[Ставка за ТТН]]*Таблица1[[#This Row],[ТТН]],0)</f>
        <v>0</v>
      </c>
    </row>
    <row r="844" spans="1:21" x14ac:dyDescent="0.25">
      <c r="A844" t="s">
        <v>84</v>
      </c>
      <c r="B844" s="24">
        <v>10</v>
      </c>
      <c r="C844" t="s">
        <v>125</v>
      </c>
      <c r="D844" t="s">
        <v>33</v>
      </c>
      <c r="E844" t="s">
        <v>214</v>
      </c>
      <c r="F844" t="s">
        <v>33</v>
      </c>
      <c r="H844" t="s">
        <v>10</v>
      </c>
      <c r="I844" t="s">
        <v>217</v>
      </c>
      <c r="J844">
        <v>11</v>
      </c>
      <c r="N844">
        <f>Таблица1[[#This Row],[Часов на заказчика  в работе]]+Таблица1[[#This Row],[Часов на заказчика  дежурство]]</f>
        <v>0</v>
      </c>
      <c r="O8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4" s="9"/>
      <c r="R844" s="9"/>
      <c r="S844" s="5">
        <v>1</v>
      </c>
      <c r="T8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табеле]])*S844,0)</f>
        <v>0</v>
      </c>
      <c r="U844" s="5">
        <f>IF(Таблица1[[#This Row],[ТТН]]&gt;0,Таблица1[[#This Row],[Ставка за ТТН]]*Таблица1[[#This Row],[ТТН]],0)</f>
        <v>0</v>
      </c>
    </row>
    <row r="845" spans="1:21" x14ac:dyDescent="0.25">
      <c r="A845" t="s">
        <v>84</v>
      </c>
      <c r="B845" s="24">
        <v>11</v>
      </c>
      <c r="C845" t="s">
        <v>125</v>
      </c>
      <c r="D845" t="s">
        <v>33</v>
      </c>
      <c r="E845" t="s">
        <v>214</v>
      </c>
      <c r="F845" t="s">
        <v>33</v>
      </c>
      <c r="H845" t="s">
        <v>10</v>
      </c>
      <c r="I845" t="s">
        <v>217</v>
      </c>
      <c r="J845">
        <v>11</v>
      </c>
      <c r="N845">
        <f>Таблица1[[#This Row],[Часов на заказчика  в работе]]+Таблица1[[#This Row],[Часов на заказчика  дежурство]]</f>
        <v>0</v>
      </c>
      <c r="O8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5" s="9"/>
      <c r="R845" s="9"/>
      <c r="S845" s="5">
        <v>1</v>
      </c>
      <c r="T8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табеле]])*S845,0)</f>
        <v>0</v>
      </c>
      <c r="U845" s="5">
        <f>IF(Таблица1[[#This Row],[ТТН]]&gt;0,Таблица1[[#This Row],[Ставка за ТТН]]*Таблица1[[#This Row],[ТТН]],0)</f>
        <v>0</v>
      </c>
    </row>
    <row r="846" spans="1:21" x14ac:dyDescent="0.25">
      <c r="A846" t="s">
        <v>84</v>
      </c>
      <c r="B846" s="24">
        <v>12</v>
      </c>
      <c r="C846" t="s">
        <v>125</v>
      </c>
      <c r="D846" t="s">
        <v>33</v>
      </c>
      <c r="E846" t="s">
        <v>214</v>
      </c>
      <c r="F846" t="s">
        <v>33</v>
      </c>
      <c r="H846" t="s">
        <v>10</v>
      </c>
      <c r="I846" t="s">
        <v>217</v>
      </c>
      <c r="J846">
        <v>11</v>
      </c>
      <c r="N846">
        <f>Таблица1[[#This Row],[Часов на заказчика  в работе]]+Таблица1[[#This Row],[Часов на заказчика  дежурство]]</f>
        <v>0</v>
      </c>
      <c r="O8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6" s="9"/>
      <c r="R846" s="9"/>
      <c r="S846" s="5">
        <v>1</v>
      </c>
      <c r="T8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табеле]])*S846,0)</f>
        <v>0</v>
      </c>
      <c r="U846" s="5">
        <f>IF(Таблица1[[#This Row],[ТТН]]&gt;0,Таблица1[[#This Row],[Ставка за ТТН]]*Таблица1[[#This Row],[ТТН]],0)</f>
        <v>0</v>
      </c>
    </row>
    <row r="847" spans="1:21" x14ac:dyDescent="0.25">
      <c r="A847" t="s">
        <v>84</v>
      </c>
      <c r="B847" s="24">
        <v>13</v>
      </c>
      <c r="C847" t="s">
        <v>125</v>
      </c>
      <c r="D847" t="s">
        <v>33</v>
      </c>
      <c r="E847" t="s">
        <v>214</v>
      </c>
      <c r="F847" t="s">
        <v>33</v>
      </c>
      <c r="H847" t="s">
        <v>10</v>
      </c>
      <c r="I847" t="s">
        <v>217</v>
      </c>
      <c r="J847">
        <v>11</v>
      </c>
      <c r="N847">
        <f>Таблица1[[#This Row],[Часов на заказчика  в работе]]+Таблица1[[#This Row],[Часов на заказчика  дежурство]]</f>
        <v>0</v>
      </c>
      <c r="O8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7" s="9"/>
      <c r="R847" s="9"/>
      <c r="S847" s="5">
        <v>1</v>
      </c>
      <c r="T8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табеле]])*S847,0)</f>
        <v>0</v>
      </c>
      <c r="U847" s="5">
        <f>IF(Таблица1[[#This Row],[ТТН]]&gt;0,Таблица1[[#This Row],[Ставка за ТТН]]*Таблица1[[#This Row],[ТТН]],0)</f>
        <v>0</v>
      </c>
    </row>
    <row r="848" spans="1:21" x14ac:dyDescent="0.25">
      <c r="A848" t="s">
        <v>84</v>
      </c>
      <c r="B848" s="24">
        <v>14</v>
      </c>
      <c r="C848" t="s">
        <v>125</v>
      </c>
      <c r="D848" t="s">
        <v>33</v>
      </c>
      <c r="E848" t="s">
        <v>214</v>
      </c>
      <c r="F848" t="s">
        <v>33</v>
      </c>
      <c r="H848" t="s">
        <v>10</v>
      </c>
      <c r="I848" t="s">
        <v>217</v>
      </c>
      <c r="J848">
        <v>11</v>
      </c>
      <c r="N848">
        <f>Таблица1[[#This Row],[Часов на заказчика  в работе]]+Таблица1[[#This Row],[Часов на заказчика  дежурство]]</f>
        <v>0</v>
      </c>
      <c r="O8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8" s="9"/>
      <c r="R848" s="9"/>
      <c r="S848" s="5">
        <v>1</v>
      </c>
      <c r="T8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табеле]])*S848,0)</f>
        <v>0</v>
      </c>
      <c r="U848" s="5">
        <f>IF(Таблица1[[#This Row],[ТТН]]&gt;0,Таблица1[[#This Row],[Ставка за ТТН]]*Таблица1[[#This Row],[ТТН]],0)</f>
        <v>0</v>
      </c>
    </row>
    <row r="849" spans="1:21" x14ac:dyDescent="0.25">
      <c r="A849" t="s">
        <v>84</v>
      </c>
      <c r="B849" s="24">
        <v>15</v>
      </c>
      <c r="C849" t="s">
        <v>125</v>
      </c>
      <c r="D849" t="s">
        <v>33</v>
      </c>
      <c r="E849" t="s">
        <v>214</v>
      </c>
      <c r="F849" t="s">
        <v>33</v>
      </c>
      <c r="H849" t="s">
        <v>10</v>
      </c>
      <c r="I849" t="s">
        <v>217</v>
      </c>
      <c r="J849">
        <v>11</v>
      </c>
      <c r="N849">
        <f>Таблица1[[#This Row],[Часов на заказчика  в работе]]+Таблица1[[#This Row],[Часов на заказчика  дежурство]]</f>
        <v>0</v>
      </c>
      <c r="O8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49" s="9"/>
      <c r="R849" s="9"/>
      <c r="S849" s="5">
        <v>1</v>
      </c>
      <c r="T8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табеле]])*S849,0)</f>
        <v>0</v>
      </c>
      <c r="U849" s="5">
        <f>IF(Таблица1[[#This Row],[ТТН]]&gt;0,Таблица1[[#This Row],[Ставка за ТТН]]*Таблица1[[#This Row],[ТТН]],0)</f>
        <v>0</v>
      </c>
    </row>
    <row r="850" spans="1:21" x14ac:dyDescent="0.25">
      <c r="A850" t="s">
        <v>84</v>
      </c>
      <c r="B850" s="24">
        <v>16</v>
      </c>
      <c r="C850" t="s">
        <v>125</v>
      </c>
      <c r="D850" t="s">
        <v>33</v>
      </c>
      <c r="E850" t="s">
        <v>214</v>
      </c>
      <c r="F850" t="s">
        <v>33</v>
      </c>
      <c r="H850" t="s">
        <v>10</v>
      </c>
      <c r="I850" t="s">
        <v>217</v>
      </c>
      <c r="J850">
        <v>11</v>
      </c>
      <c r="N850">
        <f>Таблица1[[#This Row],[Часов на заказчика  в работе]]+Таблица1[[#This Row],[Часов на заказчика  дежурство]]</f>
        <v>0</v>
      </c>
      <c r="O8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0" s="9"/>
      <c r="R850" s="9"/>
      <c r="S850" s="5">
        <v>1</v>
      </c>
      <c r="T8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табеле]])*S850,0)</f>
        <v>0</v>
      </c>
      <c r="U850" s="5">
        <f>IF(Таблица1[[#This Row],[ТТН]]&gt;0,Таблица1[[#This Row],[Ставка за ТТН]]*Таблица1[[#This Row],[ТТН]],0)</f>
        <v>0</v>
      </c>
    </row>
    <row r="851" spans="1:21" x14ac:dyDescent="0.25">
      <c r="A851" t="s">
        <v>84</v>
      </c>
      <c r="B851" s="24">
        <v>17</v>
      </c>
      <c r="C851" t="s">
        <v>125</v>
      </c>
      <c r="D851" t="s">
        <v>33</v>
      </c>
      <c r="E851" t="s">
        <v>214</v>
      </c>
      <c r="F851" t="s">
        <v>33</v>
      </c>
      <c r="H851" t="s">
        <v>10</v>
      </c>
      <c r="I851" t="s">
        <v>217</v>
      </c>
      <c r="J851">
        <v>11</v>
      </c>
      <c r="N851">
        <f>Таблица1[[#This Row],[Часов на заказчика  в работе]]+Таблица1[[#This Row],[Часов на заказчика  дежурство]]</f>
        <v>0</v>
      </c>
      <c r="O8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1" s="9"/>
      <c r="R851" s="9"/>
      <c r="S851" s="5">
        <v>1</v>
      </c>
      <c r="T8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табеле]])*S851,0)</f>
        <v>0</v>
      </c>
      <c r="U851" s="5">
        <f>IF(Таблица1[[#This Row],[ТТН]]&gt;0,Таблица1[[#This Row],[Ставка за ТТН]]*Таблица1[[#This Row],[ТТН]],0)</f>
        <v>0</v>
      </c>
    </row>
    <row r="852" spans="1:21" x14ac:dyDescent="0.25">
      <c r="A852" t="s">
        <v>84</v>
      </c>
      <c r="B852" s="24">
        <v>18</v>
      </c>
      <c r="C852" t="s">
        <v>125</v>
      </c>
      <c r="D852" t="s">
        <v>33</v>
      </c>
      <c r="E852" t="s">
        <v>214</v>
      </c>
      <c r="F852" t="s">
        <v>33</v>
      </c>
      <c r="H852" t="s">
        <v>10</v>
      </c>
      <c r="I852" t="s">
        <v>217</v>
      </c>
      <c r="J852">
        <v>11</v>
      </c>
      <c r="N852">
        <f>Таблица1[[#This Row],[Часов на заказчика  в работе]]+Таблица1[[#This Row],[Часов на заказчика  дежурство]]</f>
        <v>0</v>
      </c>
      <c r="O8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2" s="9"/>
      <c r="R852" s="9"/>
      <c r="S852" s="5">
        <v>1</v>
      </c>
      <c r="T8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табеле]])*S852,0)</f>
        <v>0</v>
      </c>
      <c r="U852" s="5">
        <f>IF(Таблица1[[#This Row],[ТТН]]&gt;0,Таблица1[[#This Row],[Ставка за ТТН]]*Таблица1[[#This Row],[ТТН]],0)</f>
        <v>0</v>
      </c>
    </row>
    <row r="853" spans="1:21" x14ac:dyDescent="0.25">
      <c r="A853" t="s">
        <v>84</v>
      </c>
      <c r="B853" s="24">
        <v>19</v>
      </c>
      <c r="C853" t="s">
        <v>125</v>
      </c>
      <c r="D853" t="s">
        <v>33</v>
      </c>
      <c r="E853" t="s">
        <v>214</v>
      </c>
      <c r="F853" t="s">
        <v>33</v>
      </c>
      <c r="H853" t="s">
        <v>10</v>
      </c>
      <c r="I853" t="s">
        <v>217</v>
      </c>
      <c r="J853">
        <v>11</v>
      </c>
      <c r="N853">
        <f>Таблица1[[#This Row],[Часов на заказчика  в работе]]+Таблица1[[#This Row],[Часов на заказчика  дежурство]]</f>
        <v>0</v>
      </c>
      <c r="O8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3" s="9"/>
      <c r="R853" s="9"/>
      <c r="S853" s="5">
        <v>1</v>
      </c>
      <c r="T8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табеле]])*S853,0)</f>
        <v>0</v>
      </c>
      <c r="U853" s="5">
        <f>IF(Таблица1[[#This Row],[ТТН]]&gt;0,Таблица1[[#This Row],[Ставка за ТТН]]*Таблица1[[#This Row],[ТТН]],0)</f>
        <v>0</v>
      </c>
    </row>
    <row r="854" spans="1:21" x14ac:dyDescent="0.25">
      <c r="A854" t="s">
        <v>84</v>
      </c>
      <c r="B854" s="24">
        <v>20</v>
      </c>
      <c r="C854" t="s">
        <v>125</v>
      </c>
      <c r="D854" t="s">
        <v>33</v>
      </c>
      <c r="E854" t="s">
        <v>214</v>
      </c>
      <c r="F854" t="s">
        <v>33</v>
      </c>
      <c r="H854" t="s">
        <v>10</v>
      </c>
      <c r="I854" t="s">
        <v>217</v>
      </c>
      <c r="J854">
        <v>11</v>
      </c>
      <c r="N854">
        <f>Таблица1[[#This Row],[Часов на заказчика  в работе]]+Таблица1[[#This Row],[Часов на заказчика  дежурство]]</f>
        <v>0</v>
      </c>
      <c r="O8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4" s="9"/>
      <c r="R854" s="9"/>
      <c r="S854" s="5">
        <v>1</v>
      </c>
      <c r="T8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табеле]])*S854,0)</f>
        <v>0</v>
      </c>
      <c r="U854" s="5">
        <f>IF(Таблица1[[#This Row],[ТТН]]&gt;0,Таблица1[[#This Row],[Ставка за ТТН]]*Таблица1[[#This Row],[ТТН]],0)</f>
        <v>0</v>
      </c>
    </row>
    <row r="855" spans="1:21" x14ac:dyDescent="0.25">
      <c r="A855" t="s">
        <v>84</v>
      </c>
      <c r="B855" s="24">
        <v>21</v>
      </c>
      <c r="C855" t="s">
        <v>125</v>
      </c>
      <c r="D855" t="s">
        <v>33</v>
      </c>
      <c r="E855" t="s">
        <v>214</v>
      </c>
      <c r="F855" t="s">
        <v>33</v>
      </c>
      <c r="H855" t="s">
        <v>10</v>
      </c>
      <c r="I855" t="s">
        <v>217</v>
      </c>
      <c r="J855">
        <v>11</v>
      </c>
      <c r="N855">
        <f>Таблица1[[#This Row],[Часов на заказчика  в работе]]+Таблица1[[#This Row],[Часов на заказчика  дежурство]]</f>
        <v>0</v>
      </c>
      <c r="O8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5" s="9"/>
      <c r="R855" s="9"/>
      <c r="S855" s="5">
        <v>1</v>
      </c>
      <c r="T8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табеле]])*S855,0)</f>
        <v>0</v>
      </c>
      <c r="U855" s="5">
        <f>IF(Таблица1[[#This Row],[ТТН]]&gt;0,Таблица1[[#This Row],[Ставка за ТТН]]*Таблица1[[#This Row],[ТТН]],0)</f>
        <v>0</v>
      </c>
    </row>
    <row r="856" spans="1:21" x14ac:dyDescent="0.25">
      <c r="A856" t="s">
        <v>84</v>
      </c>
      <c r="B856" s="24">
        <v>22</v>
      </c>
      <c r="C856" t="s">
        <v>125</v>
      </c>
      <c r="D856" t="s">
        <v>33</v>
      </c>
      <c r="E856" t="s">
        <v>214</v>
      </c>
      <c r="F856" t="s">
        <v>33</v>
      </c>
      <c r="H856" t="s">
        <v>10</v>
      </c>
      <c r="I856" t="s">
        <v>217</v>
      </c>
      <c r="J856">
        <v>11</v>
      </c>
      <c r="N856">
        <f>Таблица1[[#This Row],[Часов на заказчика  в работе]]+Таблица1[[#This Row],[Часов на заказчика  дежурство]]</f>
        <v>0</v>
      </c>
      <c r="O8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6" s="9"/>
      <c r="R856" s="9"/>
      <c r="S856" s="5">
        <v>1</v>
      </c>
      <c r="T8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табеле]])*S856,0)</f>
        <v>0</v>
      </c>
      <c r="U856" s="5">
        <f>IF(Таблица1[[#This Row],[ТТН]]&gt;0,Таблица1[[#This Row],[Ставка за ТТН]]*Таблица1[[#This Row],[ТТН]],0)</f>
        <v>0</v>
      </c>
    </row>
    <row r="857" spans="1:21" x14ac:dyDescent="0.25">
      <c r="A857" t="s">
        <v>84</v>
      </c>
      <c r="B857" s="24">
        <v>23</v>
      </c>
      <c r="C857" t="s">
        <v>125</v>
      </c>
      <c r="D857" t="s">
        <v>33</v>
      </c>
      <c r="E857" t="s">
        <v>214</v>
      </c>
      <c r="F857" t="s">
        <v>33</v>
      </c>
      <c r="H857" t="s">
        <v>10</v>
      </c>
      <c r="I857" t="s">
        <v>217</v>
      </c>
      <c r="J857">
        <v>11</v>
      </c>
      <c r="N857">
        <f>Таблица1[[#This Row],[Часов на заказчика  в работе]]+Таблица1[[#This Row],[Часов на заказчика  дежурство]]</f>
        <v>0</v>
      </c>
      <c r="O8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7" s="9"/>
      <c r="R857" s="9"/>
      <c r="S857" s="5">
        <v>1</v>
      </c>
      <c r="T8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табеле]])*S857,0)</f>
        <v>0</v>
      </c>
      <c r="U857" s="5">
        <f>IF(Таблица1[[#This Row],[ТТН]]&gt;0,Таблица1[[#This Row],[Ставка за ТТН]]*Таблица1[[#This Row],[ТТН]],0)</f>
        <v>0</v>
      </c>
    </row>
    <row r="858" spans="1:21" x14ac:dyDescent="0.25">
      <c r="A858" t="s">
        <v>84</v>
      </c>
      <c r="B858" s="24">
        <v>24</v>
      </c>
      <c r="C858" t="s">
        <v>125</v>
      </c>
      <c r="D858" t="s">
        <v>33</v>
      </c>
      <c r="E858" t="s">
        <v>214</v>
      </c>
      <c r="F858" t="s">
        <v>33</v>
      </c>
      <c r="H858" t="s">
        <v>10</v>
      </c>
      <c r="I858" t="s">
        <v>217</v>
      </c>
      <c r="J858">
        <v>11</v>
      </c>
      <c r="N858">
        <f>Таблица1[[#This Row],[Часов на заказчика  в работе]]+Таблица1[[#This Row],[Часов на заказчика  дежурство]]</f>
        <v>0</v>
      </c>
      <c r="O8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8" s="9"/>
      <c r="R858" s="9"/>
      <c r="S858" s="5">
        <v>1</v>
      </c>
      <c r="T8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табеле]])*S858,0)</f>
        <v>0</v>
      </c>
      <c r="U858" s="5">
        <f>IF(Таблица1[[#This Row],[ТТН]]&gt;0,Таблица1[[#This Row],[Ставка за ТТН]]*Таблица1[[#This Row],[ТТН]],0)</f>
        <v>0</v>
      </c>
    </row>
    <row r="859" spans="1:21" x14ac:dyDescent="0.25">
      <c r="A859" t="s">
        <v>84</v>
      </c>
      <c r="B859" s="24">
        <v>25</v>
      </c>
      <c r="C859" t="s">
        <v>125</v>
      </c>
      <c r="D859" t="s">
        <v>33</v>
      </c>
      <c r="E859" t="s">
        <v>214</v>
      </c>
      <c r="F859" t="s">
        <v>33</v>
      </c>
      <c r="H859" t="s">
        <v>10</v>
      </c>
      <c r="I859" t="s">
        <v>217</v>
      </c>
      <c r="J859">
        <v>11</v>
      </c>
      <c r="N859">
        <f>Таблица1[[#This Row],[Часов на заказчика  в работе]]+Таблица1[[#This Row],[Часов на заказчика  дежурство]]</f>
        <v>0</v>
      </c>
      <c r="O8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59" s="9"/>
      <c r="R859" s="9"/>
      <c r="S859" s="5">
        <v>1</v>
      </c>
      <c r="T8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табеле]])*S859,0)</f>
        <v>0</v>
      </c>
      <c r="U859" s="5">
        <f>IF(Таблица1[[#This Row],[ТТН]]&gt;0,Таблица1[[#This Row],[Ставка за ТТН]]*Таблица1[[#This Row],[ТТН]],0)</f>
        <v>0</v>
      </c>
    </row>
    <row r="860" spans="1:21" x14ac:dyDescent="0.25">
      <c r="A860" t="s">
        <v>84</v>
      </c>
      <c r="B860" s="24">
        <v>26</v>
      </c>
      <c r="C860" t="s">
        <v>125</v>
      </c>
      <c r="D860" t="s">
        <v>33</v>
      </c>
      <c r="E860" t="s">
        <v>214</v>
      </c>
      <c r="F860" t="s">
        <v>33</v>
      </c>
      <c r="H860" t="s">
        <v>10</v>
      </c>
      <c r="I860" t="s">
        <v>217</v>
      </c>
      <c r="J860">
        <v>11</v>
      </c>
      <c r="N860">
        <f>Таблица1[[#This Row],[Часов на заказчика  в работе]]+Таблица1[[#This Row],[Часов на заказчика  дежурство]]</f>
        <v>0</v>
      </c>
      <c r="O8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0" s="9"/>
      <c r="R860" s="9"/>
      <c r="S860" s="5">
        <v>1</v>
      </c>
      <c r="T8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табеле]])*S860,0)</f>
        <v>0</v>
      </c>
      <c r="U860" s="5">
        <f>IF(Таблица1[[#This Row],[ТТН]]&gt;0,Таблица1[[#This Row],[Ставка за ТТН]]*Таблица1[[#This Row],[ТТН]],0)</f>
        <v>0</v>
      </c>
    </row>
    <row r="861" spans="1:21" x14ac:dyDescent="0.25">
      <c r="A861" t="s">
        <v>84</v>
      </c>
      <c r="B861" s="24">
        <v>27</v>
      </c>
      <c r="C861" t="s">
        <v>125</v>
      </c>
      <c r="D861" t="s">
        <v>33</v>
      </c>
      <c r="E861" t="s">
        <v>214</v>
      </c>
      <c r="F861" t="s">
        <v>33</v>
      </c>
      <c r="H861" t="s">
        <v>10</v>
      </c>
      <c r="I861" t="s">
        <v>217</v>
      </c>
      <c r="J861">
        <v>11</v>
      </c>
      <c r="N861">
        <f>Таблица1[[#This Row],[Часов на заказчика  в работе]]+Таблица1[[#This Row],[Часов на заказчика  дежурство]]</f>
        <v>0</v>
      </c>
      <c r="O8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1" s="9"/>
      <c r="R861" s="9"/>
      <c r="S861" s="5">
        <v>1</v>
      </c>
      <c r="T8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табеле]])*S861,0)</f>
        <v>0</v>
      </c>
      <c r="U861" s="5">
        <f>IF(Таблица1[[#This Row],[ТТН]]&gt;0,Таблица1[[#This Row],[Ставка за ТТН]]*Таблица1[[#This Row],[ТТН]],0)</f>
        <v>0</v>
      </c>
    </row>
    <row r="862" spans="1:21" x14ac:dyDescent="0.25">
      <c r="A862" t="s">
        <v>84</v>
      </c>
      <c r="B862" s="24">
        <v>28</v>
      </c>
      <c r="C862" t="s">
        <v>125</v>
      </c>
      <c r="D862" t="s">
        <v>33</v>
      </c>
      <c r="E862" t="s">
        <v>214</v>
      </c>
      <c r="F862" t="s">
        <v>33</v>
      </c>
      <c r="H862" t="s">
        <v>10</v>
      </c>
      <c r="I862" t="s">
        <v>217</v>
      </c>
      <c r="J862">
        <v>11</v>
      </c>
      <c r="N862">
        <f>Таблица1[[#This Row],[Часов на заказчика  в работе]]+Таблица1[[#This Row],[Часов на заказчика  дежурство]]</f>
        <v>0</v>
      </c>
      <c r="O8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2" s="9"/>
      <c r="R862" s="9"/>
      <c r="S862" s="5">
        <v>1</v>
      </c>
      <c r="T8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табеле]])*S862,0)</f>
        <v>0</v>
      </c>
      <c r="U862" s="5">
        <f>IF(Таблица1[[#This Row],[ТТН]]&gt;0,Таблица1[[#This Row],[Ставка за ТТН]]*Таблица1[[#This Row],[ТТН]],0)</f>
        <v>0</v>
      </c>
    </row>
    <row r="863" spans="1:21" x14ac:dyDescent="0.25">
      <c r="A863" t="s">
        <v>84</v>
      </c>
      <c r="B863" s="24">
        <v>29</v>
      </c>
      <c r="C863" t="s">
        <v>125</v>
      </c>
      <c r="D863" t="s">
        <v>33</v>
      </c>
      <c r="E863" t="s">
        <v>214</v>
      </c>
      <c r="F863" t="s">
        <v>33</v>
      </c>
      <c r="H863" t="s">
        <v>10</v>
      </c>
      <c r="I863" t="s">
        <v>217</v>
      </c>
      <c r="J863">
        <v>11</v>
      </c>
      <c r="N863">
        <f>Таблица1[[#This Row],[Часов на заказчика  в работе]]+Таблица1[[#This Row],[Часов на заказчика  дежурство]]</f>
        <v>0</v>
      </c>
      <c r="O8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3" s="9"/>
      <c r="R863" s="9"/>
      <c r="S863" s="5">
        <v>1</v>
      </c>
      <c r="T8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табеле]])*S863,0)</f>
        <v>0</v>
      </c>
      <c r="U863" s="5">
        <f>IF(Таблица1[[#This Row],[ТТН]]&gt;0,Таблица1[[#This Row],[Ставка за ТТН]]*Таблица1[[#This Row],[ТТН]],0)</f>
        <v>0</v>
      </c>
    </row>
    <row r="864" spans="1:21" x14ac:dyDescent="0.25">
      <c r="A864" t="s">
        <v>84</v>
      </c>
      <c r="B864" s="24">
        <v>30</v>
      </c>
      <c r="C864" t="s">
        <v>126</v>
      </c>
      <c r="D864" t="s">
        <v>33</v>
      </c>
      <c r="E864" t="s">
        <v>214</v>
      </c>
      <c r="F864" t="s">
        <v>33</v>
      </c>
      <c r="H864" t="s">
        <v>10</v>
      </c>
      <c r="I864" t="s">
        <v>217</v>
      </c>
      <c r="J864">
        <v>11</v>
      </c>
      <c r="N864">
        <f>Таблица1[[#This Row],[Часов на заказчика  в работе]]+Таблица1[[#This Row],[Часов на заказчика  дежурство]]</f>
        <v>0</v>
      </c>
      <c r="O8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4" s="9"/>
      <c r="R864" s="9"/>
      <c r="S864" s="5">
        <v>1</v>
      </c>
      <c r="T8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табеле]])*S864,0)</f>
        <v>0</v>
      </c>
      <c r="U864" s="5">
        <f>IF(Таблица1[[#This Row],[ТТН]]&gt;0,Таблица1[[#This Row],[Ставка за ТТН]]*Таблица1[[#This Row],[ТТН]],0)</f>
        <v>0</v>
      </c>
    </row>
    <row r="865" spans="1:22" x14ac:dyDescent="0.25">
      <c r="A865" t="s">
        <v>84</v>
      </c>
      <c r="B865" s="24">
        <v>1</v>
      </c>
      <c r="C865" t="s">
        <v>126</v>
      </c>
      <c r="D865" t="s">
        <v>12</v>
      </c>
      <c r="E865" t="s">
        <v>215</v>
      </c>
      <c r="F865" t="s">
        <v>42</v>
      </c>
      <c r="H865" t="s">
        <v>10</v>
      </c>
      <c r="I865" t="s">
        <v>219</v>
      </c>
      <c r="J865">
        <v>22</v>
      </c>
      <c r="K865">
        <v>1</v>
      </c>
      <c r="N865">
        <f>Таблица1[[#This Row],[Часов на заказчика  в работе]]+Таблица1[[#This Row],[Часов на заказчика  дежурство]]</f>
        <v>0</v>
      </c>
      <c r="O8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5" s="9">
        <v>145000</v>
      </c>
      <c r="R865" s="9">
        <v>1660</v>
      </c>
      <c r="S865" s="5">
        <v>1</v>
      </c>
      <c r="T8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табеле]])*S865,0)</f>
        <v>9666.6666666666661</v>
      </c>
      <c r="U865" s="5">
        <f>IF(Таблица1[[#This Row],[ТТН]]&gt;0,Таблица1[[#This Row],[Ставка за ТТН]]*Таблица1[[#This Row],[ТТН]],0)</f>
        <v>1660</v>
      </c>
    </row>
    <row r="866" spans="1:22" x14ac:dyDescent="0.25">
      <c r="A866" t="s">
        <v>84</v>
      </c>
      <c r="B866" s="24">
        <v>2</v>
      </c>
      <c r="C866" t="s">
        <v>126</v>
      </c>
      <c r="D866" t="s">
        <v>12</v>
      </c>
      <c r="E866" t="s">
        <v>215</v>
      </c>
      <c r="F866" t="s">
        <v>42</v>
      </c>
      <c r="H866" t="s">
        <v>10</v>
      </c>
      <c r="I866" t="s">
        <v>219</v>
      </c>
      <c r="J866">
        <v>11</v>
      </c>
      <c r="N866">
        <f>Таблица1[[#This Row],[Часов на заказчика  в работе]]+Таблица1[[#This Row],[Часов на заказчика  дежурство]]</f>
        <v>0</v>
      </c>
      <c r="O8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6" s="9">
        <v>145000</v>
      </c>
      <c r="R866" s="9">
        <v>1660</v>
      </c>
      <c r="S866" s="5">
        <v>1</v>
      </c>
      <c r="T8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табеле]])*S866,0)</f>
        <v>4833.333333333333</v>
      </c>
      <c r="U866" s="5">
        <f>IF(Таблица1[[#This Row],[ТТН]]&gt;0,Таблица1[[#This Row],[Ставка за ТТН]]*Таблица1[[#This Row],[ТТН]],0)</f>
        <v>0</v>
      </c>
    </row>
    <row r="867" spans="1:22" x14ac:dyDescent="0.25">
      <c r="A867" t="s">
        <v>84</v>
      </c>
      <c r="B867" s="24">
        <v>3</v>
      </c>
      <c r="C867" t="s">
        <v>126</v>
      </c>
      <c r="D867" t="s">
        <v>12</v>
      </c>
      <c r="E867" t="s">
        <v>215</v>
      </c>
      <c r="F867" t="s">
        <v>42</v>
      </c>
      <c r="H867" t="s">
        <v>10</v>
      </c>
      <c r="I867" t="s">
        <v>219</v>
      </c>
      <c r="J867">
        <v>11</v>
      </c>
      <c r="K867">
        <v>1</v>
      </c>
      <c r="N867">
        <f>Таблица1[[#This Row],[Часов на заказчика  в работе]]+Таблица1[[#This Row],[Часов на заказчика  дежурство]]</f>
        <v>0</v>
      </c>
      <c r="O8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7" s="9">
        <v>145000</v>
      </c>
      <c r="R867" s="9">
        <v>1660</v>
      </c>
      <c r="S867" s="5">
        <v>1</v>
      </c>
      <c r="T8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табеле]])*S867,0)</f>
        <v>4833.333333333333</v>
      </c>
      <c r="U867" s="5">
        <f>IF(Таблица1[[#This Row],[ТТН]]&gt;0,Таблица1[[#This Row],[Ставка за ТТН]]*Таблица1[[#This Row],[ТТН]],0)</f>
        <v>1660</v>
      </c>
      <c r="V867" t="s">
        <v>58</v>
      </c>
    </row>
    <row r="868" spans="1:22" x14ac:dyDescent="0.25">
      <c r="A868" t="s">
        <v>84</v>
      </c>
      <c r="B868" s="24">
        <v>4</v>
      </c>
      <c r="C868" t="s">
        <v>126</v>
      </c>
      <c r="D868" t="s">
        <v>12</v>
      </c>
      <c r="E868" t="s">
        <v>215</v>
      </c>
      <c r="F868" t="s">
        <v>42</v>
      </c>
      <c r="H868" t="s">
        <v>10</v>
      </c>
      <c r="I868" t="s">
        <v>219</v>
      </c>
      <c r="J868">
        <v>11</v>
      </c>
      <c r="N868">
        <f>Таблица1[[#This Row],[Часов на заказчика  в работе]]+Таблица1[[#This Row],[Часов на заказчика  дежурство]]</f>
        <v>0</v>
      </c>
      <c r="O8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8" s="9">
        <v>145000</v>
      </c>
      <c r="R868" s="9">
        <v>1660</v>
      </c>
      <c r="S868" s="5">
        <v>1</v>
      </c>
      <c r="T8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табеле]])*S868,0)</f>
        <v>4833.333333333333</v>
      </c>
      <c r="U868" s="5">
        <f>IF(Таблица1[[#This Row],[ТТН]]&gt;0,Таблица1[[#This Row],[Ставка за ТТН]]*Таблица1[[#This Row],[ТТН]],0)</f>
        <v>0</v>
      </c>
      <c r="V868" t="s">
        <v>59</v>
      </c>
    </row>
    <row r="869" spans="1:22" x14ac:dyDescent="0.25">
      <c r="A869" t="s">
        <v>84</v>
      </c>
      <c r="B869" s="24">
        <v>5</v>
      </c>
      <c r="C869" t="s">
        <v>126</v>
      </c>
      <c r="D869" t="s">
        <v>12</v>
      </c>
      <c r="E869" t="s">
        <v>215</v>
      </c>
      <c r="F869" t="s">
        <v>42</v>
      </c>
      <c r="H869" t="s">
        <v>10</v>
      </c>
      <c r="I869" t="s">
        <v>219</v>
      </c>
      <c r="J869">
        <v>22</v>
      </c>
      <c r="K869">
        <v>1</v>
      </c>
      <c r="N869">
        <f>Таблица1[[#This Row],[Часов на заказчика  в работе]]+Таблица1[[#This Row],[Часов на заказчика  дежурство]]</f>
        <v>0</v>
      </c>
      <c r="O8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69" s="9">
        <v>145000</v>
      </c>
      <c r="R869" s="9">
        <v>1660</v>
      </c>
      <c r="S869" s="5">
        <v>1</v>
      </c>
      <c r="T8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табеле]])*S869,0)</f>
        <v>9666.6666666666661</v>
      </c>
      <c r="U869" s="5">
        <f>IF(Таблица1[[#This Row],[ТТН]]&gt;0,Таблица1[[#This Row],[Ставка за ТТН]]*Таблица1[[#This Row],[ТТН]],0)</f>
        <v>1660</v>
      </c>
    </row>
    <row r="870" spans="1:22" x14ac:dyDescent="0.25">
      <c r="A870" t="s">
        <v>84</v>
      </c>
      <c r="B870" s="24">
        <v>6</v>
      </c>
      <c r="C870" t="s">
        <v>126</v>
      </c>
      <c r="D870" t="s">
        <v>12</v>
      </c>
      <c r="E870" t="s">
        <v>215</v>
      </c>
      <c r="F870" t="s">
        <v>42</v>
      </c>
      <c r="H870" t="s">
        <v>38</v>
      </c>
      <c r="I870" t="s">
        <v>219</v>
      </c>
      <c r="J870">
        <v>11</v>
      </c>
      <c r="N870">
        <f>Таблица1[[#This Row],[Часов на заказчика  в работе]]+Таблица1[[#This Row],[Часов на заказчика  дежурство]]</f>
        <v>0</v>
      </c>
      <c r="O8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0" s="9">
        <v>145000</v>
      </c>
      <c r="R870" s="9">
        <v>1660</v>
      </c>
      <c r="S870" s="5">
        <v>1</v>
      </c>
      <c r="T8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табеле]])*S870,0)</f>
        <v>4833.333333333333</v>
      </c>
      <c r="U870" s="5">
        <f>IF(Таблица1[[#This Row],[ТТН]]&gt;0,Таблица1[[#This Row],[Ставка за ТТН]]*Таблица1[[#This Row],[ТТН]],0)</f>
        <v>0</v>
      </c>
    </row>
    <row r="871" spans="1:22" x14ac:dyDescent="0.25">
      <c r="A871" t="s">
        <v>84</v>
      </c>
      <c r="B871" s="24">
        <v>7</v>
      </c>
      <c r="C871" t="s">
        <v>126</v>
      </c>
      <c r="D871" t="s">
        <v>12</v>
      </c>
      <c r="E871" t="s">
        <v>215</v>
      </c>
      <c r="F871" t="s">
        <v>42</v>
      </c>
      <c r="H871" t="s">
        <v>38</v>
      </c>
      <c r="I871" t="s">
        <v>219</v>
      </c>
      <c r="J871">
        <v>11</v>
      </c>
      <c r="N871">
        <f>Таблица1[[#This Row],[Часов на заказчика  в работе]]+Таблица1[[#This Row],[Часов на заказчика  дежурство]]</f>
        <v>0</v>
      </c>
      <c r="O8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1" s="9">
        <v>145000</v>
      </c>
      <c r="R871" s="9">
        <v>1660</v>
      </c>
      <c r="S871" s="5">
        <v>1</v>
      </c>
      <c r="T8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табеле]])*S871,0)</f>
        <v>4833.333333333333</v>
      </c>
      <c r="U871" s="5">
        <f>IF(Таблица1[[#This Row],[ТТН]]&gt;0,Таблица1[[#This Row],[Ставка за ТТН]]*Таблица1[[#This Row],[ТТН]],0)</f>
        <v>0</v>
      </c>
    </row>
    <row r="872" spans="1:22" x14ac:dyDescent="0.25">
      <c r="A872" t="s">
        <v>84</v>
      </c>
      <c r="B872" s="24">
        <v>8</v>
      </c>
      <c r="C872" t="s">
        <v>126</v>
      </c>
      <c r="D872" t="s">
        <v>12</v>
      </c>
      <c r="E872" t="s">
        <v>215</v>
      </c>
      <c r="F872" t="s">
        <v>42</v>
      </c>
      <c r="H872" t="s">
        <v>10</v>
      </c>
      <c r="I872" t="s">
        <v>219</v>
      </c>
      <c r="J872">
        <v>11</v>
      </c>
      <c r="N872">
        <f>Таблица1[[#This Row],[Часов на заказчика  в работе]]+Таблица1[[#This Row],[Часов на заказчика  дежурство]]</f>
        <v>0</v>
      </c>
      <c r="O8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2" s="9">
        <v>145000</v>
      </c>
      <c r="R872" s="9">
        <v>1660</v>
      </c>
      <c r="S872" s="5">
        <v>1</v>
      </c>
      <c r="T8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табеле]])*S872,0)</f>
        <v>4833.333333333333</v>
      </c>
      <c r="U872" s="5">
        <f>IF(Таблица1[[#This Row],[ТТН]]&gt;0,Таблица1[[#This Row],[Ставка за ТТН]]*Таблица1[[#This Row],[ТТН]],0)</f>
        <v>0</v>
      </c>
    </row>
    <row r="873" spans="1:22" x14ac:dyDescent="0.25">
      <c r="A873" t="s">
        <v>84</v>
      </c>
      <c r="B873" s="24">
        <v>9</v>
      </c>
      <c r="C873" t="s">
        <v>126</v>
      </c>
      <c r="D873" t="s">
        <v>12</v>
      </c>
      <c r="E873" t="s">
        <v>215</v>
      </c>
      <c r="F873" t="s">
        <v>42</v>
      </c>
      <c r="H873" t="s">
        <v>10</v>
      </c>
      <c r="I873" t="s">
        <v>219</v>
      </c>
      <c r="J873">
        <v>22</v>
      </c>
      <c r="K873">
        <v>1</v>
      </c>
      <c r="N873">
        <f>Таблица1[[#This Row],[Часов на заказчика  в работе]]+Таблица1[[#This Row],[Часов на заказчика  дежурство]]</f>
        <v>0</v>
      </c>
      <c r="O8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3" s="9">
        <v>145000</v>
      </c>
      <c r="R873" s="9">
        <v>1660</v>
      </c>
      <c r="S873" s="5">
        <v>1</v>
      </c>
      <c r="T8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табеле]])*S873,0)</f>
        <v>9666.6666666666661</v>
      </c>
      <c r="U873" s="5">
        <f>IF(Таблица1[[#This Row],[ТТН]]&gt;0,Таблица1[[#This Row],[Ставка за ТТН]]*Таблица1[[#This Row],[ТТН]],0)</f>
        <v>1660</v>
      </c>
    </row>
    <row r="874" spans="1:22" x14ac:dyDescent="0.25">
      <c r="A874" t="s">
        <v>84</v>
      </c>
      <c r="B874" s="24">
        <v>10</v>
      </c>
      <c r="C874" t="s">
        <v>126</v>
      </c>
      <c r="D874" t="s">
        <v>12</v>
      </c>
      <c r="E874" t="s">
        <v>215</v>
      </c>
      <c r="F874" t="s">
        <v>42</v>
      </c>
      <c r="H874" t="s">
        <v>10</v>
      </c>
      <c r="I874" t="s">
        <v>219</v>
      </c>
      <c r="J874">
        <v>11</v>
      </c>
      <c r="K874">
        <v>1</v>
      </c>
      <c r="N874">
        <f>Таблица1[[#This Row],[Часов на заказчика  в работе]]+Таблица1[[#This Row],[Часов на заказчика  дежурство]]</f>
        <v>0</v>
      </c>
      <c r="O8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4" s="9">
        <v>145000</v>
      </c>
      <c r="R874" s="9">
        <v>1660</v>
      </c>
      <c r="S874" s="5">
        <v>1</v>
      </c>
      <c r="T8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табеле]])*S874,0)</f>
        <v>4833.333333333333</v>
      </c>
      <c r="U874" s="5">
        <f>IF(Таблица1[[#This Row],[ТТН]]&gt;0,Таблица1[[#This Row],[Ставка за ТТН]]*Таблица1[[#This Row],[ТТН]],0)</f>
        <v>1660</v>
      </c>
    </row>
    <row r="875" spans="1:22" x14ac:dyDescent="0.25">
      <c r="A875" t="s">
        <v>84</v>
      </c>
      <c r="B875" s="24">
        <v>11</v>
      </c>
      <c r="C875" t="s">
        <v>126</v>
      </c>
      <c r="D875" t="s">
        <v>12</v>
      </c>
      <c r="E875" t="s">
        <v>215</v>
      </c>
      <c r="F875" t="s">
        <v>42</v>
      </c>
      <c r="H875" t="s">
        <v>38</v>
      </c>
      <c r="I875" t="s">
        <v>219</v>
      </c>
      <c r="J875">
        <v>11</v>
      </c>
      <c r="N875">
        <f>Таблица1[[#This Row],[Часов на заказчика  в работе]]+Таблица1[[#This Row],[Часов на заказчика  дежурство]]</f>
        <v>0</v>
      </c>
      <c r="O8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5" s="9">
        <v>145000</v>
      </c>
      <c r="R875" s="9">
        <v>1660</v>
      </c>
      <c r="S875" s="5">
        <v>1</v>
      </c>
      <c r="T8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табеле]])*S875,0)</f>
        <v>4833.333333333333</v>
      </c>
      <c r="U875" s="5">
        <f>IF(Таблица1[[#This Row],[ТТН]]&gt;0,Таблица1[[#This Row],[Ставка за ТТН]]*Таблица1[[#This Row],[ТТН]],0)</f>
        <v>0</v>
      </c>
    </row>
    <row r="876" spans="1:22" x14ac:dyDescent="0.25">
      <c r="A876" t="s">
        <v>84</v>
      </c>
      <c r="B876" s="24">
        <v>12</v>
      </c>
      <c r="C876" t="s">
        <v>126</v>
      </c>
      <c r="D876" t="s">
        <v>12</v>
      </c>
      <c r="E876" t="s">
        <v>215</v>
      </c>
      <c r="F876" t="s">
        <v>42</v>
      </c>
      <c r="H876" t="s">
        <v>38</v>
      </c>
      <c r="I876" t="s">
        <v>219</v>
      </c>
      <c r="J876">
        <v>11</v>
      </c>
      <c r="N876">
        <f>Таблица1[[#This Row],[Часов на заказчика  в работе]]+Таблица1[[#This Row],[Часов на заказчика  дежурство]]</f>
        <v>0</v>
      </c>
      <c r="O8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6" s="9">
        <v>145000</v>
      </c>
      <c r="R876" s="9">
        <v>1660</v>
      </c>
      <c r="S876" s="5">
        <v>1</v>
      </c>
      <c r="T8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табеле]])*S876,0)</f>
        <v>4833.333333333333</v>
      </c>
      <c r="U876" s="5">
        <f>IF(Таблица1[[#This Row],[ТТН]]&gt;0,Таблица1[[#This Row],[Ставка за ТТН]]*Таблица1[[#This Row],[ТТН]],0)</f>
        <v>0</v>
      </c>
    </row>
    <row r="877" spans="1:22" x14ac:dyDescent="0.25">
      <c r="A877" t="s">
        <v>84</v>
      </c>
      <c r="B877" s="24">
        <v>13</v>
      </c>
      <c r="C877" t="s">
        <v>126</v>
      </c>
      <c r="D877" t="s">
        <v>12</v>
      </c>
      <c r="E877" t="s">
        <v>215</v>
      </c>
      <c r="F877" t="s">
        <v>42</v>
      </c>
      <c r="H877" t="s">
        <v>10</v>
      </c>
      <c r="I877" t="s">
        <v>219</v>
      </c>
      <c r="J877">
        <v>22</v>
      </c>
      <c r="K877">
        <v>1</v>
      </c>
      <c r="N877">
        <f>Таблица1[[#This Row],[Часов на заказчика  в работе]]+Таблица1[[#This Row],[Часов на заказчика  дежурство]]</f>
        <v>0</v>
      </c>
      <c r="O8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7" s="9">
        <v>145000</v>
      </c>
      <c r="R877" s="9">
        <v>1660</v>
      </c>
      <c r="S877" s="5">
        <v>1</v>
      </c>
      <c r="T8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табеле]])*S877,0)</f>
        <v>9666.6666666666661</v>
      </c>
      <c r="U877" s="5">
        <f>IF(Таблица1[[#This Row],[ТТН]]&gt;0,Таблица1[[#This Row],[Ставка за ТТН]]*Таблица1[[#This Row],[ТТН]],0)</f>
        <v>1660</v>
      </c>
    </row>
    <row r="878" spans="1:22" x14ac:dyDescent="0.25">
      <c r="A878" t="s">
        <v>84</v>
      </c>
      <c r="B878" s="24">
        <v>14</v>
      </c>
      <c r="C878" t="s">
        <v>126</v>
      </c>
      <c r="D878" t="s">
        <v>12</v>
      </c>
      <c r="E878" t="s">
        <v>215</v>
      </c>
      <c r="F878" t="s">
        <v>42</v>
      </c>
      <c r="H878" t="s">
        <v>10</v>
      </c>
      <c r="I878" t="s">
        <v>219</v>
      </c>
      <c r="J878">
        <v>11</v>
      </c>
      <c r="K878">
        <v>1</v>
      </c>
      <c r="N878">
        <f>Таблица1[[#This Row],[Часов на заказчика  в работе]]+Таблица1[[#This Row],[Часов на заказчика  дежурство]]</f>
        <v>0</v>
      </c>
      <c r="O8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8" s="9">
        <v>145000</v>
      </c>
      <c r="R878" s="9">
        <v>1660</v>
      </c>
      <c r="S878" s="5">
        <v>1</v>
      </c>
      <c r="T8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табеле]])*S878,0)</f>
        <v>4833.333333333333</v>
      </c>
      <c r="U878" s="5">
        <f>IF(Таблица1[[#This Row],[ТТН]]&gt;0,Таблица1[[#This Row],[Ставка за ТТН]]*Таблица1[[#This Row],[ТТН]],0)</f>
        <v>1660</v>
      </c>
    </row>
    <row r="879" spans="1:22" x14ac:dyDescent="0.25">
      <c r="A879" t="s">
        <v>84</v>
      </c>
      <c r="B879" s="24">
        <v>15</v>
      </c>
      <c r="C879" t="s">
        <v>126</v>
      </c>
      <c r="D879" t="s">
        <v>12</v>
      </c>
      <c r="E879" t="s">
        <v>215</v>
      </c>
      <c r="F879" t="s">
        <v>42</v>
      </c>
      <c r="H879" t="s">
        <v>10</v>
      </c>
      <c r="I879" t="s">
        <v>219</v>
      </c>
      <c r="J879">
        <v>11</v>
      </c>
      <c r="N879">
        <f>Таблица1[[#This Row],[Часов на заказчика  в работе]]+Таблица1[[#This Row],[Часов на заказчика  дежурство]]</f>
        <v>0</v>
      </c>
      <c r="O8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79" s="9">
        <v>145000</v>
      </c>
      <c r="R879" s="9">
        <v>1660</v>
      </c>
      <c r="S879" s="5">
        <v>1</v>
      </c>
      <c r="T8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табеле]])*S879,0)</f>
        <v>4833.333333333333</v>
      </c>
      <c r="U879" s="5">
        <f>IF(Таблица1[[#This Row],[ТТН]]&gt;0,Таблица1[[#This Row],[Ставка за ТТН]]*Таблица1[[#This Row],[ТТН]],0)</f>
        <v>0</v>
      </c>
    </row>
    <row r="880" spans="1:22" x14ac:dyDescent="0.25">
      <c r="A880" t="s">
        <v>84</v>
      </c>
      <c r="B880" s="24">
        <v>16</v>
      </c>
      <c r="C880" t="s">
        <v>126</v>
      </c>
      <c r="D880" t="s">
        <v>12</v>
      </c>
      <c r="E880" t="s">
        <v>215</v>
      </c>
      <c r="F880" t="s">
        <v>42</v>
      </c>
      <c r="H880" t="s">
        <v>10</v>
      </c>
      <c r="I880" t="s">
        <v>219</v>
      </c>
      <c r="J880">
        <v>22</v>
      </c>
      <c r="K880">
        <v>1</v>
      </c>
      <c r="N880">
        <f>Таблица1[[#This Row],[Часов на заказчика  в работе]]+Таблица1[[#This Row],[Часов на заказчика  дежурство]]</f>
        <v>0</v>
      </c>
      <c r="O8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0" s="9">
        <v>145000</v>
      </c>
      <c r="R880" s="9">
        <v>1660</v>
      </c>
      <c r="S880" s="5">
        <v>1</v>
      </c>
      <c r="T8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табеле]])*S880,0)</f>
        <v>9666.6666666666661</v>
      </c>
      <c r="U880" s="5">
        <f>IF(Таблица1[[#This Row],[ТТН]]&gt;0,Таблица1[[#This Row],[Ставка за ТТН]]*Таблица1[[#This Row],[ТТН]],0)</f>
        <v>1660</v>
      </c>
    </row>
    <row r="881" spans="1:21" x14ac:dyDescent="0.25">
      <c r="A881" t="s">
        <v>84</v>
      </c>
      <c r="B881" s="24">
        <v>17</v>
      </c>
      <c r="C881" t="s">
        <v>126</v>
      </c>
      <c r="D881" t="s">
        <v>12</v>
      </c>
      <c r="E881" t="s">
        <v>215</v>
      </c>
      <c r="F881" t="s">
        <v>42</v>
      </c>
      <c r="H881" t="s">
        <v>10</v>
      </c>
      <c r="I881" t="s">
        <v>219</v>
      </c>
      <c r="J881">
        <v>22</v>
      </c>
      <c r="K881">
        <v>1</v>
      </c>
      <c r="N881">
        <f>Таблица1[[#This Row],[Часов на заказчика  в работе]]+Таблица1[[#This Row],[Часов на заказчика  дежурство]]</f>
        <v>0</v>
      </c>
      <c r="O8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1" s="9">
        <v>145000</v>
      </c>
      <c r="R881" s="9">
        <v>1660</v>
      </c>
      <c r="S881" s="5">
        <v>1</v>
      </c>
      <c r="T8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табеле]])*S881,0)</f>
        <v>9666.6666666666661</v>
      </c>
      <c r="U881" s="5">
        <f>IF(Таблица1[[#This Row],[ТТН]]&gt;0,Таблица1[[#This Row],[Ставка за ТТН]]*Таблица1[[#This Row],[ТТН]],0)</f>
        <v>1660</v>
      </c>
    </row>
    <row r="882" spans="1:21" x14ac:dyDescent="0.25">
      <c r="A882" t="s">
        <v>84</v>
      </c>
      <c r="B882" s="24">
        <v>18</v>
      </c>
      <c r="C882" t="s">
        <v>126</v>
      </c>
      <c r="D882" t="s">
        <v>12</v>
      </c>
      <c r="E882" t="s">
        <v>215</v>
      </c>
      <c r="F882" t="s">
        <v>42</v>
      </c>
      <c r="H882" t="s">
        <v>10</v>
      </c>
      <c r="I882" t="s">
        <v>219</v>
      </c>
      <c r="J882">
        <v>11</v>
      </c>
      <c r="K882">
        <v>1</v>
      </c>
      <c r="N882">
        <f>Таблица1[[#This Row],[Часов на заказчика  в работе]]+Таблица1[[#This Row],[Часов на заказчика  дежурство]]</f>
        <v>0</v>
      </c>
      <c r="O8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2" s="9">
        <v>145000</v>
      </c>
      <c r="R882" s="9">
        <v>1660</v>
      </c>
      <c r="S882" s="5">
        <v>1</v>
      </c>
      <c r="T8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табеле]])*S882,0)</f>
        <v>4833.333333333333</v>
      </c>
      <c r="U882" s="5">
        <f>IF(Таблица1[[#This Row],[ТТН]]&gt;0,Таблица1[[#This Row],[Ставка за ТТН]]*Таблица1[[#This Row],[ТТН]],0)</f>
        <v>1660</v>
      </c>
    </row>
    <row r="883" spans="1:21" x14ac:dyDescent="0.25">
      <c r="A883" t="s">
        <v>84</v>
      </c>
      <c r="B883" s="24">
        <v>19</v>
      </c>
      <c r="C883" t="s">
        <v>126</v>
      </c>
      <c r="D883" t="s">
        <v>12</v>
      </c>
      <c r="E883" t="s">
        <v>215</v>
      </c>
      <c r="F883" t="s">
        <v>42</v>
      </c>
      <c r="H883" t="s">
        <v>10</v>
      </c>
      <c r="I883" t="s">
        <v>219</v>
      </c>
      <c r="J883">
        <v>22</v>
      </c>
      <c r="K883">
        <v>1</v>
      </c>
      <c r="N883">
        <f>Таблица1[[#This Row],[Часов на заказчика  в работе]]+Таблица1[[#This Row],[Часов на заказчика  дежурство]]</f>
        <v>0</v>
      </c>
      <c r="O8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3" s="9">
        <v>145000</v>
      </c>
      <c r="R883" s="9">
        <v>1660</v>
      </c>
      <c r="S883" s="5">
        <v>1</v>
      </c>
      <c r="T8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табеле]])*S883,0)</f>
        <v>9666.6666666666661</v>
      </c>
      <c r="U883" s="5">
        <f>IF(Таблица1[[#This Row],[ТТН]]&gt;0,Таблица1[[#This Row],[Ставка за ТТН]]*Таблица1[[#This Row],[ТТН]],0)</f>
        <v>1660</v>
      </c>
    </row>
    <row r="884" spans="1:21" x14ac:dyDescent="0.25">
      <c r="A884" t="s">
        <v>84</v>
      </c>
      <c r="B884" s="24">
        <v>20</v>
      </c>
      <c r="C884" t="s">
        <v>126</v>
      </c>
      <c r="D884" t="s">
        <v>12</v>
      </c>
      <c r="E884" t="s">
        <v>215</v>
      </c>
      <c r="F884" t="s">
        <v>42</v>
      </c>
      <c r="H884" t="s">
        <v>10</v>
      </c>
      <c r="I884" t="s">
        <v>219</v>
      </c>
      <c r="J884">
        <v>22</v>
      </c>
      <c r="K884">
        <v>1</v>
      </c>
      <c r="N884">
        <f>Таблица1[[#This Row],[Часов на заказчика  в работе]]+Таблица1[[#This Row],[Часов на заказчика  дежурство]]</f>
        <v>0</v>
      </c>
      <c r="O8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4" s="9">
        <v>145000</v>
      </c>
      <c r="R884" s="9">
        <v>1660</v>
      </c>
      <c r="S884" s="5">
        <v>1</v>
      </c>
      <c r="T8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табеле]])*S884,0)</f>
        <v>9666.6666666666661</v>
      </c>
      <c r="U884" s="5">
        <f>IF(Таблица1[[#This Row],[ТТН]]&gt;0,Таблица1[[#This Row],[Ставка за ТТН]]*Таблица1[[#This Row],[ТТН]],0)</f>
        <v>1660</v>
      </c>
    </row>
    <row r="885" spans="1:21" x14ac:dyDescent="0.25">
      <c r="A885" t="s">
        <v>84</v>
      </c>
      <c r="B885" s="24">
        <v>21</v>
      </c>
      <c r="C885" t="s">
        <v>126</v>
      </c>
      <c r="D885" t="s">
        <v>12</v>
      </c>
      <c r="E885" t="s">
        <v>215</v>
      </c>
      <c r="F885" t="s">
        <v>42</v>
      </c>
      <c r="H885" t="s">
        <v>10</v>
      </c>
      <c r="I885" t="s">
        <v>219</v>
      </c>
      <c r="J885">
        <v>11</v>
      </c>
      <c r="K885">
        <v>1</v>
      </c>
      <c r="N885">
        <f>Таблица1[[#This Row],[Часов на заказчика  в работе]]+Таблица1[[#This Row],[Часов на заказчика  дежурство]]</f>
        <v>0</v>
      </c>
      <c r="O8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5" s="9">
        <v>145000</v>
      </c>
      <c r="R885" s="9">
        <v>1660</v>
      </c>
      <c r="S885" s="5">
        <v>1</v>
      </c>
      <c r="T8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табеле]])*S885,0)</f>
        <v>4833.333333333333</v>
      </c>
      <c r="U885" s="5">
        <f>IF(Таблица1[[#This Row],[ТТН]]&gt;0,Таблица1[[#This Row],[Ставка за ТТН]]*Таблица1[[#This Row],[ТТН]],0)</f>
        <v>1660</v>
      </c>
    </row>
    <row r="886" spans="1:21" x14ac:dyDescent="0.25">
      <c r="A886" t="s">
        <v>84</v>
      </c>
      <c r="B886" s="24">
        <v>22</v>
      </c>
      <c r="C886" t="s">
        <v>126</v>
      </c>
      <c r="D886" t="s">
        <v>12</v>
      </c>
      <c r="E886" t="s">
        <v>215</v>
      </c>
      <c r="F886" t="s">
        <v>42</v>
      </c>
      <c r="H886" t="s">
        <v>38</v>
      </c>
      <c r="I886" t="s">
        <v>219</v>
      </c>
      <c r="J886">
        <v>11</v>
      </c>
      <c r="N886">
        <f>Таблица1[[#This Row],[Часов на заказчика  в работе]]+Таблица1[[#This Row],[Часов на заказчика  дежурство]]</f>
        <v>0</v>
      </c>
      <c r="O8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6" s="9">
        <v>145000</v>
      </c>
      <c r="R886" s="9">
        <v>1660</v>
      </c>
      <c r="S886" s="5">
        <v>1</v>
      </c>
      <c r="T8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табеле]])*S886,0)</f>
        <v>4833.333333333333</v>
      </c>
      <c r="U886" s="5">
        <f>IF(Таблица1[[#This Row],[ТТН]]&gt;0,Таблица1[[#This Row],[Ставка за ТТН]]*Таблица1[[#This Row],[ТТН]],0)</f>
        <v>0</v>
      </c>
    </row>
    <row r="887" spans="1:21" x14ac:dyDescent="0.25">
      <c r="A887" t="s">
        <v>84</v>
      </c>
      <c r="B887" s="24">
        <v>23</v>
      </c>
      <c r="C887" t="s">
        <v>126</v>
      </c>
      <c r="D887" t="s">
        <v>12</v>
      </c>
      <c r="E887" t="s">
        <v>215</v>
      </c>
      <c r="F887" t="s">
        <v>42</v>
      </c>
      <c r="H887" t="s">
        <v>38</v>
      </c>
      <c r="I887" t="s">
        <v>219</v>
      </c>
      <c r="J887">
        <v>11</v>
      </c>
      <c r="N887">
        <f>Таблица1[[#This Row],[Часов на заказчика  в работе]]+Таблица1[[#This Row],[Часов на заказчика  дежурство]]</f>
        <v>0</v>
      </c>
      <c r="O8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7" s="9">
        <v>145000</v>
      </c>
      <c r="R887" s="9">
        <v>1660</v>
      </c>
      <c r="S887" s="5">
        <v>1</v>
      </c>
      <c r="T8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табеле]])*S887,0)</f>
        <v>4833.333333333333</v>
      </c>
      <c r="U887" s="5">
        <f>IF(Таблица1[[#This Row],[ТТН]]&gt;0,Таблица1[[#This Row],[Ставка за ТТН]]*Таблица1[[#This Row],[ТТН]],0)</f>
        <v>0</v>
      </c>
    </row>
    <row r="888" spans="1:21" x14ac:dyDescent="0.25">
      <c r="A888" t="s">
        <v>84</v>
      </c>
      <c r="B888" s="24">
        <v>24</v>
      </c>
      <c r="C888" t="s">
        <v>126</v>
      </c>
      <c r="D888" t="s">
        <v>12</v>
      </c>
      <c r="E888" t="s">
        <v>215</v>
      </c>
      <c r="F888" t="s">
        <v>42</v>
      </c>
      <c r="H888" t="s">
        <v>10</v>
      </c>
      <c r="I888" t="s">
        <v>219</v>
      </c>
      <c r="J888">
        <v>11</v>
      </c>
      <c r="N888">
        <f>Таблица1[[#This Row],[Часов на заказчика  в работе]]+Таблица1[[#This Row],[Часов на заказчика  дежурство]]</f>
        <v>0</v>
      </c>
      <c r="O8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8" s="9">
        <v>145000</v>
      </c>
      <c r="R888" s="9">
        <v>1660</v>
      </c>
      <c r="S888" s="5">
        <v>1</v>
      </c>
      <c r="T8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табеле]])*S888,0)</f>
        <v>4833.333333333333</v>
      </c>
      <c r="U888" s="5">
        <f>IF(Таблица1[[#This Row],[ТТН]]&gt;0,Таблица1[[#This Row],[Ставка за ТТН]]*Таблица1[[#This Row],[ТТН]],0)</f>
        <v>0</v>
      </c>
    </row>
    <row r="889" spans="1:21" x14ac:dyDescent="0.25">
      <c r="A889" t="s">
        <v>84</v>
      </c>
      <c r="B889" s="24">
        <v>25</v>
      </c>
      <c r="C889" t="s">
        <v>126</v>
      </c>
      <c r="D889" t="s">
        <v>12</v>
      </c>
      <c r="E889" t="s">
        <v>215</v>
      </c>
      <c r="F889" t="s">
        <v>42</v>
      </c>
      <c r="H889" t="s">
        <v>10</v>
      </c>
      <c r="I889" t="s">
        <v>219</v>
      </c>
      <c r="J889">
        <v>22</v>
      </c>
      <c r="K889">
        <v>2</v>
      </c>
      <c r="N889">
        <f>Таблица1[[#This Row],[Часов на заказчика  в работе]]+Таблица1[[#This Row],[Часов на заказчика  дежурство]]</f>
        <v>0</v>
      </c>
      <c r="O8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89" s="9">
        <v>145000</v>
      </c>
      <c r="R889" s="9">
        <v>1660</v>
      </c>
      <c r="S889" s="5">
        <v>1</v>
      </c>
      <c r="T8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табеле]])*S889,0)</f>
        <v>9666.6666666666661</v>
      </c>
      <c r="U889" s="5">
        <f>IF(Таблица1[[#This Row],[ТТН]]&gt;0,Таблица1[[#This Row],[Ставка за ТТН]]*Таблица1[[#This Row],[ТТН]],0)</f>
        <v>3320</v>
      </c>
    </row>
    <row r="890" spans="1:21" x14ac:dyDescent="0.25">
      <c r="A890" t="s">
        <v>84</v>
      </c>
      <c r="B890" s="24">
        <v>26</v>
      </c>
      <c r="C890" t="s">
        <v>126</v>
      </c>
      <c r="D890" t="s">
        <v>12</v>
      </c>
      <c r="E890" t="s">
        <v>215</v>
      </c>
      <c r="F890" t="s">
        <v>42</v>
      </c>
      <c r="H890" t="s">
        <v>10</v>
      </c>
      <c r="I890" t="s">
        <v>219</v>
      </c>
      <c r="J890">
        <v>11</v>
      </c>
      <c r="N890">
        <f>Таблица1[[#This Row],[Часов на заказчика  в работе]]+Таблица1[[#This Row],[Часов на заказчика  дежурство]]</f>
        <v>0</v>
      </c>
      <c r="O8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0" s="9">
        <v>145000</v>
      </c>
      <c r="R890" s="9">
        <v>1660</v>
      </c>
      <c r="S890" s="5">
        <v>1</v>
      </c>
      <c r="T8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табеле]])*S890,0)</f>
        <v>4833.333333333333</v>
      </c>
      <c r="U890" s="5">
        <f>IF(Таблица1[[#This Row],[ТТН]]&gt;0,Таблица1[[#This Row],[Ставка за ТТН]]*Таблица1[[#This Row],[ТТН]],0)</f>
        <v>0</v>
      </c>
    </row>
    <row r="891" spans="1:21" x14ac:dyDescent="0.25">
      <c r="A891" t="s">
        <v>84</v>
      </c>
      <c r="B891" s="24">
        <v>27</v>
      </c>
      <c r="C891" t="s">
        <v>126</v>
      </c>
      <c r="D891" t="s">
        <v>12</v>
      </c>
      <c r="E891" t="s">
        <v>215</v>
      </c>
      <c r="F891" t="s">
        <v>42</v>
      </c>
      <c r="H891" t="s">
        <v>10</v>
      </c>
      <c r="I891" t="s">
        <v>219</v>
      </c>
      <c r="J891">
        <v>11</v>
      </c>
      <c r="N891">
        <f>Таблица1[[#This Row],[Часов на заказчика  в работе]]+Таблица1[[#This Row],[Часов на заказчика  дежурство]]</f>
        <v>0</v>
      </c>
      <c r="O8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1" s="9">
        <v>145000</v>
      </c>
      <c r="R891" s="9">
        <v>1660</v>
      </c>
      <c r="S891" s="5">
        <v>1</v>
      </c>
      <c r="T8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табеле]])*S891,0)</f>
        <v>4833.333333333333</v>
      </c>
      <c r="U891" s="5">
        <f>IF(Таблица1[[#This Row],[ТТН]]&gt;0,Таблица1[[#This Row],[Ставка за ТТН]]*Таблица1[[#This Row],[ТТН]],0)</f>
        <v>0</v>
      </c>
    </row>
    <row r="892" spans="1:21" x14ac:dyDescent="0.25">
      <c r="A892" t="s">
        <v>84</v>
      </c>
      <c r="B892" s="24">
        <v>28</v>
      </c>
      <c r="C892" t="s">
        <v>126</v>
      </c>
      <c r="D892" t="s">
        <v>12</v>
      </c>
      <c r="E892" t="s">
        <v>215</v>
      </c>
      <c r="F892" t="s">
        <v>42</v>
      </c>
      <c r="H892" t="s">
        <v>10</v>
      </c>
      <c r="I892" t="s">
        <v>219</v>
      </c>
      <c r="J892">
        <v>11</v>
      </c>
      <c r="N892">
        <f>Таблица1[[#This Row],[Часов на заказчика  в работе]]+Таблица1[[#This Row],[Часов на заказчика  дежурство]]</f>
        <v>0</v>
      </c>
      <c r="O8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2" s="9">
        <v>145000</v>
      </c>
      <c r="R892" s="9">
        <v>1660</v>
      </c>
      <c r="S892" s="5">
        <v>1</v>
      </c>
      <c r="T8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табеле]])*S892,0)</f>
        <v>4833.333333333333</v>
      </c>
      <c r="U892" s="5">
        <f>IF(Таблица1[[#This Row],[ТТН]]&gt;0,Таблица1[[#This Row],[Ставка за ТТН]]*Таблица1[[#This Row],[ТТН]],0)</f>
        <v>0</v>
      </c>
    </row>
    <row r="893" spans="1:21" x14ac:dyDescent="0.25">
      <c r="A893" t="s">
        <v>84</v>
      </c>
      <c r="B893" s="24">
        <v>29</v>
      </c>
      <c r="C893" t="s">
        <v>126</v>
      </c>
      <c r="D893" t="s">
        <v>12</v>
      </c>
      <c r="E893" t="s">
        <v>215</v>
      </c>
      <c r="F893" t="s">
        <v>42</v>
      </c>
      <c r="H893" t="s">
        <v>10</v>
      </c>
      <c r="I893" t="s">
        <v>219</v>
      </c>
      <c r="J893">
        <v>11</v>
      </c>
      <c r="K893">
        <v>1</v>
      </c>
      <c r="N893">
        <f>Таблица1[[#This Row],[Часов на заказчика  в работе]]+Таблица1[[#This Row],[Часов на заказчика  дежурство]]</f>
        <v>0</v>
      </c>
      <c r="O8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3" s="9">
        <v>145000</v>
      </c>
      <c r="R893" s="9">
        <v>1660</v>
      </c>
      <c r="S893" s="5">
        <v>1</v>
      </c>
      <c r="T8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табеле]])*S893,0)</f>
        <v>4833.333333333333</v>
      </c>
      <c r="U893" s="5">
        <f>IF(Таблица1[[#This Row],[ТТН]]&gt;0,Таблица1[[#This Row],[Ставка за ТТН]]*Таблица1[[#This Row],[ТТН]],0)</f>
        <v>1660</v>
      </c>
    </row>
    <row r="894" spans="1:21" x14ac:dyDescent="0.25">
      <c r="A894" t="s">
        <v>84</v>
      </c>
      <c r="B894" s="24">
        <v>30</v>
      </c>
      <c r="C894" t="s">
        <v>127</v>
      </c>
      <c r="D894" t="s">
        <v>12</v>
      </c>
      <c r="E894" t="s">
        <v>215</v>
      </c>
      <c r="F894" t="s">
        <v>42</v>
      </c>
      <c r="H894" t="s">
        <v>10</v>
      </c>
      <c r="I894" t="s">
        <v>219</v>
      </c>
      <c r="J894">
        <v>22</v>
      </c>
      <c r="K894">
        <v>1</v>
      </c>
      <c r="N894">
        <f>Таблица1[[#This Row],[Часов на заказчика  в работе]]+Таблица1[[#This Row],[Часов на заказчика  дежурство]]</f>
        <v>0</v>
      </c>
      <c r="O8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4" s="9">
        <v>145000</v>
      </c>
      <c r="R894" s="9">
        <v>1660</v>
      </c>
      <c r="S894" s="5">
        <v>1</v>
      </c>
      <c r="T8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табеле]])*S894,0)</f>
        <v>9666.6666666666661</v>
      </c>
      <c r="U894" s="5">
        <f>IF(Таблица1[[#This Row],[ТТН]]&gt;0,Таблица1[[#This Row],[Ставка за ТТН]]*Таблица1[[#This Row],[ТТН]],0)</f>
        <v>1660</v>
      </c>
    </row>
    <row r="895" spans="1:21" x14ac:dyDescent="0.25">
      <c r="A895" t="s">
        <v>84</v>
      </c>
      <c r="B895" s="24">
        <v>1</v>
      </c>
      <c r="C895" t="s">
        <v>127</v>
      </c>
      <c r="D895" t="s">
        <v>12</v>
      </c>
      <c r="E895" t="s">
        <v>215</v>
      </c>
      <c r="F895" t="s">
        <v>42</v>
      </c>
      <c r="H895" t="s">
        <v>10</v>
      </c>
      <c r="I895" t="s">
        <v>219</v>
      </c>
      <c r="J895">
        <v>22</v>
      </c>
      <c r="K895">
        <v>1</v>
      </c>
      <c r="N895">
        <f>Таблица1[[#This Row],[Часов на заказчика  в работе]]+Таблица1[[#This Row],[Часов на заказчика  дежурство]]</f>
        <v>0</v>
      </c>
      <c r="O8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5" s="9">
        <v>145000</v>
      </c>
      <c r="R895" s="9">
        <v>1660</v>
      </c>
      <c r="S895" s="5">
        <v>1</v>
      </c>
      <c r="T8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табеле]])*S895,0)</f>
        <v>9666.6666666666661</v>
      </c>
      <c r="U895" s="5">
        <f>IF(Таблица1[[#This Row],[ТТН]]&gt;0,Таблица1[[#This Row],[Ставка за ТТН]]*Таблица1[[#This Row],[ТТН]],0)</f>
        <v>1660</v>
      </c>
    </row>
    <row r="896" spans="1:21" x14ac:dyDescent="0.25">
      <c r="A896" t="s">
        <v>84</v>
      </c>
      <c r="B896" s="24">
        <v>2</v>
      </c>
      <c r="C896" t="s">
        <v>127</v>
      </c>
      <c r="D896" t="s">
        <v>12</v>
      </c>
      <c r="E896" t="s">
        <v>215</v>
      </c>
      <c r="F896" t="s">
        <v>42</v>
      </c>
      <c r="H896" t="s">
        <v>10</v>
      </c>
      <c r="I896" t="s">
        <v>219</v>
      </c>
      <c r="J896">
        <v>11</v>
      </c>
      <c r="N896">
        <f>Таблица1[[#This Row],[Часов на заказчика  в работе]]+Таблица1[[#This Row],[Часов на заказчика  дежурство]]</f>
        <v>0</v>
      </c>
      <c r="O8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6" s="9">
        <v>145000</v>
      </c>
      <c r="R896" s="9">
        <v>1660</v>
      </c>
      <c r="S896" s="5">
        <v>1</v>
      </c>
      <c r="T8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табеле]])*S896,0)</f>
        <v>4833.333333333333</v>
      </c>
      <c r="U896" s="5">
        <f>IF(Таблица1[[#This Row],[ТТН]]&gt;0,Таблица1[[#This Row],[Ставка за ТТН]]*Таблица1[[#This Row],[ТТН]],0)</f>
        <v>0</v>
      </c>
    </row>
    <row r="897" spans="1:22" x14ac:dyDescent="0.25">
      <c r="A897" t="s">
        <v>84</v>
      </c>
      <c r="B897" s="24">
        <v>3</v>
      </c>
      <c r="C897" t="s">
        <v>127</v>
      </c>
      <c r="D897" t="s">
        <v>12</v>
      </c>
      <c r="E897" t="s">
        <v>215</v>
      </c>
      <c r="F897" t="s">
        <v>42</v>
      </c>
      <c r="H897" t="s">
        <v>10</v>
      </c>
      <c r="I897" t="s">
        <v>219</v>
      </c>
      <c r="J897">
        <v>11</v>
      </c>
      <c r="K897">
        <v>1</v>
      </c>
      <c r="N897">
        <f>Таблица1[[#This Row],[Часов на заказчика  в работе]]+Таблица1[[#This Row],[Часов на заказчика  дежурство]]</f>
        <v>0</v>
      </c>
      <c r="O8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7" s="9">
        <v>145000</v>
      </c>
      <c r="R897" s="9">
        <v>1660</v>
      </c>
      <c r="S897" s="5">
        <v>1</v>
      </c>
      <c r="T8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табеле]])*S897,0)</f>
        <v>4833.333333333333</v>
      </c>
      <c r="U897" s="5">
        <f>IF(Таблица1[[#This Row],[ТТН]]&gt;0,Таблица1[[#This Row],[Ставка за ТТН]]*Таблица1[[#This Row],[ТТН]],0)</f>
        <v>1660</v>
      </c>
      <c r="V897" t="s">
        <v>63</v>
      </c>
    </row>
    <row r="898" spans="1:22" x14ac:dyDescent="0.25">
      <c r="A898" t="s">
        <v>84</v>
      </c>
      <c r="B898" s="24">
        <v>4</v>
      </c>
      <c r="C898" t="s">
        <v>127</v>
      </c>
      <c r="D898" t="s">
        <v>12</v>
      </c>
      <c r="E898" t="s">
        <v>215</v>
      </c>
      <c r="F898" t="s">
        <v>42</v>
      </c>
      <c r="H898" t="s">
        <v>10</v>
      </c>
      <c r="I898" t="s">
        <v>219</v>
      </c>
      <c r="J898">
        <v>11</v>
      </c>
      <c r="N898">
        <f>Таблица1[[#This Row],[Часов на заказчика  в работе]]+Таблица1[[#This Row],[Часов на заказчика  дежурство]]</f>
        <v>0</v>
      </c>
      <c r="O8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8" s="9">
        <v>145000</v>
      </c>
      <c r="R898" s="9">
        <v>1660</v>
      </c>
      <c r="S898" s="5">
        <v>1</v>
      </c>
      <c r="T8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табеле]])*S898,0)</f>
        <v>4833.333333333333</v>
      </c>
      <c r="U898" s="5">
        <f>IF(Таблица1[[#This Row],[ТТН]]&gt;0,Таблица1[[#This Row],[Ставка за ТТН]]*Таблица1[[#This Row],[ТТН]],0)</f>
        <v>0</v>
      </c>
      <c r="V898" t="s">
        <v>63</v>
      </c>
    </row>
    <row r="899" spans="1:22" x14ac:dyDescent="0.25">
      <c r="A899" t="s">
        <v>84</v>
      </c>
      <c r="B899" s="24">
        <v>5</v>
      </c>
      <c r="C899" t="s">
        <v>127</v>
      </c>
      <c r="D899" t="s">
        <v>12</v>
      </c>
      <c r="E899" t="s">
        <v>215</v>
      </c>
      <c r="F899" t="s">
        <v>42</v>
      </c>
      <c r="H899" t="s">
        <v>10</v>
      </c>
      <c r="I899" t="s">
        <v>219</v>
      </c>
      <c r="J899">
        <v>22</v>
      </c>
      <c r="K899">
        <v>1</v>
      </c>
      <c r="N899">
        <f>Таблица1[[#This Row],[Часов на заказчика  в работе]]+Таблица1[[#This Row],[Часов на заказчика  дежурство]]</f>
        <v>0</v>
      </c>
      <c r="O8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899" s="9">
        <v>145000</v>
      </c>
      <c r="R899" s="9">
        <v>1660</v>
      </c>
      <c r="S899" s="5">
        <v>1</v>
      </c>
      <c r="T8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табеле]])*S899,0)</f>
        <v>9666.6666666666661</v>
      </c>
      <c r="U899" s="5">
        <f>IF(Таблица1[[#This Row],[ТТН]]&gt;0,Таблица1[[#This Row],[Ставка за ТТН]]*Таблица1[[#This Row],[ТТН]],0)</f>
        <v>1660</v>
      </c>
    </row>
    <row r="900" spans="1:22" x14ac:dyDescent="0.25">
      <c r="A900" t="s">
        <v>84</v>
      </c>
      <c r="B900" s="24">
        <v>6</v>
      </c>
      <c r="C900" t="s">
        <v>127</v>
      </c>
      <c r="D900" t="s">
        <v>12</v>
      </c>
      <c r="E900" t="s">
        <v>215</v>
      </c>
      <c r="F900" t="s">
        <v>42</v>
      </c>
      <c r="H900" t="s">
        <v>38</v>
      </c>
      <c r="I900" t="s">
        <v>219</v>
      </c>
      <c r="J900">
        <v>11</v>
      </c>
      <c r="N900">
        <f>Таблица1[[#This Row],[Часов на заказчика  в работе]]+Таблица1[[#This Row],[Часов на заказчика  дежурство]]</f>
        <v>0</v>
      </c>
      <c r="O9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0" s="9">
        <v>145000</v>
      </c>
      <c r="R900" s="9">
        <v>1660</v>
      </c>
      <c r="S900" s="5">
        <v>1</v>
      </c>
      <c r="T9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табеле]])*S900,0)</f>
        <v>4833.333333333333</v>
      </c>
      <c r="U900" s="5">
        <f>IF(Таблица1[[#This Row],[ТТН]]&gt;0,Таблица1[[#This Row],[Ставка за ТТН]]*Таблица1[[#This Row],[ТТН]],0)</f>
        <v>0</v>
      </c>
    </row>
    <row r="901" spans="1:22" x14ac:dyDescent="0.25">
      <c r="A901" t="s">
        <v>84</v>
      </c>
      <c r="B901" s="24">
        <v>7</v>
      </c>
      <c r="C901" t="s">
        <v>127</v>
      </c>
      <c r="D901" t="s">
        <v>12</v>
      </c>
      <c r="E901" t="s">
        <v>215</v>
      </c>
      <c r="F901" t="s">
        <v>42</v>
      </c>
      <c r="H901" t="s">
        <v>38</v>
      </c>
      <c r="I901" t="s">
        <v>219</v>
      </c>
      <c r="J901">
        <v>11</v>
      </c>
      <c r="N901">
        <f>Таблица1[[#This Row],[Часов на заказчика  в работе]]+Таблица1[[#This Row],[Часов на заказчика  дежурство]]</f>
        <v>0</v>
      </c>
      <c r="O9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1" s="9">
        <v>145000</v>
      </c>
      <c r="R901" s="9">
        <v>1660</v>
      </c>
      <c r="S901" s="5">
        <v>1</v>
      </c>
      <c r="T9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табеле]])*S901,0)</f>
        <v>4833.333333333333</v>
      </c>
      <c r="U901" s="5">
        <f>IF(Таблица1[[#This Row],[ТТН]]&gt;0,Таблица1[[#This Row],[Ставка за ТТН]]*Таблица1[[#This Row],[ТТН]],0)</f>
        <v>0</v>
      </c>
    </row>
    <row r="902" spans="1:22" x14ac:dyDescent="0.25">
      <c r="A902" t="s">
        <v>84</v>
      </c>
      <c r="B902" s="24">
        <v>8</v>
      </c>
      <c r="C902" t="s">
        <v>127</v>
      </c>
      <c r="D902" t="s">
        <v>12</v>
      </c>
      <c r="E902" t="s">
        <v>215</v>
      </c>
      <c r="F902" t="s">
        <v>42</v>
      </c>
      <c r="H902" t="s">
        <v>23</v>
      </c>
      <c r="I902" t="s">
        <v>219</v>
      </c>
      <c r="J902">
        <v>11</v>
      </c>
      <c r="N902">
        <f>Таблица1[[#This Row],[Часов на заказчика  в работе]]+Таблица1[[#This Row],[Часов на заказчика  дежурство]]</f>
        <v>0</v>
      </c>
      <c r="O9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2" s="9">
        <v>145000</v>
      </c>
      <c r="R902" s="9">
        <v>1660</v>
      </c>
      <c r="S902" s="5">
        <v>1</v>
      </c>
      <c r="T9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табеле]])*S902,0)</f>
        <v>4833.333333333333</v>
      </c>
      <c r="U902" s="5">
        <f>IF(Таблица1[[#This Row],[ТТН]]&gt;0,Таблица1[[#This Row],[Ставка за ТТН]]*Таблица1[[#This Row],[ТТН]],0)</f>
        <v>0</v>
      </c>
    </row>
    <row r="903" spans="1:22" x14ac:dyDescent="0.25">
      <c r="A903" t="s">
        <v>84</v>
      </c>
      <c r="B903" s="24">
        <v>9</v>
      </c>
      <c r="C903" t="s">
        <v>127</v>
      </c>
      <c r="D903" t="s">
        <v>12</v>
      </c>
      <c r="E903" t="s">
        <v>215</v>
      </c>
      <c r="F903" t="s">
        <v>42</v>
      </c>
      <c r="H903" t="s">
        <v>10</v>
      </c>
      <c r="I903" t="s">
        <v>219</v>
      </c>
      <c r="J903">
        <v>11</v>
      </c>
      <c r="K903">
        <v>1</v>
      </c>
      <c r="N903">
        <f>Таблица1[[#This Row],[Часов на заказчика  в работе]]+Таблица1[[#This Row],[Часов на заказчика  дежурство]]</f>
        <v>0</v>
      </c>
      <c r="O9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3" s="9">
        <v>145000</v>
      </c>
      <c r="R903" s="9">
        <v>1660</v>
      </c>
      <c r="S903" s="5">
        <v>1</v>
      </c>
      <c r="T9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табеле]])*S903,0)</f>
        <v>4833.333333333333</v>
      </c>
      <c r="U903" s="5">
        <f>IF(Таблица1[[#This Row],[ТТН]]&gt;0,Таблица1[[#This Row],[Ставка за ТТН]]*Таблица1[[#This Row],[ТТН]],0)</f>
        <v>1660</v>
      </c>
    </row>
    <row r="904" spans="1:22" x14ac:dyDescent="0.25">
      <c r="A904" t="s">
        <v>84</v>
      </c>
      <c r="B904" s="24">
        <v>10</v>
      </c>
      <c r="C904" t="s">
        <v>127</v>
      </c>
      <c r="D904" t="s">
        <v>12</v>
      </c>
      <c r="E904" t="s">
        <v>215</v>
      </c>
      <c r="F904" t="s">
        <v>42</v>
      </c>
      <c r="H904" t="s">
        <v>10</v>
      </c>
      <c r="I904" t="s">
        <v>219</v>
      </c>
      <c r="J904">
        <v>11</v>
      </c>
      <c r="N904">
        <f>Таблица1[[#This Row],[Часов на заказчика  в работе]]+Таблица1[[#This Row],[Часов на заказчика  дежурство]]</f>
        <v>0</v>
      </c>
      <c r="O9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4" s="9">
        <v>145000</v>
      </c>
      <c r="R904" s="9">
        <v>1660</v>
      </c>
      <c r="S904" s="5">
        <v>1</v>
      </c>
      <c r="T9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табеле]])*S904,0)</f>
        <v>4833.333333333333</v>
      </c>
      <c r="U904" s="5">
        <f>IF(Таблица1[[#This Row],[ТТН]]&gt;0,Таблица1[[#This Row],[Ставка за ТТН]]*Таблица1[[#This Row],[ТТН]],0)</f>
        <v>0</v>
      </c>
    </row>
    <row r="905" spans="1:22" x14ac:dyDescent="0.25">
      <c r="A905" t="s">
        <v>84</v>
      </c>
      <c r="B905" s="24">
        <v>11</v>
      </c>
      <c r="C905" t="s">
        <v>127</v>
      </c>
      <c r="D905" t="s">
        <v>12</v>
      </c>
      <c r="E905" t="s">
        <v>215</v>
      </c>
      <c r="F905" t="s">
        <v>42</v>
      </c>
      <c r="H905" t="s">
        <v>38</v>
      </c>
      <c r="I905" t="s">
        <v>219</v>
      </c>
      <c r="J905">
        <v>11</v>
      </c>
      <c r="N905">
        <f>Таблица1[[#This Row],[Часов на заказчика  в работе]]+Таблица1[[#This Row],[Часов на заказчика  дежурство]]</f>
        <v>0</v>
      </c>
      <c r="O9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5" s="9">
        <v>145000</v>
      </c>
      <c r="R905" s="9">
        <v>1660</v>
      </c>
      <c r="S905" s="5">
        <v>1</v>
      </c>
      <c r="T9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табеле]])*S905,0)</f>
        <v>4833.333333333333</v>
      </c>
      <c r="U905" s="5">
        <f>IF(Таблица1[[#This Row],[ТТН]]&gt;0,Таблица1[[#This Row],[Ставка за ТТН]]*Таблица1[[#This Row],[ТТН]],0)</f>
        <v>0</v>
      </c>
    </row>
    <row r="906" spans="1:22" x14ac:dyDescent="0.25">
      <c r="A906" t="s">
        <v>84</v>
      </c>
      <c r="B906" s="24">
        <v>12</v>
      </c>
      <c r="C906" t="s">
        <v>127</v>
      </c>
      <c r="D906" t="s">
        <v>12</v>
      </c>
      <c r="E906" t="s">
        <v>215</v>
      </c>
      <c r="F906" t="s">
        <v>42</v>
      </c>
      <c r="H906" t="s">
        <v>38</v>
      </c>
      <c r="I906" t="s">
        <v>219</v>
      </c>
      <c r="J906">
        <v>11</v>
      </c>
      <c r="N906">
        <f>Таблица1[[#This Row],[Часов на заказчика  в работе]]+Таблица1[[#This Row],[Часов на заказчика  дежурство]]</f>
        <v>0</v>
      </c>
      <c r="O9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6" s="9">
        <v>145000</v>
      </c>
      <c r="R906" s="9">
        <v>1660</v>
      </c>
      <c r="S906" s="5">
        <v>1</v>
      </c>
      <c r="T9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табеле]])*S906,0)</f>
        <v>4833.333333333333</v>
      </c>
      <c r="U906" s="5">
        <f>IF(Таблица1[[#This Row],[ТТН]]&gt;0,Таблица1[[#This Row],[Ставка за ТТН]]*Таблица1[[#This Row],[ТТН]],0)</f>
        <v>0</v>
      </c>
    </row>
    <row r="907" spans="1:22" x14ac:dyDescent="0.25">
      <c r="A907" t="s">
        <v>84</v>
      </c>
      <c r="B907" s="24">
        <v>13</v>
      </c>
      <c r="C907" t="s">
        <v>127</v>
      </c>
      <c r="D907" t="s">
        <v>12</v>
      </c>
      <c r="E907" t="s">
        <v>215</v>
      </c>
      <c r="F907" t="s">
        <v>42</v>
      </c>
      <c r="H907" t="s">
        <v>38</v>
      </c>
      <c r="I907" t="s">
        <v>219</v>
      </c>
      <c r="J907">
        <v>11</v>
      </c>
      <c r="N907">
        <f>Таблица1[[#This Row],[Часов на заказчика  в работе]]+Таблица1[[#This Row],[Часов на заказчика  дежурство]]</f>
        <v>0</v>
      </c>
      <c r="O9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7" s="9">
        <v>145000</v>
      </c>
      <c r="R907" s="9">
        <v>1660</v>
      </c>
      <c r="S907" s="5">
        <v>1</v>
      </c>
      <c r="T9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табеле]])*S907,0)</f>
        <v>4833.333333333333</v>
      </c>
      <c r="U907" s="5">
        <f>IF(Таблица1[[#This Row],[ТТН]]&gt;0,Таблица1[[#This Row],[Ставка за ТТН]]*Таблица1[[#This Row],[ТТН]],0)</f>
        <v>0</v>
      </c>
    </row>
    <row r="908" spans="1:22" x14ac:dyDescent="0.25">
      <c r="A908" t="s">
        <v>84</v>
      </c>
      <c r="B908" s="24">
        <v>14</v>
      </c>
      <c r="C908" t="s">
        <v>127</v>
      </c>
      <c r="D908" t="s">
        <v>12</v>
      </c>
      <c r="E908" t="s">
        <v>215</v>
      </c>
      <c r="F908" t="s">
        <v>42</v>
      </c>
      <c r="H908" t="s">
        <v>38</v>
      </c>
      <c r="I908" t="s">
        <v>219</v>
      </c>
      <c r="J908">
        <v>11</v>
      </c>
      <c r="N908">
        <f>Таблица1[[#This Row],[Часов на заказчика  в работе]]+Таблица1[[#This Row],[Часов на заказчика  дежурство]]</f>
        <v>0</v>
      </c>
      <c r="O9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8" s="9">
        <v>145000</v>
      </c>
      <c r="R908" s="9">
        <v>1660</v>
      </c>
      <c r="S908" s="5">
        <v>1</v>
      </c>
      <c r="T9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табеле]])*S908,0)</f>
        <v>4833.333333333333</v>
      </c>
      <c r="U908" s="5">
        <f>IF(Таблица1[[#This Row],[ТТН]]&gt;0,Таблица1[[#This Row],[Ставка за ТТН]]*Таблица1[[#This Row],[ТТН]],0)</f>
        <v>0</v>
      </c>
    </row>
    <row r="909" spans="1:22" x14ac:dyDescent="0.25">
      <c r="A909" t="s">
        <v>84</v>
      </c>
      <c r="B909" s="24">
        <v>15</v>
      </c>
      <c r="C909" t="s">
        <v>127</v>
      </c>
      <c r="D909" t="s">
        <v>12</v>
      </c>
      <c r="E909" t="s">
        <v>215</v>
      </c>
      <c r="F909" t="s">
        <v>42</v>
      </c>
      <c r="H909" t="s">
        <v>10</v>
      </c>
      <c r="I909" t="s">
        <v>219</v>
      </c>
      <c r="J909">
        <v>22</v>
      </c>
      <c r="K909">
        <v>2</v>
      </c>
      <c r="N909">
        <f>Таблица1[[#This Row],[Часов на заказчика  в работе]]+Таблица1[[#This Row],[Часов на заказчика  дежурство]]</f>
        <v>0</v>
      </c>
      <c r="O9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09" s="9">
        <v>145000</v>
      </c>
      <c r="R909" s="9">
        <v>1660</v>
      </c>
      <c r="S909" s="5">
        <v>1</v>
      </c>
      <c r="T9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табеле]])*S909,0)</f>
        <v>9666.6666666666661</v>
      </c>
      <c r="U909" s="5">
        <f>IF(Таблица1[[#This Row],[ТТН]]&gt;0,Таблица1[[#This Row],[Ставка за ТТН]]*Таблица1[[#This Row],[ТТН]],0)</f>
        <v>3320</v>
      </c>
    </row>
    <row r="910" spans="1:22" x14ac:dyDescent="0.25">
      <c r="A910" t="s">
        <v>84</v>
      </c>
      <c r="B910" s="24">
        <v>16</v>
      </c>
      <c r="C910" t="s">
        <v>127</v>
      </c>
      <c r="D910" t="s">
        <v>12</v>
      </c>
      <c r="E910" t="s">
        <v>215</v>
      </c>
      <c r="F910" t="s">
        <v>42</v>
      </c>
      <c r="H910" t="s">
        <v>10</v>
      </c>
      <c r="I910" t="s">
        <v>219</v>
      </c>
      <c r="J910">
        <v>22</v>
      </c>
      <c r="N910">
        <f>Таблица1[[#This Row],[Часов на заказчика  в работе]]+Таблица1[[#This Row],[Часов на заказчика  дежурство]]</f>
        <v>0</v>
      </c>
      <c r="O9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0" s="9">
        <v>145000</v>
      </c>
      <c r="R910" s="9">
        <v>1660</v>
      </c>
      <c r="S910" s="5">
        <v>1</v>
      </c>
      <c r="T9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табеле]])*S910,0)</f>
        <v>9666.6666666666661</v>
      </c>
      <c r="U910" s="5">
        <f>IF(Таблица1[[#This Row],[ТТН]]&gt;0,Таблица1[[#This Row],[Ставка за ТТН]]*Таблица1[[#This Row],[ТТН]],0)</f>
        <v>0</v>
      </c>
    </row>
    <row r="911" spans="1:22" x14ac:dyDescent="0.25">
      <c r="A911" t="s">
        <v>84</v>
      </c>
      <c r="B911" s="24">
        <v>17</v>
      </c>
      <c r="C911" t="s">
        <v>127</v>
      </c>
      <c r="D911" t="s">
        <v>12</v>
      </c>
      <c r="E911" t="s">
        <v>215</v>
      </c>
      <c r="F911" t="s">
        <v>42</v>
      </c>
      <c r="H911" t="s">
        <v>10</v>
      </c>
      <c r="I911" t="s">
        <v>219</v>
      </c>
      <c r="J911">
        <v>22</v>
      </c>
      <c r="K911">
        <v>2</v>
      </c>
      <c r="N911">
        <f>Таблица1[[#This Row],[Часов на заказчика  в работе]]+Таблица1[[#This Row],[Часов на заказчика  дежурство]]</f>
        <v>0</v>
      </c>
      <c r="O9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1" s="9">
        <v>145000</v>
      </c>
      <c r="R911" s="9">
        <v>1660</v>
      </c>
      <c r="S911" s="5">
        <v>1</v>
      </c>
      <c r="T9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табеле]])*S911,0)</f>
        <v>9666.6666666666661</v>
      </c>
      <c r="U911" s="5">
        <f>IF(Таблица1[[#This Row],[ТТН]]&gt;0,Таблица1[[#This Row],[Ставка за ТТН]]*Таблица1[[#This Row],[ТТН]],0)</f>
        <v>3320</v>
      </c>
    </row>
    <row r="912" spans="1:22" x14ac:dyDescent="0.25">
      <c r="A912" t="s">
        <v>84</v>
      </c>
      <c r="B912" s="24">
        <v>18</v>
      </c>
      <c r="C912" t="s">
        <v>127</v>
      </c>
      <c r="D912" t="s">
        <v>12</v>
      </c>
      <c r="E912" t="s">
        <v>215</v>
      </c>
      <c r="F912" t="s">
        <v>42</v>
      </c>
      <c r="H912" t="s">
        <v>10</v>
      </c>
      <c r="I912" t="s">
        <v>219</v>
      </c>
      <c r="J912">
        <v>11</v>
      </c>
      <c r="N912">
        <f>Таблица1[[#This Row],[Часов на заказчика  в работе]]+Таблица1[[#This Row],[Часов на заказчика  дежурство]]</f>
        <v>0</v>
      </c>
      <c r="O9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2" s="9">
        <v>145000</v>
      </c>
      <c r="R912" s="9">
        <v>1660</v>
      </c>
      <c r="S912" s="5">
        <v>1</v>
      </c>
      <c r="T9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табеле]])*S912,0)</f>
        <v>4833.333333333333</v>
      </c>
      <c r="U912" s="5">
        <f>IF(Таблица1[[#This Row],[ТТН]]&gt;0,Таблица1[[#This Row],[Ставка за ТТН]]*Таблица1[[#This Row],[ТТН]],0)</f>
        <v>0</v>
      </c>
    </row>
    <row r="913" spans="1:22" x14ac:dyDescent="0.25">
      <c r="A913" t="s">
        <v>84</v>
      </c>
      <c r="B913" s="24">
        <v>19</v>
      </c>
      <c r="C913" t="s">
        <v>127</v>
      </c>
      <c r="D913" t="s">
        <v>12</v>
      </c>
      <c r="E913" t="s">
        <v>215</v>
      </c>
      <c r="F913" t="s">
        <v>42</v>
      </c>
      <c r="H913" t="s">
        <v>10</v>
      </c>
      <c r="I913" t="s">
        <v>219</v>
      </c>
      <c r="J913">
        <v>22</v>
      </c>
      <c r="K913">
        <v>1</v>
      </c>
      <c r="N913">
        <f>Таблица1[[#This Row],[Часов на заказчика  в работе]]+Таблица1[[#This Row],[Часов на заказчика  дежурство]]</f>
        <v>0</v>
      </c>
      <c r="O9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3" s="9">
        <v>145000</v>
      </c>
      <c r="R913" s="9">
        <v>1660</v>
      </c>
      <c r="S913" s="5">
        <v>1</v>
      </c>
      <c r="T9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табеле]])*S913,0)</f>
        <v>9666.6666666666661</v>
      </c>
      <c r="U913" s="5">
        <f>IF(Таблица1[[#This Row],[ТТН]]&gt;0,Таблица1[[#This Row],[Ставка за ТТН]]*Таблица1[[#This Row],[ТТН]],0)</f>
        <v>1660</v>
      </c>
    </row>
    <row r="914" spans="1:22" x14ac:dyDescent="0.25">
      <c r="A914" t="s">
        <v>84</v>
      </c>
      <c r="B914" s="24">
        <v>20</v>
      </c>
      <c r="C914" t="s">
        <v>127</v>
      </c>
      <c r="D914" t="s">
        <v>12</v>
      </c>
      <c r="E914" t="s">
        <v>215</v>
      </c>
      <c r="F914" t="s">
        <v>42</v>
      </c>
      <c r="H914" t="s">
        <v>10</v>
      </c>
      <c r="I914" t="s">
        <v>219</v>
      </c>
      <c r="J914">
        <v>11</v>
      </c>
      <c r="K914">
        <v>1</v>
      </c>
      <c r="N914">
        <f>Таблица1[[#This Row],[Часов на заказчика  в работе]]+Таблица1[[#This Row],[Часов на заказчика  дежурство]]</f>
        <v>0</v>
      </c>
      <c r="O9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4" s="9">
        <v>145000</v>
      </c>
      <c r="R914" s="9">
        <v>1660</v>
      </c>
      <c r="S914" s="5">
        <v>1</v>
      </c>
      <c r="T9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табеле]])*S914,0)</f>
        <v>4833.333333333333</v>
      </c>
      <c r="U914" s="5">
        <f>IF(Таблица1[[#This Row],[ТТН]]&gt;0,Таблица1[[#This Row],[Ставка за ТТН]]*Таблица1[[#This Row],[ТТН]],0)</f>
        <v>1660</v>
      </c>
    </row>
    <row r="915" spans="1:22" x14ac:dyDescent="0.25">
      <c r="A915" t="s">
        <v>84</v>
      </c>
      <c r="B915" s="24">
        <v>21</v>
      </c>
      <c r="C915" t="s">
        <v>127</v>
      </c>
      <c r="D915" t="s">
        <v>12</v>
      </c>
      <c r="E915" t="s">
        <v>215</v>
      </c>
      <c r="F915" t="s">
        <v>42</v>
      </c>
      <c r="H915" t="s">
        <v>10</v>
      </c>
      <c r="I915" t="s">
        <v>219</v>
      </c>
      <c r="J915">
        <v>22</v>
      </c>
      <c r="K915">
        <v>1</v>
      </c>
      <c r="N915">
        <f>Таблица1[[#This Row],[Часов на заказчика  в работе]]+Таблица1[[#This Row],[Часов на заказчика  дежурство]]</f>
        <v>0</v>
      </c>
      <c r="O9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5" s="9">
        <v>145000</v>
      </c>
      <c r="R915" s="9">
        <v>1660</v>
      </c>
      <c r="S915" s="5">
        <v>1</v>
      </c>
      <c r="T9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табеле]])*S915,0)</f>
        <v>9666.6666666666661</v>
      </c>
      <c r="U915" s="5">
        <f>IF(Таблица1[[#This Row],[ТТН]]&gt;0,Таблица1[[#This Row],[Ставка за ТТН]]*Таблица1[[#This Row],[ТТН]],0)</f>
        <v>1660</v>
      </c>
    </row>
    <row r="916" spans="1:22" x14ac:dyDescent="0.25">
      <c r="A916" t="s">
        <v>84</v>
      </c>
      <c r="B916" s="24">
        <v>22</v>
      </c>
      <c r="C916" t="s">
        <v>127</v>
      </c>
      <c r="D916" t="s">
        <v>12</v>
      </c>
      <c r="E916" t="s">
        <v>215</v>
      </c>
      <c r="F916" t="s">
        <v>42</v>
      </c>
      <c r="H916" t="s">
        <v>10</v>
      </c>
      <c r="I916" t="s">
        <v>219</v>
      </c>
      <c r="J916">
        <v>11</v>
      </c>
      <c r="N916">
        <f>Таблица1[[#This Row],[Часов на заказчика  в работе]]+Таблица1[[#This Row],[Часов на заказчика  дежурство]]</f>
        <v>0</v>
      </c>
      <c r="O9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6" s="9">
        <v>145000</v>
      </c>
      <c r="R916" s="9">
        <v>1660</v>
      </c>
      <c r="S916" s="5">
        <v>1</v>
      </c>
      <c r="T9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табеле]])*S916,0)</f>
        <v>4833.333333333333</v>
      </c>
      <c r="U916" s="5">
        <f>IF(Таблица1[[#This Row],[ТТН]]&gt;0,Таблица1[[#This Row],[Ставка за ТТН]]*Таблица1[[#This Row],[ТТН]],0)</f>
        <v>0</v>
      </c>
    </row>
    <row r="917" spans="1:22" x14ac:dyDescent="0.25">
      <c r="A917" t="s">
        <v>84</v>
      </c>
      <c r="B917" s="24">
        <v>23</v>
      </c>
      <c r="C917" t="s">
        <v>127</v>
      </c>
      <c r="D917" t="s">
        <v>12</v>
      </c>
      <c r="E917" t="s">
        <v>215</v>
      </c>
      <c r="F917" t="s">
        <v>42</v>
      </c>
      <c r="H917" t="s">
        <v>38</v>
      </c>
      <c r="I917" t="s">
        <v>219</v>
      </c>
      <c r="J917">
        <v>11</v>
      </c>
      <c r="N917">
        <f>Таблица1[[#This Row],[Часов на заказчика  в работе]]+Таблица1[[#This Row],[Часов на заказчика  дежурство]]</f>
        <v>0</v>
      </c>
      <c r="O9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7" s="9">
        <v>145000</v>
      </c>
      <c r="R917" s="9">
        <v>1660</v>
      </c>
      <c r="S917" s="5">
        <v>1</v>
      </c>
      <c r="T9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табеле]])*S917,0)</f>
        <v>4833.333333333333</v>
      </c>
      <c r="U917" s="5">
        <f>IF(Таблица1[[#This Row],[ТТН]]&gt;0,Таблица1[[#This Row],[Ставка за ТТН]]*Таблица1[[#This Row],[ТТН]],0)</f>
        <v>0</v>
      </c>
    </row>
    <row r="918" spans="1:22" x14ac:dyDescent="0.25">
      <c r="A918" t="s">
        <v>84</v>
      </c>
      <c r="B918" s="24">
        <v>24</v>
      </c>
      <c r="C918" t="s">
        <v>127</v>
      </c>
      <c r="D918" t="s">
        <v>12</v>
      </c>
      <c r="E918" t="s">
        <v>215</v>
      </c>
      <c r="F918" t="s">
        <v>42</v>
      </c>
      <c r="H918" t="s">
        <v>38</v>
      </c>
      <c r="I918" t="s">
        <v>219</v>
      </c>
      <c r="J918">
        <v>11</v>
      </c>
      <c r="N918">
        <f>Таблица1[[#This Row],[Часов на заказчика  в работе]]+Таблица1[[#This Row],[Часов на заказчика  дежурство]]</f>
        <v>0</v>
      </c>
      <c r="O9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8" s="9">
        <v>145000</v>
      </c>
      <c r="R918" s="9">
        <v>1660</v>
      </c>
      <c r="S918" s="5">
        <v>1</v>
      </c>
      <c r="T9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табеле]])*S918,0)</f>
        <v>4833.333333333333</v>
      </c>
      <c r="U918" s="5">
        <f>IF(Таблица1[[#This Row],[ТТН]]&gt;0,Таблица1[[#This Row],[Ставка за ТТН]]*Таблица1[[#This Row],[ТТН]],0)</f>
        <v>0</v>
      </c>
    </row>
    <row r="919" spans="1:22" x14ac:dyDescent="0.25">
      <c r="A919" t="s">
        <v>84</v>
      </c>
      <c r="B919" s="24">
        <v>25</v>
      </c>
      <c r="C919" t="s">
        <v>127</v>
      </c>
      <c r="D919" t="s">
        <v>12</v>
      </c>
      <c r="E919" t="s">
        <v>215</v>
      </c>
      <c r="F919" t="s">
        <v>42</v>
      </c>
      <c r="H919" t="s">
        <v>10</v>
      </c>
      <c r="I919" t="s">
        <v>219</v>
      </c>
      <c r="J919">
        <v>22</v>
      </c>
      <c r="K919">
        <v>1</v>
      </c>
      <c r="N919">
        <f>Таблица1[[#This Row],[Часов на заказчика  в работе]]+Таблица1[[#This Row],[Часов на заказчика  дежурство]]</f>
        <v>0</v>
      </c>
      <c r="O9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19" s="9">
        <v>145000</v>
      </c>
      <c r="R919" s="9">
        <v>1660</v>
      </c>
      <c r="S919" s="5">
        <v>1</v>
      </c>
      <c r="T9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табеле]])*S919,0)</f>
        <v>9666.6666666666661</v>
      </c>
      <c r="U919" s="5">
        <f>IF(Таблица1[[#This Row],[ТТН]]&gt;0,Таблица1[[#This Row],[Ставка за ТТН]]*Таблица1[[#This Row],[ТТН]],0)</f>
        <v>1660</v>
      </c>
    </row>
    <row r="920" spans="1:22" x14ac:dyDescent="0.25">
      <c r="A920" t="s">
        <v>84</v>
      </c>
      <c r="B920" s="24">
        <v>26</v>
      </c>
      <c r="C920" t="s">
        <v>127</v>
      </c>
      <c r="D920" t="s">
        <v>12</v>
      </c>
      <c r="E920" t="s">
        <v>215</v>
      </c>
      <c r="F920" t="s">
        <v>42</v>
      </c>
      <c r="H920" t="s">
        <v>10</v>
      </c>
      <c r="I920" t="s">
        <v>219</v>
      </c>
      <c r="J920">
        <v>11</v>
      </c>
      <c r="K920">
        <v>1</v>
      </c>
      <c r="N920">
        <f>Таблица1[[#This Row],[Часов на заказчика  в работе]]+Таблица1[[#This Row],[Часов на заказчика  дежурство]]</f>
        <v>0</v>
      </c>
      <c r="O9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0" s="9">
        <v>145000</v>
      </c>
      <c r="R920" s="9">
        <v>1660</v>
      </c>
      <c r="S920" s="5">
        <v>1</v>
      </c>
      <c r="T9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табеле]])*S920,0)</f>
        <v>4833.333333333333</v>
      </c>
      <c r="U920" s="5">
        <f>IF(Таблица1[[#This Row],[ТТН]]&gt;0,Таблица1[[#This Row],[Ставка за ТТН]]*Таблица1[[#This Row],[ТТН]],0)</f>
        <v>1660</v>
      </c>
    </row>
    <row r="921" spans="1:22" x14ac:dyDescent="0.25">
      <c r="A921" t="s">
        <v>84</v>
      </c>
      <c r="B921" s="24">
        <v>27</v>
      </c>
      <c r="C921" t="s">
        <v>127</v>
      </c>
      <c r="D921" t="s">
        <v>12</v>
      </c>
      <c r="E921" t="s">
        <v>215</v>
      </c>
      <c r="F921" t="s">
        <v>42</v>
      </c>
      <c r="H921" t="s">
        <v>10</v>
      </c>
      <c r="I921" t="s">
        <v>219</v>
      </c>
      <c r="J921">
        <v>11</v>
      </c>
      <c r="N921">
        <f>Таблица1[[#This Row],[Часов на заказчика  в работе]]+Таблица1[[#This Row],[Часов на заказчика  дежурство]]</f>
        <v>0</v>
      </c>
      <c r="O9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1" s="9">
        <v>145000</v>
      </c>
      <c r="R921" s="9">
        <v>1660</v>
      </c>
      <c r="S921" s="5">
        <v>1</v>
      </c>
      <c r="T9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табеле]])*S921,0)</f>
        <v>4833.333333333333</v>
      </c>
      <c r="U921" s="5">
        <f>IF(Таблица1[[#This Row],[ТТН]]&gt;0,Таблица1[[#This Row],[Ставка за ТТН]]*Таблица1[[#This Row],[ТТН]],0)</f>
        <v>0</v>
      </c>
    </row>
    <row r="922" spans="1:22" x14ac:dyDescent="0.25">
      <c r="A922" t="s">
        <v>84</v>
      </c>
      <c r="B922" s="24">
        <v>28</v>
      </c>
      <c r="C922" t="s">
        <v>127</v>
      </c>
      <c r="D922" t="s">
        <v>12</v>
      </c>
      <c r="E922" t="s">
        <v>215</v>
      </c>
      <c r="F922" t="s">
        <v>42</v>
      </c>
      <c r="H922" t="s">
        <v>10</v>
      </c>
      <c r="I922" t="s">
        <v>219</v>
      </c>
      <c r="J922">
        <v>11</v>
      </c>
      <c r="N922">
        <f>Таблица1[[#This Row],[Часов на заказчика  в работе]]+Таблица1[[#This Row],[Часов на заказчика  дежурство]]</f>
        <v>0</v>
      </c>
      <c r="O9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2" s="9">
        <v>145000</v>
      </c>
      <c r="R922" s="9">
        <v>1660</v>
      </c>
      <c r="S922" s="5">
        <v>1</v>
      </c>
      <c r="T9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табеле]])*S922,0)</f>
        <v>4833.333333333333</v>
      </c>
      <c r="U922" s="5">
        <f>IF(Таблица1[[#This Row],[ТТН]]&gt;0,Таблица1[[#This Row],[Ставка за ТТН]]*Таблица1[[#This Row],[ТТН]],0)</f>
        <v>0</v>
      </c>
    </row>
    <row r="923" spans="1:22" x14ac:dyDescent="0.25">
      <c r="A923" t="s">
        <v>84</v>
      </c>
      <c r="B923" s="24">
        <v>29</v>
      </c>
      <c r="C923" t="s">
        <v>127</v>
      </c>
      <c r="D923" t="s">
        <v>12</v>
      </c>
      <c r="E923" t="s">
        <v>215</v>
      </c>
      <c r="F923" t="s">
        <v>42</v>
      </c>
      <c r="H923" t="s">
        <v>10</v>
      </c>
      <c r="I923" t="s">
        <v>219</v>
      </c>
      <c r="J923">
        <v>22</v>
      </c>
      <c r="K923">
        <v>1</v>
      </c>
      <c r="N923">
        <f>Таблица1[[#This Row],[Часов на заказчика  в работе]]+Таблица1[[#This Row],[Часов на заказчика  дежурство]]</f>
        <v>0</v>
      </c>
      <c r="O9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3" s="9">
        <v>145000</v>
      </c>
      <c r="R923" s="9">
        <v>1660</v>
      </c>
      <c r="S923" s="5">
        <v>1</v>
      </c>
      <c r="T9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табеле]])*S923,0)</f>
        <v>9666.6666666666661</v>
      </c>
      <c r="U923" s="5">
        <f>IF(Таблица1[[#This Row],[ТТН]]&gt;0,Таблица1[[#This Row],[Ставка за ТТН]]*Таблица1[[#This Row],[ТТН]],0)</f>
        <v>1660</v>
      </c>
    </row>
    <row r="924" spans="1:22" x14ac:dyDescent="0.25">
      <c r="A924" t="s">
        <v>84</v>
      </c>
      <c r="B924" s="24">
        <v>30</v>
      </c>
      <c r="C924" t="s">
        <v>127</v>
      </c>
      <c r="D924" t="s">
        <v>12</v>
      </c>
      <c r="E924" t="s">
        <v>215</v>
      </c>
      <c r="F924" t="s">
        <v>42</v>
      </c>
      <c r="H924" t="s">
        <v>10</v>
      </c>
      <c r="I924" t="s">
        <v>219</v>
      </c>
      <c r="J924">
        <v>11</v>
      </c>
      <c r="K924">
        <v>1</v>
      </c>
      <c r="N924">
        <f>Таблица1[[#This Row],[Часов на заказчика  в работе]]+Таблица1[[#This Row],[Часов на заказчика  дежурство]]</f>
        <v>0</v>
      </c>
      <c r="O9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4" s="9">
        <v>145000</v>
      </c>
      <c r="R924" s="9">
        <v>1660</v>
      </c>
      <c r="S924" s="5">
        <v>1</v>
      </c>
      <c r="T9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табеле]])*S924,0)</f>
        <v>4833.333333333333</v>
      </c>
      <c r="U924" s="5">
        <f>IF(Таблица1[[#This Row],[ТТН]]&gt;0,Таблица1[[#This Row],[Ставка за ТТН]]*Таблица1[[#This Row],[ТТН]],0)</f>
        <v>1660</v>
      </c>
    </row>
    <row r="925" spans="1:22" x14ac:dyDescent="0.25">
      <c r="A925" t="s">
        <v>84</v>
      </c>
      <c r="B925" s="24">
        <v>1</v>
      </c>
      <c r="C925" t="s">
        <v>127</v>
      </c>
      <c r="D925" t="s">
        <v>12</v>
      </c>
      <c r="E925" t="s">
        <v>215</v>
      </c>
      <c r="F925" t="s">
        <v>42</v>
      </c>
      <c r="H925" t="s">
        <v>10</v>
      </c>
      <c r="I925" t="s">
        <v>219</v>
      </c>
      <c r="J925">
        <v>11</v>
      </c>
      <c r="K925">
        <v>1</v>
      </c>
      <c r="N925">
        <f>Таблица1[[#This Row],[Часов на заказчика  в работе]]+Таблица1[[#This Row],[Часов на заказчика  дежурство]]</f>
        <v>0</v>
      </c>
      <c r="O9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5" s="9">
        <v>145000</v>
      </c>
      <c r="R925" s="9">
        <v>1660</v>
      </c>
      <c r="S925" s="5">
        <v>1</v>
      </c>
      <c r="T9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табеле]])*S925,0)</f>
        <v>4833.333333333333</v>
      </c>
      <c r="U925" s="5">
        <f>IF(Таблица1[[#This Row],[ТТН]]&gt;0,Таблица1[[#This Row],[Ставка за ТТН]]*Таблица1[[#This Row],[ТТН]],0)</f>
        <v>1660</v>
      </c>
    </row>
    <row r="926" spans="1:22" x14ac:dyDescent="0.25">
      <c r="A926" t="s">
        <v>84</v>
      </c>
      <c r="B926" s="24">
        <v>2</v>
      </c>
      <c r="C926" t="s">
        <v>127</v>
      </c>
      <c r="D926" t="s">
        <v>12</v>
      </c>
      <c r="E926" t="s">
        <v>215</v>
      </c>
      <c r="F926" t="s">
        <v>42</v>
      </c>
      <c r="H926" t="s">
        <v>10</v>
      </c>
      <c r="I926" t="s">
        <v>219</v>
      </c>
      <c r="J926">
        <v>22</v>
      </c>
      <c r="N926">
        <f>Таблица1[[#This Row],[Часов на заказчика  в работе]]+Таблица1[[#This Row],[Часов на заказчика  дежурство]]</f>
        <v>0</v>
      </c>
      <c r="O9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6" s="9">
        <v>145000</v>
      </c>
      <c r="R926" s="9">
        <v>1660</v>
      </c>
      <c r="S926" s="5">
        <v>1</v>
      </c>
      <c r="T9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табеле]])*S926,0)</f>
        <v>9666.6666666666661</v>
      </c>
      <c r="U926" s="5">
        <f>IF(Таблица1[[#This Row],[ТТН]]&gt;0,Таблица1[[#This Row],[Ставка за ТТН]]*Таблица1[[#This Row],[ТТН]],0)</f>
        <v>0</v>
      </c>
    </row>
    <row r="927" spans="1:22" x14ac:dyDescent="0.25">
      <c r="A927" t="s">
        <v>84</v>
      </c>
      <c r="B927" s="24">
        <v>3</v>
      </c>
      <c r="C927" t="s">
        <v>127</v>
      </c>
      <c r="D927" t="s">
        <v>12</v>
      </c>
      <c r="E927" t="s">
        <v>215</v>
      </c>
      <c r="F927" t="s">
        <v>42</v>
      </c>
      <c r="H927" t="s">
        <v>10</v>
      </c>
      <c r="I927" t="s">
        <v>219</v>
      </c>
      <c r="J927">
        <v>11</v>
      </c>
      <c r="K927">
        <v>1</v>
      </c>
      <c r="N927">
        <f>Таблица1[[#This Row],[Часов на заказчика  в работе]]+Таблица1[[#This Row],[Часов на заказчика  дежурство]]</f>
        <v>0</v>
      </c>
      <c r="O9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7" s="9">
        <v>145000</v>
      </c>
      <c r="R927" s="9">
        <v>1660</v>
      </c>
      <c r="S927" s="5">
        <v>1</v>
      </c>
      <c r="T9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табеле]])*S927,0)</f>
        <v>4833.333333333333</v>
      </c>
      <c r="U927" s="5">
        <f>IF(Таблица1[[#This Row],[ТТН]]&gt;0,Таблица1[[#This Row],[Ставка за ТТН]]*Таблица1[[#This Row],[ТТН]],0)</f>
        <v>1660</v>
      </c>
      <c r="V927" t="s">
        <v>58</v>
      </c>
    </row>
    <row r="928" spans="1:22" x14ac:dyDescent="0.25">
      <c r="A928" t="s">
        <v>84</v>
      </c>
      <c r="B928" s="24">
        <v>4</v>
      </c>
      <c r="C928" t="s">
        <v>127</v>
      </c>
      <c r="D928" t="s">
        <v>12</v>
      </c>
      <c r="E928" t="s">
        <v>215</v>
      </c>
      <c r="F928" t="s">
        <v>42</v>
      </c>
      <c r="H928" t="s">
        <v>10</v>
      </c>
      <c r="I928" t="s">
        <v>219</v>
      </c>
      <c r="J928">
        <v>11</v>
      </c>
      <c r="N928">
        <f>Таблица1[[#This Row],[Часов на заказчика  в работе]]+Таблица1[[#This Row],[Часов на заказчика  дежурство]]</f>
        <v>0</v>
      </c>
      <c r="O9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8" s="9">
        <v>145000</v>
      </c>
      <c r="R928" s="9">
        <v>1660</v>
      </c>
      <c r="S928" s="5">
        <v>1</v>
      </c>
      <c r="T9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табеле]])*S928,0)</f>
        <v>4833.333333333333</v>
      </c>
      <c r="U928" s="5">
        <f>IF(Таблица1[[#This Row],[ТТН]]&gt;0,Таблица1[[#This Row],[Ставка за ТТН]]*Таблица1[[#This Row],[ТТН]],0)</f>
        <v>0</v>
      </c>
      <c r="V928" t="s">
        <v>59</v>
      </c>
    </row>
    <row r="929" spans="1:21" x14ac:dyDescent="0.25">
      <c r="A929" t="s">
        <v>84</v>
      </c>
      <c r="B929" s="24">
        <v>5</v>
      </c>
      <c r="C929" t="s">
        <v>127</v>
      </c>
      <c r="D929" t="s">
        <v>12</v>
      </c>
      <c r="E929" t="s">
        <v>215</v>
      </c>
      <c r="F929" t="s">
        <v>42</v>
      </c>
      <c r="H929" t="s">
        <v>10</v>
      </c>
      <c r="I929" t="s">
        <v>219</v>
      </c>
      <c r="J929">
        <v>22</v>
      </c>
      <c r="K929">
        <v>2</v>
      </c>
      <c r="N929">
        <f>Таблица1[[#This Row],[Часов на заказчика  в работе]]+Таблица1[[#This Row],[Часов на заказчика  дежурство]]</f>
        <v>0</v>
      </c>
      <c r="O9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29" s="9">
        <v>145000</v>
      </c>
      <c r="R929" s="9">
        <v>1660</v>
      </c>
      <c r="S929" s="5">
        <v>1</v>
      </c>
      <c r="T9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табеле]])*S929,0)</f>
        <v>9666.6666666666661</v>
      </c>
      <c r="U929" s="5">
        <f>IF(Таблица1[[#This Row],[ТТН]]&gt;0,Таблица1[[#This Row],[Ставка за ТТН]]*Таблица1[[#This Row],[ТТН]],0)</f>
        <v>3320</v>
      </c>
    </row>
    <row r="930" spans="1:21" x14ac:dyDescent="0.25">
      <c r="A930" t="s">
        <v>84</v>
      </c>
      <c r="B930" s="24">
        <v>6</v>
      </c>
      <c r="C930" t="s">
        <v>127</v>
      </c>
      <c r="D930" t="s">
        <v>12</v>
      </c>
      <c r="E930" t="s">
        <v>215</v>
      </c>
      <c r="F930" t="s">
        <v>42</v>
      </c>
      <c r="H930" t="s">
        <v>38</v>
      </c>
      <c r="I930" t="s">
        <v>219</v>
      </c>
      <c r="J930">
        <v>11</v>
      </c>
      <c r="N930">
        <f>Таблица1[[#This Row],[Часов на заказчика  в работе]]+Таблица1[[#This Row],[Часов на заказчика  дежурство]]</f>
        <v>0</v>
      </c>
      <c r="O9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0" s="9">
        <v>145000</v>
      </c>
      <c r="R930" s="9">
        <v>1660</v>
      </c>
      <c r="S930" s="5">
        <v>1</v>
      </c>
      <c r="T9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табеле]])*S930,0)</f>
        <v>4833.333333333333</v>
      </c>
      <c r="U930" s="5">
        <f>IF(Таблица1[[#This Row],[ТТН]]&gt;0,Таблица1[[#This Row],[Ставка за ТТН]]*Таблица1[[#This Row],[ТТН]],0)</f>
        <v>0</v>
      </c>
    </row>
    <row r="931" spans="1:21" x14ac:dyDescent="0.25">
      <c r="A931" t="s">
        <v>84</v>
      </c>
      <c r="B931" s="24">
        <v>7</v>
      </c>
      <c r="C931" t="s">
        <v>127</v>
      </c>
      <c r="D931" t="s">
        <v>12</v>
      </c>
      <c r="E931" t="s">
        <v>215</v>
      </c>
      <c r="F931" t="s">
        <v>42</v>
      </c>
      <c r="H931" t="s">
        <v>38</v>
      </c>
      <c r="I931" t="s">
        <v>219</v>
      </c>
      <c r="J931">
        <v>11</v>
      </c>
      <c r="N931">
        <f>Таблица1[[#This Row],[Часов на заказчика  в работе]]+Таблица1[[#This Row],[Часов на заказчика  дежурство]]</f>
        <v>0</v>
      </c>
      <c r="O9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1" s="9">
        <v>145000</v>
      </c>
      <c r="R931" s="9">
        <v>1660</v>
      </c>
      <c r="S931" s="5">
        <v>1</v>
      </c>
      <c r="T9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табеле]])*S931,0)</f>
        <v>4833.333333333333</v>
      </c>
      <c r="U931" s="5">
        <f>IF(Таблица1[[#This Row],[ТТН]]&gt;0,Таблица1[[#This Row],[Ставка за ТТН]]*Таблица1[[#This Row],[ТТН]],0)</f>
        <v>0</v>
      </c>
    </row>
    <row r="932" spans="1:21" x14ac:dyDescent="0.25">
      <c r="A932" t="s">
        <v>84</v>
      </c>
      <c r="B932" s="24">
        <v>8</v>
      </c>
      <c r="C932" t="s">
        <v>127</v>
      </c>
      <c r="D932" t="s">
        <v>12</v>
      </c>
      <c r="E932" t="s">
        <v>215</v>
      </c>
      <c r="F932" t="s">
        <v>42</v>
      </c>
      <c r="H932" t="s">
        <v>23</v>
      </c>
      <c r="I932" t="s">
        <v>217</v>
      </c>
      <c r="J932">
        <v>11</v>
      </c>
      <c r="N932">
        <f>Таблица1[[#This Row],[Часов на заказчика  в работе]]+Таблица1[[#This Row],[Часов на заказчика  дежурство]]</f>
        <v>0</v>
      </c>
      <c r="O9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2" s="9">
        <v>145000</v>
      </c>
      <c r="R932" s="9">
        <v>1660</v>
      </c>
      <c r="S932" s="5">
        <v>1</v>
      </c>
      <c r="T9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табеле]])*S932,0)</f>
        <v>4833.333333333333</v>
      </c>
      <c r="U932" s="5">
        <f>IF(Таблица1[[#This Row],[ТТН]]&gt;0,Таблица1[[#This Row],[Ставка за ТТН]]*Таблица1[[#This Row],[ТТН]],0)</f>
        <v>0</v>
      </c>
    </row>
    <row r="933" spans="1:21" x14ac:dyDescent="0.25">
      <c r="A933" t="s">
        <v>84</v>
      </c>
      <c r="B933" s="24">
        <v>9</v>
      </c>
      <c r="C933" t="s">
        <v>127</v>
      </c>
      <c r="D933" t="s">
        <v>12</v>
      </c>
      <c r="E933" t="s">
        <v>215</v>
      </c>
      <c r="F933" t="s">
        <v>42</v>
      </c>
      <c r="H933" t="s">
        <v>10</v>
      </c>
      <c r="I933" t="s">
        <v>219</v>
      </c>
      <c r="J933">
        <v>11</v>
      </c>
      <c r="N933">
        <f>Таблица1[[#This Row],[Часов на заказчика  в работе]]+Таблица1[[#This Row],[Часов на заказчика  дежурство]]</f>
        <v>0</v>
      </c>
      <c r="O9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3" s="9">
        <v>145000</v>
      </c>
      <c r="R933" s="9">
        <v>1660</v>
      </c>
      <c r="S933" s="5">
        <v>1</v>
      </c>
      <c r="T9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табеле]])*S933,0)</f>
        <v>4833.333333333333</v>
      </c>
      <c r="U933" s="5">
        <f>IF(Таблица1[[#This Row],[ТТН]]&gt;0,Таблица1[[#This Row],[Ставка за ТТН]]*Таблица1[[#This Row],[ТТН]],0)</f>
        <v>0</v>
      </c>
    </row>
    <row r="934" spans="1:21" x14ac:dyDescent="0.25">
      <c r="A934" t="s">
        <v>84</v>
      </c>
      <c r="B934" s="24">
        <v>10</v>
      </c>
      <c r="C934" t="s">
        <v>127</v>
      </c>
      <c r="D934" t="s">
        <v>12</v>
      </c>
      <c r="E934" t="s">
        <v>215</v>
      </c>
      <c r="F934" t="s">
        <v>42</v>
      </c>
      <c r="H934" t="s">
        <v>10</v>
      </c>
      <c r="I934" t="s">
        <v>219</v>
      </c>
      <c r="J934">
        <v>22</v>
      </c>
      <c r="K934">
        <v>1</v>
      </c>
      <c r="N934">
        <f>Таблица1[[#This Row],[Часов на заказчика  в работе]]+Таблица1[[#This Row],[Часов на заказчика  дежурство]]</f>
        <v>0</v>
      </c>
      <c r="O9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4" s="9">
        <v>145000</v>
      </c>
      <c r="R934" s="9">
        <v>1660</v>
      </c>
      <c r="S934" s="5">
        <v>1</v>
      </c>
      <c r="T9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табеле]])*S934,0)</f>
        <v>9666.6666666666661</v>
      </c>
      <c r="U934" s="5">
        <f>IF(Таблица1[[#This Row],[ТТН]]&gt;0,Таблица1[[#This Row],[Ставка за ТТН]]*Таблица1[[#This Row],[ТТН]],0)</f>
        <v>1660</v>
      </c>
    </row>
    <row r="935" spans="1:21" x14ac:dyDescent="0.25">
      <c r="A935" t="s">
        <v>84</v>
      </c>
      <c r="B935" s="24">
        <v>11</v>
      </c>
      <c r="C935" t="s">
        <v>127</v>
      </c>
      <c r="D935" t="s">
        <v>12</v>
      </c>
      <c r="E935" t="s">
        <v>215</v>
      </c>
      <c r="F935" t="s">
        <v>42</v>
      </c>
      <c r="H935" t="s">
        <v>10</v>
      </c>
      <c r="I935" t="s">
        <v>219</v>
      </c>
      <c r="J935">
        <v>11</v>
      </c>
      <c r="K935">
        <v>1</v>
      </c>
      <c r="N935">
        <f>Таблица1[[#This Row],[Часов на заказчика  в работе]]+Таблица1[[#This Row],[Часов на заказчика  дежурство]]</f>
        <v>0</v>
      </c>
      <c r="O9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5" s="9">
        <v>145000</v>
      </c>
      <c r="R935" s="9">
        <v>1660</v>
      </c>
      <c r="S935" s="5">
        <v>1</v>
      </c>
      <c r="T9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табеле]])*S935,0)</f>
        <v>4833.333333333333</v>
      </c>
      <c r="U935" s="5">
        <f>IF(Таблица1[[#This Row],[ТТН]]&gt;0,Таблица1[[#This Row],[Ставка за ТТН]]*Таблица1[[#This Row],[ТТН]],0)</f>
        <v>1660</v>
      </c>
    </row>
    <row r="936" spans="1:21" x14ac:dyDescent="0.25">
      <c r="A936" t="s">
        <v>84</v>
      </c>
      <c r="B936" s="24">
        <v>12</v>
      </c>
      <c r="C936" t="s">
        <v>127</v>
      </c>
      <c r="D936" t="s">
        <v>12</v>
      </c>
      <c r="E936" t="s">
        <v>215</v>
      </c>
      <c r="F936" t="s">
        <v>42</v>
      </c>
      <c r="H936" t="s">
        <v>38</v>
      </c>
      <c r="I936" t="s">
        <v>219</v>
      </c>
      <c r="J936">
        <v>11</v>
      </c>
      <c r="N936">
        <f>Таблица1[[#This Row],[Часов на заказчика  в работе]]+Таблица1[[#This Row],[Часов на заказчика  дежурство]]</f>
        <v>0</v>
      </c>
      <c r="O9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6" s="9">
        <v>145000</v>
      </c>
      <c r="R936" s="9">
        <v>1660</v>
      </c>
      <c r="S936" s="5">
        <v>1</v>
      </c>
      <c r="T9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табеле]])*S936,0)</f>
        <v>4833.333333333333</v>
      </c>
      <c r="U936" s="5">
        <f>IF(Таблица1[[#This Row],[ТТН]]&gt;0,Таблица1[[#This Row],[Ставка за ТТН]]*Таблица1[[#This Row],[ТТН]],0)</f>
        <v>0</v>
      </c>
    </row>
    <row r="937" spans="1:21" x14ac:dyDescent="0.25">
      <c r="A937" t="s">
        <v>84</v>
      </c>
      <c r="B937" s="24">
        <v>13</v>
      </c>
      <c r="C937" t="s">
        <v>127</v>
      </c>
      <c r="D937" t="s">
        <v>12</v>
      </c>
      <c r="E937" t="s">
        <v>215</v>
      </c>
      <c r="F937" t="s">
        <v>42</v>
      </c>
      <c r="H937" t="s">
        <v>10</v>
      </c>
      <c r="I937" t="s">
        <v>219</v>
      </c>
      <c r="J937">
        <v>11</v>
      </c>
      <c r="N937">
        <f>Таблица1[[#This Row],[Часов на заказчика  в работе]]+Таблица1[[#This Row],[Часов на заказчика  дежурство]]</f>
        <v>0</v>
      </c>
      <c r="O9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7" s="9">
        <v>145000</v>
      </c>
      <c r="R937" s="9">
        <v>1660</v>
      </c>
      <c r="S937" s="5">
        <v>1</v>
      </c>
      <c r="T9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табеле]])*S937,0)</f>
        <v>4833.333333333333</v>
      </c>
      <c r="U937" s="5">
        <f>IF(Таблица1[[#This Row],[ТТН]]&gt;0,Таблица1[[#This Row],[Ставка за ТТН]]*Таблица1[[#This Row],[ТТН]],0)</f>
        <v>0</v>
      </c>
    </row>
    <row r="938" spans="1:21" x14ac:dyDescent="0.25">
      <c r="A938" t="s">
        <v>84</v>
      </c>
      <c r="B938" s="24">
        <v>14</v>
      </c>
      <c r="C938" t="s">
        <v>127</v>
      </c>
      <c r="D938" t="s">
        <v>12</v>
      </c>
      <c r="E938" t="s">
        <v>215</v>
      </c>
      <c r="F938" t="s">
        <v>42</v>
      </c>
      <c r="H938" t="s">
        <v>10</v>
      </c>
      <c r="I938" t="s">
        <v>219</v>
      </c>
      <c r="J938">
        <v>11</v>
      </c>
      <c r="N938">
        <f>Таблица1[[#This Row],[Часов на заказчика  в работе]]+Таблица1[[#This Row],[Часов на заказчика  дежурство]]</f>
        <v>0</v>
      </c>
      <c r="O9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8" s="9">
        <v>145000</v>
      </c>
      <c r="R938" s="9">
        <v>1660</v>
      </c>
      <c r="S938" s="5">
        <v>1</v>
      </c>
      <c r="T9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табеле]])*S938,0)</f>
        <v>4833.333333333333</v>
      </c>
      <c r="U938" s="5">
        <f>IF(Таблица1[[#This Row],[ТТН]]&gt;0,Таблица1[[#This Row],[Ставка за ТТН]]*Таблица1[[#This Row],[ТТН]],0)</f>
        <v>0</v>
      </c>
    </row>
    <row r="939" spans="1:21" x14ac:dyDescent="0.25">
      <c r="A939" t="s">
        <v>84</v>
      </c>
      <c r="B939" s="24">
        <v>15</v>
      </c>
      <c r="C939" t="s">
        <v>127</v>
      </c>
      <c r="D939" t="s">
        <v>12</v>
      </c>
      <c r="E939" t="s">
        <v>215</v>
      </c>
      <c r="F939" t="s">
        <v>42</v>
      </c>
      <c r="H939" t="s">
        <v>10</v>
      </c>
      <c r="I939" t="s">
        <v>219</v>
      </c>
      <c r="J939">
        <v>22</v>
      </c>
      <c r="K939">
        <v>1</v>
      </c>
      <c r="N939">
        <f>Таблица1[[#This Row],[Часов на заказчика  в работе]]+Таблица1[[#This Row],[Часов на заказчика  дежурство]]</f>
        <v>0</v>
      </c>
      <c r="O9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39" s="9">
        <v>145000</v>
      </c>
      <c r="R939" s="9">
        <v>1660</v>
      </c>
      <c r="S939" s="5">
        <v>1</v>
      </c>
      <c r="T9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табеле]])*S939,0)</f>
        <v>9666.6666666666661</v>
      </c>
      <c r="U939" s="5">
        <f>IF(Таблица1[[#This Row],[ТТН]]&gt;0,Таблица1[[#This Row],[Ставка за ТТН]]*Таблица1[[#This Row],[ТТН]],0)</f>
        <v>1660</v>
      </c>
    </row>
    <row r="940" spans="1:21" x14ac:dyDescent="0.25">
      <c r="A940" t="s">
        <v>84</v>
      </c>
      <c r="B940" s="24">
        <v>16</v>
      </c>
      <c r="C940" t="s">
        <v>127</v>
      </c>
      <c r="D940" t="s">
        <v>12</v>
      </c>
      <c r="E940" t="s">
        <v>215</v>
      </c>
      <c r="F940" t="s">
        <v>42</v>
      </c>
      <c r="H940" t="s">
        <v>10</v>
      </c>
      <c r="I940" t="s">
        <v>219</v>
      </c>
      <c r="J940">
        <v>11</v>
      </c>
      <c r="K940">
        <v>1</v>
      </c>
      <c r="N940">
        <f>Таблица1[[#This Row],[Часов на заказчика  в работе]]+Таблица1[[#This Row],[Часов на заказчика  дежурство]]</f>
        <v>0</v>
      </c>
      <c r="O9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0" s="9">
        <v>145000</v>
      </c>
      <c r="R940" s="9">
        <v>1660</v>
      </c>
      <c r="S940" s="5">
        <v>1</v>
      </c>
      <c r="T9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табеле]])*S940,0)</f>
        <v>4833.333333333333</v>
      </c>
      <c r="U940" s="5">
        <f>IF(Таблица1[[#This Row],[ТТН]]&gt;0,Таблица1[[#This Row],[Ставка за ТТН]]*Таблица1[[#This Row],[ТТН]],0)</f>
        <v>1660</v>
      </c>
    </row>
    <row r="941" spans="1:21" x14ac:dyDescent="0.25">
      <c r="A941" t="s">
        <v>84</v>
      </c>
      <c r="B941" s="24">
        <v>17</v>
      </c>
      <c r="C941" t="s">
        <v>127</v>
      </c>
      <c r="D941" t="s">
        <v>12</v>
      </c>
      <c r="E941" t="s">
        <v>215</v>
      </c>
      <c r="F941" t="s">
        <v>42</v>
      </c>
      <c r="H941" t="s">
        <v>10</v>
      </c>
      <c r="I941" t="s">
        <v>219</v>
      </c>
      <c r="J941">
        <v>22</v>
      </c>
      <c r="K941">
        <v>1</v>
      </c>
      <c r="N941">
        <f>Таблица1[[#This Row],[Часов на заказчика  в работе]]+Таблица1[[#This Row],[Часов на заказчика  дежурство]]</f>
        <v>0</v>
      </c>
      <c r="O9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1" s="9">
        <v>145000</v>
      </c>
      <c r="R941" s="9">
        <v>1660</v>
      </c>
      <c r="S941" s="5">
        <v>1</v>
      </c>
      <c r="T9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табеле]])*S941,0)</f>
        <v>9666.6666666666661</v>
      </c>
      <c r="U941" s="5">
        <f>IF(Таблица1[[#This Row],[ТТН]]&gt;0,Таблица1[[#This Row],[Ставка за ТТН]]*Таблица1[[#This Row],[ТТН]],0)</f>
        <v>1660</v>
      </c>
    </row>
    <row r="942" spans="1:21" x14ac:dyDescent="0.25">
      <c r="A942" t="s">
        <v>84</v>
      </c>
      <c r="B942" s="24">
        <v>18</v>
      </c>
      <c r="C942" t="s">
        <v>127</v>
      </c>
      <c r="D942" t="s">
        <v>12</v>
      </c>
      <c r="E942" t="s">
        <v>215</v>
      </c>
      <c r="F942" t="s">
        <v>42</v>
      </c>
      <c r="H942" t="s">
        <v>10</v>
      </c>
      <c r="I942" t="s">
        <v>219</v>
      </c>
      <c r="J942">
        <v>22</v>
      </c>
      <c r="K942">
        <v>1</v>
      </c>
      <c r="N942">
        <f>Таблица1[[#This Row],[Часов на заказчика  в работе]]+Таблица1[[#This Row],[Часов на заказчика  дежурство]]</f>
        <v>0</v>
      </c>
      <c r="O9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2" s="9">
        <v>145000</v>
      </c>
      <c r="R942" s="9">
        <v>1660</v>
      </c>
      <c r="S942" s="5">
        <v>1</v>
      </c>
      <c r="T9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табеле]])*S942,0)</f>
        <v>9666.6666666666661</v>
      </c>
      <c r="U942" s="5">
        <f>IF(Таблица1[[#This Row],[ТТН]]&gt;0,Таблица1[[#This Row],[Ставка за ТТН]]*Таблица1[[#This Row],[ТТН]],0)</f>
        <v>1660</v>
      </c>
    </row>
    <row r="943" spans="1:21" x14ac:dyDescent="0.25">
      <c r="A943" t="s">
        <v>84</v>
      </c>
      <c r="B943" s="24">
        <v>19</v>
      </c>
      <c r="C943" t="s">
        <v>127</v>
      </c>
      <c r="D943" t="s">
        <v>12</v>
      </c>
      <c r="E943" t="s">
        <v>215</v>
      </c>
      <c r="F943" t="s">
        <v>42</v>
      </c>
      <c r="H943" t="s">
        <v>23</v>
      </c>
      <c r="I943" t="s">
        <v>217</v>
      </c>
      <c r="J943">
        <v>11</v>
      </c>
      <c r="N943">
        <f>Таблица1[[#This Row],[Часов на заказчика  в работе]]+Таблица1[[#This Row],[Часов на заказчика  дежурство]]</f>
        <v>0</v>
      </c>
      <c r="O9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3" s="9">
        <v>145000</v>
      </c>
      <c r="R943" s="9">
        <v>1660</v>
      </c>
      <c r="S943" s="5">
        <v>1</v>
      </c>
      <c r="T9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табеле]])*S943,0)</f>
        <v>4833.333333333333</v>
      </c>
      <c r="U943" s="5">
        <f>IF(Таблица1[[#This Row],[ТТН]]&gt;0,Таблица1[[#This Row],[Ставка за ТТН]]*Таблица1[[#This Row],[ТТН]],0)</f>
        <v>0</v>
      </c>
    </row>
    <row r="944" spans="1:21" x14ac:dyDescent="0.25">
      <c r="A944" t="s">
        <v>84</v>
      </c>
      <c r="B944" s="24">
        <v>20</v>
      </c>
      <c r="C944" t="s">
        <v>127</v>
      </c>
      <c r="D944" t="s">
        <v>12</v>
      </c>
      <c r="E944" t="s">
        <v>215</v>
      </c>
      <c r="F944" t="s">
        <v>42</v>
      </c>
      <c r="H944" t="s">
        <v>10</v>
      </c>
      <c r="I944" t="s">
        <v>219</v>
      </c>
      <c r="J944">
        <v>11</v>
      </c>
      <c r="N944">
        <f>Таблица1[[#This Row],[Часов на заказчика  в работе]]+Таблица1[[#This Row],[Часов на заказчика  дежурство]]</f>
        <v>0</v>
      </c>
      <c r="O9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4" s="9">
        <v>145000</v>
      </c>
      <c r="R944" s="9">
        <v>1660</v>
      </c>
      <c r="S944" s="5">
        <v>1</v>
      </c>
      <c r="T9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табеле]])*S944,0)</f>
        <v>4833.333333333333</v>
      </c>
      <c r="U944" s="5">
        <f>IF(Таблица1[[#This Row],[ТТН]]&gt;0,Таблица1[[#This Row],[Ставка за ТТН]]*Таблица1[[#This Row],[ТТН]],0)</f>
        <v>0</v>
      </c>
    </row>
    <row r="945" spans="1:21" x14ac:dyDescent="0.25">
      <c r="A945" t="s">
        <v>84</v>
      </c>
      <c r="B945" s="24">
        <v>21</v>
      </c>
      <c r="C945" t="s">
        <v>127</v>
      </c>
      <c r="D945" t="s">
        <v>12</v>
      </c>
      <c r="E945" t="s">
        <v>215</v>
      </c>
      <c r="F945" t="s">
        <v>42</v>
      </c>
      <c r="H945" t="s">
        <v>10</v>
      </c>
      <c r="I945" t="s">
        <v>219</v>
      </c>
      <c r="J945">
        <v>11</v>
      </c>
      <c r="N945">
        <f>Таблица1[[#This Row],[Часов на заказчика  в работе]]+Таблица1[[#This Row],[Часов на заказчика  дежурство]]</f>
        <v>0</v>
      </c>
      <c r="O9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5" s="9">
        <v>145000</v>
      </c>
      <c r="R945" s="9">
        <v>1660</v>
      </c>
      <c r="S945" s="5">
        <v>1</v>
      </c>
      <c r="T9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табеле]])*S945,0)</f>
        <v>4833.333333333333</v>
      </c>
      <c r="U945" s="5">
        <f>IF(Таблица1[[#This Row],[ТТН]]&gt;0,Таблица1[[#This Row],[Ставка за ТТН]]*Таблица1[[#This Row],[ТТН]],0)</f>
        <v>0</v>
      </c>
    </row>
    <row r="946" spans="1:21" x14ac:dyDescent="0.25">
      <c r="A946" t="s">
        <v>84</v>
      </c>
      <c r="B946" s="24">
        <v>22</v>
      </c>
      <c r="C946" t="s">
        <v>127</v>
      </c>
      <c r="D946" t="s">
        <v>12</v>
      </c>
      <c r="E946" t="s">
        <v>215</v>
      </c>
      <c r="F946" t="s">
        <v>42</v>
      </c>
      <c r="H946" t="s">
        <v>38</v>
      </c>
      <c r="I946" t="s">
        <v>219</v>
      </c>
      <c r="J946">
        <v>11</v>
      </c>
      <c r="N946">
        <f>Таблица1[[#This Row],[Часов на заказчика  в работе]]+Таблица1[[#This Row],[Часов на заказчика  дежурство]]</f>
        <v>0</v>
      </c>
      <c r="O9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6" s="9">
        <v>145000</v>
      </c>
      <c r="R946" s="9">
        <v>1660</v>
      </c>
      <c r="S946" s="5">
        <v>1</v>
      </c>
      <c r="T9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табеле]])*S946,0)</f>
        <v>4833.333333333333</v>
      </c>
      <c r="U946" s="5">
        <f>IF(Таблица1[[#This Row],[ТТН]]&gt;0,Таблица1[[#This Row],[Ставка за ТТН]]*Таблица1[[#This Row],[ТТН]],0)</f>
        <v>0</v>
      </c>
    </row>
    <row r="947" spans="1:21" x14ac:dyDescent="0.25">
      <c r="A947" t="s">
        <v>84</v>
      </c>
      <c r="B947" s="24">
        <v>23</v>
      </c>
      <c r="C947" t="s">
        <v>127</v>
      </c>
      <c r="D947" t="s">
        <v>12</v>
      </c>
      <c r="E947" t="s">
        <v>215</v>
      </c>
      <c r="F947" t="s">
        <v>42</v>
      </c>
      <c r="H947" t="s">
        <v>10</v>
      </c>
      <c r="I947" t="s">
        <v>219</v>
      </c>
      <c r="J947">
        <v>22</v>
      </c>
      <c r="K947">
        <v>1</v>
      </c>
      <c r="N947">
        <f>Таблица1[[#This Row],[Часов на заказчика  в работе]]+Таблица1[[#This Row],[Часов на заказчика  дежурство]]</f>
        <v>0</v>
      </c>
      <c r="O9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7" s="9">
        <v>145000</v>
      </c>
      <c r="R947" s="9">
        <v>1660</v>
      </c>
      <c r="S947" s="5">
        <v>1</v>
      </c>
      <c r="T9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табеле]])*S947,0)</f>
        <v>9666.6666666666661</v>
      </c>
      <c r="U947" s="5">
        <f>IF(Таблица1[[#This Row],[ТТН]]&gt;0,Таблица1[[#This Row],[Ставка за ТТН]]*Таблица1[[#This Row],[ТТН]],0)</f>
        <v>1660</v>
      </c>
    </row>
    <row r="948" spans="1:21" x14ac:dyDescent="0.25">
      <c r="A948" t="s">
        <v>84</v>
      </c>
      <c r="B948" s="24">
        <v>24</v>
      </c>
      <c r="C948" t="s">
        <v>127</v>
      </c>
      <c r="D948" t="s">
        <v>12</v>
      </c>
      <c r="E948" t="s">
        <v>215</v>
      </c>
      <c r="F948" t="s">
        <v>42</v>
      </c>
      <c r="H948" t="s">
        <v>10</v>
      </c>
      <c r="I948" t="s">
        <v>219</v>
      </c>
      <c r="J948">
        <v>11</v>
      </c>
      <c r="N948">
        <f>Таблица1[[#This Row],[Часов на заказчика  в работе]]+Таблица1[[#This Row],[Часов на заказчика  дежурство]]</f>
        <v>0</v>
      </c>
      <c r="O9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8" s="9">
        <v>145000</v>
      </c>
      <c r="R948" s="9">
        <v>1660</v>
      </c>
      <c r="S948" s="5">
        <v>1</v>
      </c>
      <c r="T9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табеле]])*S948,0)</f>
        <v>4833.333333333333</v>
      </c>
      <c r="U948" s="5">
        <f>IF(Таблица1[[#This Row],[ТТН]]&gt;0,Таблица1[[#This Row],[Ставка за ТТН]]*Таблица1[[#This Row],[ТТН]],0)</f>
        <v>0</v>
      </c>
    </row>
    <row r="949" spans="1:21" x14ac:dyDescent="0.25">
      <c r="A949" t="s">
        <v>84</v>
      </c>
      <c r="B949" s="24">
        <v>25</v>
      </c>
      <c r="C949" t="s">
        <v>127</v>
      </c>
      <c r="D949" t="s">
        <v>12</v>
      </c>
      <c r="E949" t="s">
        <v>215</v>
      </c>
      <c r="F949" t="s">
        <v>42</v>
      </c>
      <c r="H949" t="s">
        <v>10</v>
      </c>
      <c r="I949" t="s">
        <v>219</v>
      </c>
      <c r="J949">
        <v>11</v>
      </c>
      <c r="K949">
        <v>1</v>
      </c>
      <c r="N949">
        <f>Таблица1[[#This Row],[Часов на заказчика  в работе]]+Таблица1[[#This Row],[Часов на заказчика  дежурство]]</f>
        <v>0</v>
      </c>
      <c r="O9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49" s="9">
        <v>145000</v>
      </c>
      <c r="R949" s="9">
        <v>1660</v>
      </c>
      <c r="S949" s="5">
        <v>1</v>
      </c>
      <c r="T9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табеле]])*S949,0)</f>
        <v>4833.333333333333</v>
      </c>
      <c r="U949" s="5">
        <f>IF(Таблица1[[#This Row],[ТТН]]&gt;0,Таблица1[[#This Row],[Ставка за ТТН]]*Таблица1[[#This Row],[ТТН]],0)</f>
        <v>1660</v>
      </c>
    </row>
    <row r="950" spans="1:21" x14ac:dyDescent="0.25">
      <c r="A950" t="s">
        <v>84</v>
      </c>
      <c r="B950" s="24">
        <v>26</v>
      </c>
      <c r="C950" t="s">
        <v>127</v>
      </c>
      <c r="D950" t="s">
        <v>12</v>
      </c>
      <c r="E950" t="s">
        <v>215</v>
      </c>
      <c r="F950" t="s">
        <v>42</v>
      </c>
      <c r="H950" t="s">
        <v>10</v>
      </c>
      <c r="I950" t="s">
        <v>219</v>
      </c>
      <c r="J950">
        <v>22</v>
      </c>
      <c r="K950">
        <v>1</v>
      </c>
      <c r="N950">
        <f>Таблица1[[#This Row],[Часов на заказчика  в работе]]+Таблица1[[#This Row],[Часов на заказчика  дежурство]]</f>
        <v>0</v>
      </c>
      <c r="O9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0" s="9">
        <v>145000</v>
      </c>
      <c r="R950" s="9">
        <v>1660</v>
      </c>
      <c r="S950" s="5">
        <v>1</v>
      </c>
      <c r="T9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табеле]])*S950,0)</f>
        <v>9666.6666666666661</v>
      </c>
      <c r="U950" s="5">
        <f>IF(Таблица1[[#This Row],[ТТН]]&gt;0,Таблица1[[#This Row],[Ставка за ТТН]]*Таблица1[[#This Row],[ТТН]],0)</f>
        <v>1660</v>
      </c>
    </row>
    <row r="951" spans="1:21" x14ac:dyDescent="0.25">
      <c r="A951" t="s">
        <v>84</v>
      </c>
      <c r="B951" s="24">
        <v>27</v>
      </c>
      <c r="C951" t="s">
        <v>127</v>
      </c>
      <c r="D951" t="s">
        <v>12</v>
      </c>
      <c r="E951" t="s">
        <v>215</v>
      </c>
      <c r="F951" t="s">
        <v>42</v>
      </c>
      <c r="H951" t="s">
        <v>10</v>
      </c>
      <c r="I951" t="s">
        <v>219</v>
      </c>
      <c r="J951">
        <v>11</v>
      </c>
      <c r="N951">
        <f>Таблица1[[#This Row],[Часов на заказчика  в работе]]+Таблица1[[#This Row],[Часов на заказчика  дежурство]]</f>
        <v>0</v>
      </c>
      <c r="O9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1" s="9">
        <v>145000</v>
      </c>
      <c r="R951" s="9">
        <v>1660</v>
      </c>
      <c r="S951" s="5">
        <v>1</v>
      </c>
      <c r="T9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табеле]])*S951,0)</f>
        <v>4833.333333333333</v>
      </c>
      <c r="U951" s="5">
        <f>IF(Таблица1[[#This Row],[ТТН]]&gt;0,Таблица1[[#This Row],[Ставка за ТТН]]*Таблица1[[#This Row],[ТТН]],0)</f>
        <v>0</v>
      </c>
    </row>
    <row r="952" spans="1:21" x14ac:dyDescent="0.25">
      <c r="A952" t="s">
        <v>84</v>
      </c>
      <c r="B952" s="24">
        <v>28</v>
      </c>
      <c r="C952" t="s">
        <v>127</v>
      </c>
      <c r="D952" t="s">
        <v>12</v>
      </c>
      <c r="E952" t="s">
        <v>215</v>
      </c>
      <c r="F952" t="s">
        <v>42</v>
      </c>
      <c r="H952" t="s">
        <v>10</v>
      </c>
      <c r="I952" t="s">
        <v>219</v>
      </c>
      <c r="J952">
        <v>11</v>
      </c>
      <c r="K952">
        <v>1</v>
      </c>
      <c r="N952">
        <f>Таблица1[[#This Row],[Часов на заказчика  в работе]]+Таблица1[[#This Row],[Часов на заказчика  дежурство]]</f>
        <v>0</v>
      </c>
      <c r="O9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2" s="9">
        <v>145000</v>
      </c>
      <c r="R952" s="9">
        <v>1660</v>
      </c>
      <c r="S952" s="5">
        <v>1</v>
      </c>
      <c r="T9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табеле]])*S952,0)</f>
        <v>4833.333333333333</v>
      </c>
      <c r="U952" s="5">
        <f>IF(Таблица1[[#This Row],[ТТН]]&gt;0,Таблица1[[#This Row],[Ставка за ТТН]]*Таблица1[[#This Row],[ТТН]],0)</f>
        <v>1660</v>
      </c>
    </row>
    <row r="953" spans="1:21" x14ac:dyDescent="0.25">
      <c r="A953" t="s">
        <v>84</v>
      </c>
      <c r="B953" s="24">
        <v>29</v>
      </c>
      <c r="C953" t="s">
        <v>127</v>
      </c>
      <c r="D953" t="s">
        <v>12</v>
      </c>
      <c r="E953" t="s">
        <v>215</v>
      </c>
      <c r="F953" t="s">
        <v>42</v>
      </c>
      <c r="H953" t="s">
        <v>10</v>
      </c>
      <c r="I953" t="s">
        <v>219</v>
      </c>
      <c r="J953">
        <v>11</v>
      </c>
      <c r="N953">
        <f>Таблица1[[#This Row],[Часов на заказчика  в работе]]+Таблица1[[#This Row],[Часов на заказчика  дежурство]]</f>
        <v>0</v>
      </c>
      <c r="O9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3" s="9">
        <v>145000</v>
      </c>
      <c r="R953" s="9">
        <v>1660</v>
      </c>
      <c r="S953" s="5">
        <v>1</v>
      </c>
      <c r="T9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табеле]])*S953,0)</f>
        <v>4833.333333333333</v>
      </c>
      <c r="U953" s="5">
        <f>IF(Таблица1[[#This Row],[ТТН]]&gt;0,Таблица1[[#This Row],[Ставка за ТТН]]*Таблица1[[#This Row],[ТТН]],0)</f>
        <v>0</v>
      </c>
    </row>
    <row r="954" spans="1:21" x14ac:dyDescent="0.25">
      <c r="A954" t="s">
        <v>84</v>
      </c>
      <c r="B954" s="24">
        <v>30</v>
      </c>
      <c r="C954" t="s">
        <v>128</v>
      </c>
      <c r="D954" t="s">
        <v>12</v>
      </c>
      <c r="E954" t="s">
        <v>215</v>
      </c>
      <c r="F954" t="s">
        <v>42</v>
      </c>
      <c r="H954" t="s">
        <v>10</v>
      </c>
      <c r="I954" t="s">
        <v>219</v>
      </c>
      <c r="J954">
        <v>11</v>
      </c>
      <c r="K954">
        <v>1</v>
      </c>
      <c r="N954">
        <f>Таблица1[[#This Row],[Часов на заказчика  в работе]]+Таблица1[[#This Row],[Часов на заказчика  дежурство]]</f>
        <v>0</v>
      </c>
      <c r="O9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4" s="9">
        <v>145000</v>
      </c>
      <c r="R954" s="9">
        <v>1660</v>
      </c>
      <c r="S954" s="5">
        <v>1</v>
      </c>
      <c r="T9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табеле]])*S954,0)</f>
        <v>4833.333333333333</v>
      </c>
      <c r="U954" s="5">
        <f>IF(Таблица1[[#This Row],[ТТН]]&gt;0,Таблица1[[#This Row],[Ставка за ТТН]]*Таблица1[[#This Row],[ТТН]],0)</f>
        <v>1660</v>
      </c>
    </row>
    <row r="955" spans="1:21" x14ac:dyDescent="0.25">
      <c r="A955" t="s">
        <v>84</v>
      </c>
      <c r="B955" s="24">
        <v>1</v>
      </c>
      <c r="C955" t="s">
        <v>128</v>
      </c>
      <c r="D955" t="s">
        <v>28</v>
      </c>
      <c r="E955" t="s">
        <v>215</v>
      </c>
      <c r="F955" t="s">
        <v>28</v>
      </c>
      <c r="H955" t="s">
        <v>29</v>
      </c>
      <c r="I955" t="s">
        <v>217</v>
      </c>
      <c r="J955">
        <v>8</v>
      </c>
      <c r="N955">
        <f>Таблица1[[#This Row],[Часов на заказчика  в работе]]+Таблица1[[#This Row],[Часов на заказчика  дежурство]]</f>
        <v>0</v>
      </c>
      <c r="O9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5" s="9">
        <v>110000</v>
      </c>
      <c r="R955" s="9"/>
      <c r="S955" s="5">
        <v>1</v>
      </c>
      <c r="T9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табеле]])*S955,0)</f>
        <v>0</v>
      </c>
      <c r="U955" s="5">
        <f>IF(Таблица1[[#This Row],[ТТН]]&gt;0,Таблица1[[#This Row],[Ставка за ТТН]]*Таблица1[[#This Row],[ТТН]],0)</f>
        <v>0</v>
      </c>
    </row>
    <row r="956" spans="1:21" x14ac:dyDescent="0.25">
      <c r="A956" t="s">
        <v>84</v>
      </c>
      <c r="B956" s="24">
        <v>2</v>
      </c>
      <c r="C956" t="s">
        <v>128</v>
      </c>
      <c r="D956" t="s">
        <v>28</v>
      </c>
      <c r="E956" t="s">
        <v>215</v>
      </c>
      <c r="F956" t="s">
        <v>28</v>
      </c>
      <c r="H956" t="s">
        <v>29</v>
      </c>
      <c r="I956" t="s">
        <v>217</v>
      </c>
      <c r="J956">
        <v>8</v>
      </c>
      <c r="N956">
        <f>Таблица1[[#This Row],[Часов на заказчика  в работе]]+Таблица1[[#This Row],[Часов на заказчика  дежурство]]</f>
        <v>0</v>
      </c>
      <c r="O9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6" s="9">
        <v>110000</v>
      </c>
      <c r="R956" s="9"/>
      <c r="S956" s="5">
        <v>1</v>
      </c>
      <c r="T9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табеле]])*S956,0)</f>
        <v>0</v>
      </c>
      <c r="U956" s="5">
        <f>IF(Таблица1[[#This Row],[ТТН]]&gt;0,Таблица1[[#This Row],[Ставка за ТТН]]*Таблица1[[#This Row],[ТТН]],0)</f>
        <v>0</v>
      </c>
    </row>
    <row r="957" spans="1:21" x14ac:dyDescent="0.25">
      <c r="A957" t="s">
        <v>84</v>
      </c>
      <c r="B957" s="24">
        <v>3</v>
      </c>
      <c r="C957" t="s">
        <v>128</v>
      </c>
      <c r="D957" t="s">
        <v>28</v>
      </c>
      <c r="E957" t="s">
        <v>215</v>
      </c>
      <c r="F957" t="s">
        <v>28</v>
      </c>
      <c r="H957" t="s">
        <v>29</v>
      </c>
      <c r="I957" t="s">
        <v>217</v>
      </c>
      <c r="J957">
        <v>8</v>
      </c>
      <c r="N957">
        <f>Таблица1[[#This Row],[Часов на заказчика  в работе]]+Таблица1[[#This Row],[Часов на заказчика  дежурство]]</f>
        <v>0</v>
      </c>
      <c r="O9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7" s="9">
        <v>110000</v>
      </c>
      <c r="R957" s="9"/>
      <c r="S957" s="5">
        <v>1</v>
      </c>
      <c r="T9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табеле]])*S957,0)</f>
        <v>0</v>
      </c>
      <c r="U957" s="5">
        <f>IF(Таблица1[[#This Row],[ТТН]]&gt;0,Таблица1[[#This Row],[Ставка за ТТН]]*Таблица1[[#This Row],[ТТН]],0)</f>
        <v>0</v>
      </c>
    </row>
    <row r="958" spans="1:21" x14ac:dyDescent="0.25">
      <c r="A958" t="s">
        <v>84</v>
      </c>
      <c r="B958" s="24">
        <v>4</v>
      </c>
      <c r="C958" t="s">
        <v>128</v>
      </c>
      <c r="D958" t="s">
        <v>28</v>
      </c>
      <c r="E958" t="s">
        <v>215</v>
      </c>
      <c r="F958" t="s">
        <v>28</v>
      </c>
      <c r="H958" t="s">
        <v>29</v>
      </c>
      <c r="I958" t="s">
        <v>217</v>
      </c>
      <c r="J958">
        <v>8</v>
      </c>
      <c r="N958">
        <f>Таблица1[[#This Row],[Часов на заказчика  в работе]]+Таблица1[[#This Row],[Часов на заказчика  дежурство]]</f>
        <v>0</v>
      </c>
      <c r="O9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8" s="9">
        <v>110000</v>
      </c>
      <c r="R958" s="9"/>
      <c r="S958" s="5">
        <v>1</v>
      </c>
      <c r="T9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табеле]])*S958,0)</f>
        <v>0</v>
      </c>
      <c r="U958" s="5">
        <f>IF(Таблица1[[#This Row],[ТТН]]&gt;0,Таблица1[[#This Row],[Ставка за ТТН]]*Таблица1[[#This Row],[ТТН]],0)</f>
        <v>0</v>
      </c>
    </row>
    <row r="959" spans="1:21" x14ac:dyDescent="0.25">
      <c r="A959" t="s">
        <v>84</v>
      </c>
      <c r="B959" s="24">
        <v>5</v>
      </c>
      <c r="C959" t="s">
        <v>128</v>
      </c>
      <c r="D959" t="s">
        <v>28</v>
      </c>
      <c r="E959" t="s">
        <v>215</v>
      </c>
      <c r="F959" t="s">
        <v>28</v>
      </c>
      <c r="H959" t="s">
        <v>29</v>
      </c>
      <c r="I959" t="s">
        <v>217</v>
      </c>
      <c r="J959">
        <v>8</v>
      </c>
      <c r="N959">
        <f>Таблица1[[#This Row],[Часов на заказчика  в работе]]+Таблица1[[#This Row],[Часов на заказчика  дежурство]]</f>
        <v>0</v>
      </c>
      <c r="O9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59" s="9">
        <v>110000</v>
      </c>
      <c r="R959" s="9"/>
      <c r="S959" s="5">
        <v>1</v>
      </c>
      <c r="T9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табеле]])*S959,0)</f>
        <v>0</v>
      </c>
      <c r="U959" s="5">
        <f>IF(Таблица1[[#This Row],[ТТН]]&gt;0,Таблица1[[#This Row],[Ставка за ТТН]]*Таблица1[[#This Row],[ТТН]],0)</f>
        <v>0</v>
      </c>
    </row>
    <row r="960" spans="1:21" x14ac:dyDescent="0.25">
      <c r="A960" t="s">
        <v>84</v>
      </c>
      <c r="B960" s="24">
        <v>6</v>
      </c>
      <c r="C960" t="s">
        <v>128</v>
      </c>
      <c r="D960" t="s">
        <v>28</v>
      </c>
      <c r="E960" t="s">
        <v>215</v>
      </c>
      <c r="F960" t="s">
        <v>28</v>
      </c>
      <c r="H960" t="s">
        <v>30</v>
      </c>
      <c r="I960" t="s">
        <v>217</v>
      </c>
      <c r="J960">
        <v>1</v>
      </c>
      <c r="N960">
        <f>Таблица1[[#This Row],[Часов на заказчика  в работе]]+Таблица1[[#This Row],[Часов на заказчика  дежурство]]</f>
        <v>0</v>
      </c>
      <c r="O9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0" s="9">
        <v>110000</v>
      </c>
      <c r="R960" s="9"/>
      <c r="S960" s="5">
        <v>1</v>
      </c>
      <c r="T9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табеле]])*S960,0)</f>
        <v>0</v>
      </c>
      <c r="U960" s="5">
        <f>IF(Таблица1[[#This Row],[ТТН]]&gt;0,Таблица1[[#This Row],[Ставка за ТТН]]*Таблица1[[#This Row],[ТТН]],0)</f>
        <v>0</v>
      </c>
    </row>
    <row r="961" spans="1:21" x14ac:dyDescent="0.25">
      <c r="A961" t="s">
        <v>84</v>
      </c>
      <c r="B961" s="24">
        <v>7</v>
      </c>
      <c r="C961" t="s">
        <v>128</v>
      </c>
      <c r="D961" t="s">
        <v>28</v>
      </c>
      <c r="E961" t="s">
        <v>215</v>
      </c>
      <c r="F961" t="s">
        <v>28</v>
      </c>
      <c r="H961" t="s">
        <v>30</v>
      </c>
      <c r="I961" t="s">
        <v>217</v>
      </c>
      <c r="J961">
        <v>1</v>
      </c>
      <c r="N961">
        <f>Таблица1[[#This Row],[Часов на заказчика  в работе]]+Таблица1[[#This Row],[Часов на заказчика  дежурство]]</f>
        <v>0</v>
      </c>
      <c r="O9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1" s="9">
        <v>110000</v>
      </c>
      <c r="R961" s="9"/>
      <c r="S961" s="5">
        <v>1</v>
      </c>
      <c r="T9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табеле]])*S961,0)</f>
        <v>0</v>
      </c>
      <c r="U961" s="5">
        <f>IF(Таблица1[[#This Row],[ТТН]]&gt;0,Таблица1[[#This Row],[Ставка за ТТН]]*Таблица1[[#This Row],[ТТН]],0)</f>
        <v>0</v>
      </c>
    </row>
    <row r="962" spans="1:21" x14ac:dyDescent="0.25">
      <c r="A962" t="s">
        <v>84</v>
      </c>
      <c r="B962" s="24">
        <v>8</v>
      </c>
      <c r="C962" t="s">
        <v>128</v>
      </c>
      <c r="D962" t="s">
        <v>28</v>
      </c>
      <c r="E962" t="s">
        <v>215</v>
      </c>
      <c r="F962" t="s">
        <v>28</v>
      </c>
      <c r="H962" t="s">
        <v>29</v>
      </c>
      <c r="I962" t="s">
        <v>217</v>
      </c>
      <c r="J962">
        <v>8</v>
      </c>
      <c r="N962">
        <f>Таблица1[[#This Row],[Часов на заказчика  в работе]]+Таблица1[[#This Row],[Часов на заказчика  дежурство]]</f>
        <v>0</v>
      </c>
      <c r="O9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2" s="9">
        <v>110000</v>
      </c>
      <c r="R962" s="9"/>
      <c r="S962" s="5">
        <v>1</v>
      </c>
      <c r="T9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табеле]])*S962,0)</f>
        <v>0</v>
      </c>
      <c r="U962" s="5">
        <f>IF(Таблица1[[#This Row],[ТТН]]&gt;0,Таблица1[[#This Row],[Ставка за ТТН]]*Таблица1[[#This Row],[ТТН]],0)</f>
        <v>0</v>
      </c>
    </row>
    <row r="963" spans="1:21" x14ac:dyDescent="0.25">
      <c r="A963" t="s">
        <v>84</v>
      </c>
      <c r="B963" s="24">
        <v>9</v>
      </c>
      <c r="C963" t="s">
        <v>128</v>
      </c>
      <c r="D963" t="s">
        <v>28</v>
      </c>
      <c r="E963" t="s">
        <v>215</v>
      </c>
      <c r="F963" t="s">
        <v>28</v>
      </c>
      <c r="H963" t="s">
        <v>29</v>
      </c>
      <c r="I963" t="s">
        <v>217</v>
      </c>
      <c r="J963">
        <v>8</v>
      </c>
      <c r="N963">
        <f>Таблица1[[#This Row],[Часов на заказчика  в работе]]+Таблица1[[#This Row],[Часов на заказчика  дежурство]]</f>
        <v>0</v>
      </c>
      <c r="O9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3" s="9">
        <v>110000</v>
      </c>
      <c r="R963" s="9"/>
      <c r="S963" s="5">
        <v>1</v>
      </c>
      <c r="T9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табеле]])*S963,0)</f>
        <v>0</v>
      </c>
      <c r="U963" s="5">
        <f>IF(Таблица1[[#This Row],[ТТН]]&gt;0,Таблица1[[#This Row],[Ставка за ТТН]]*Таблица1[[#This Row],[ТТН]],0)</f>
        <v>0</v>
      </c>
    </row>
    <row r="964" spans="1:21" x14ac:dyDescent="0.25">
      <c r="A964" t="s">
        <v>84</v>
      </c>
      <c r="B964" s="24">
        <v>10</v>
      </c>
      <c r="C964" t="s">
        <v>128</v>
      </c>
      <c r="D964" t="s">
        <v>28</v>
      </c>
      <c r="E964" t="s">
        <v>215</v>
      </c>
      <c r="F964" t="s">
        <v>28</v>
      </c>
      <c r="H964" t="s">
        <v>29</v>
      </c>
      <c r="I964" t="s">
        <v>217</v>
      </c>
      <c r="J964">
        <v>8</v>
      </c>
      <c r="N964">
        <f>Таблица1[[#This Row],[Часов на заказчика  в работе]]+Таблица1[[#This Row],[Часов на заказчика  дежурство]]</f>
        <v>0</v>
      </c>
      <c r="O9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4" s="9">
        <v>110000</v>
      </c>
      <c r="R964" s="9"/>
      <c r="S964" s="5">
        <v>1</v>
      </c>
      <c r="T9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табеле]])*S964,0)</f>
        <v>0</v>
      </c>
      <c r="U964" s="5">
        <f>IF(Таблица1[[#This Row],[ТТН]]&gt;0,Таблица1[[#This Row],[Ставка за ТТН]]*Таблица1[[#This Row],[ТТН]],0)</f>
        <v>0</v>
      </c>
    </row>
    <row r="965" spans="1:21" x14ac:dyDescent="0.25">
      <c r="A965" t="s">
        <v>84</v>
      </c>
      <c r="B965" s="24">
        <v>11</v>
      </c>
      <c r="C965" t="s">
        <v>128</v>
      </c>
      <c r="D965" t="s">
        <v>28</v>
      </c>
      <c r="E965" t="s">
        <v>215</v>
      </c>
      <c r="F965" t="s">
        <v>28</v>
      </c>
      <c r="H965" t="s">
        <v>29</v>
      </c>
      <c r="I965" t="s">
        <v>217</v>
      </c>
      <c r="J965">
        <v>8</v>
      </c>
      <c r="N965">
        <f>Таблица1[[#This Row],[Часов на заказчика  в работе]]+Таблица1[[#This Row],[Часов на заказчика  дежурство]]</f>
        <v>0</v>
      </c>
      <c r="O9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5" s="9">
        <v>110000</v>
      </c>
      <c r="R965" s="9"/>
      <c r="S965" s="5">
        <v>1</v>
      </c>
      <c r="T9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табеле]])*S965,0)</f>
        <v>0</v>
      </c>
      <c r="U965" s="5">
        <f>IF(Таблица1[[#This Row],[ТТН]]&gt;0,Таблица1[[#This Row],[Ставка за ТТН]]*Таблица1[[#This Row],[ТТН]],0)</f>
        <v>0</v>
      </c>
    </row>
    <row r="966" spans="1:21" x14ac:dyDescent="0.25">
      <c r="A966" t="s">
        <v>84</v>
      </c>
      <c r="B966" s="24">
        <v>12</v>
      </c>
      <c r="C966" t="s">
        <v>128</v>
      </c>
      <c r="D966" t="s">
        <v>28</v>
      </c>
      <c r="E966" t="s">
        <v>215</v>
      </c>
      <c r="F966" t="s">
        <v>28</v>
      </c>
      <c r="H966" t="s">
        <v>29</v>
      </c>
      <c r="I966" t="s">
        <v>217</v>
      </c>
      <c r="J966">
        <v>8</v>
      </c>
      <c r="N966">
        <f>Таблица1[[#This Row],[Часов на заказчика  в работе]]+Таблица1[[#This Row],[Часов на заказчика  дежурство]]</f>
        <v>0</v>
      </c>
      <c r="O9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6" s="9">
        <v>110000</v>
      </c>
      <c r="R966" s="9"/>
      <c r="S966" s="5">
        <v>1</v>
      </c>
      <c r="T9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табеле]])*S966,0)</f>
        <v>0</v>
      </c>
      <c r="U966" s="5">
        <f>IF(Таблица1[[#This Row],[ТТН]]&gt;0,Таблица1[[#This Row],[Ставка за ТТН]]*Таблица1[[#This Row],[ТТН]],0)</f>
        <v>0</v>
      </c>
    </row>
    <row r="967" spans="1:21" x14ac:dyDescent="0.25">
      <c r="A967" t="s">
        <v>84</v>
      </c>
      <c r="B967" s="24">
        <v>13</v>
      </c>
      <c r="C967" t="s">
        <v>128</v>
      </c>
      <c r="D967" t="s">
        <v>28</v>
      </c>
      <c r="E967" t="s">
        <v>215</v>
      </c>
      <c r="F967" t="s">
        <v>28</v>
      </c>
      <c r="H967" t="s">
        <v>30</v>
      </c>
      <c r="I967" t="s">
        <v>217</v>
      </c>
      <c r="J967">
        <v>1</v>
      </c>
      <c r="N967">
        <f>Таблица1[[#This Row],[Часов на заказчика  в работе]]+Таблица1[[#This Row],[Часов на заказчика  дежурство]]</f>
        <v>0</v>
      </c>
      <c r="O9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7" s="9">
        <v>110000</v>
      </c>
      <c r="R967" s="9"/>
      <c r="S967" s="5">
        <v>1</v>
      </c>
      <c r="T9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табеле]])*S967,0)</f>
        <v>0</v>
      </c>
      <c r="U967" s="5">
        <f>IF(Таблица1[[#This Row],[ТТН]]&gt;0,Таблица1[[#This Row],[Ставка за ТТН]]*Таблица1[[#This Row],[ТТН]],0)</f>
        <v>0</v>
      </c>
    </row>
    <row r="968" spans="1:21" x14ac:dyDescent="0.25">
      <c r="A968" t="s">
        <v>84</v>
      </c>
      <c r="B968" s="24">
        <v>14</v>
      </c>
      <c r="C968" t="s">
        <v>128</v>
      </c>
      <c r="D968" t="s">
        <v>28</v>
      </c>
      <c r="E968" t="s">
        <v>215</v>
      </c>
      <c r="F968" t="s">
        <v>28</v>
      </c>
      <c r="H968" t="s">
        <v>30</v>
      </c>
      <c r="I968" t="s">
        <v>217</v>
      </c>
      <c r="J968">
        <v>1</v>
      </c>
      <c r="N968">
        <f>Таблица1[[#This Row],[Часов на заказчика  в работе]]+Таблица1[[#This Row],[Часов на заказчика  дежурство]]</f>
        <v>0</v>
      </c>
      <c r="O9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8" s="9">
        <v>110000</v>
      </c>
      <c r="R968" s="9"/>
      <c r="S968" s="5">
        <v>1</v>
      </c>
      <c r="T9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табеле]])*S968,0)</f>
        <v>0</v>
      </c>
      <c r="U968" s="5">
        <f>IF(Таблица1[[#This Row],[ТТН]]&gt;0,Таблица1[[#This Row],[Ставка за ТТН]]*Таблица1[[#This Row],[ТТН]],0)</f>
        <v>0</v>
      </c>
    </row>
    <row r="969" spans="1:21" x14ac:dyDescent="0.25">
      <c r="A969" t="s">
        <v>84</v>
      </c>
      <c r="B969" s="24">
        <v>15</v>
      </c>
      <c r="C969" t="s">
        <v>128</v>
      </c>
      <c r="D969" t="s">
        <v>28</v>
      </c>
      <c r="E969" t="s">
        <v>215</v>
      </c>
      <c r="F969" t="s">
        <v>28</v>
      </c>
      <c r="H969" t="s">
        <v>29</v>
      </c>
      <c r="I969" t="s">
        <v>217</v>
      </c>
      <c r="J969">
        <v>8</v>
      </c>
      <c r="N969">
        <f>Таблица1[[#This Row],[Часов на заказчика  в работе]]+Таблица1[[#This Row],[Часов на заказчика  дежурство]]</f>
        <v>0</v>
      </c>
      <c r="O9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69" s="9">
        <v>110000</v>
      </c>
      <c r="R969" s="9"/>
      <c r="S969" s="5">
        <v>1</v>
      </c>
      <c r="T9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табеле]])*S969,0)</f>
        <v>0</v>
      </c>
      <c r="U969" s="5">
        <f>IF(Таблица1[[#This Row],[ТТН]]&gt;0,Таблица1[[#This Row],[Ставка за ТТН]]*Таблица1[[#This Row],[ТТН]],0)</f>
        <v>0</v>
      </c>
    </row>
    <row r="970" spans="1:21" x14ac:dyDescent="0.25">
      <c r="A970" t="s">
        <v>84</v>
      </c>
      <c r="B970" s="24">
        <v>16</v>
      </c>
      <c r="C970" t="s">
        <v>128</v>
      </c>
      <c r="D970" t="s">
        <v>28</v>
      </c>
      <c r="E970" t="s">
        <v>215</v>
      </c>
      <c r="F970" t="s">
        <v>28</v>
      </c>
      <c r="H970" t="s">
        <v>29</v>
      </c>
      <c r="I970" t="s">
        <v>217</v>
      </c>
      <c r="J970">
        <v>8</v>
      </c>
      <c r="N970">
        <f>Таблица1[[#This Row],[Часов на заказчика  в работе]]+Таблица1[[#This Row],[Часов на заказчика  дежурство]]</f>
        <v>0</v>
      </c>
      <c r="O9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0" s="9">
        <v>110000</v>
      </c>
      <c r="R970" s="9"/>
      <c r="S970" s="5">
        <v>1</v>
      </c>
      <c r="T9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табеле]])*S970,0)</f>
        <v>0</v>
      </c>
      <c r="U970" s="5">
        <f>IF(Таблица1[[#This Row],[ТТН]]&gt;0,Таблица1[[#This Row],[Ставка за ТТН]]*Таблица1[[#This Row],[ТТН]],0)</f>
        <v>0</v>
      </c>
    </row>
    <row r="971" spans="1:21" x14ac:dyDescent="0.25">
      <c r="A971" t="s">
        <v>84</v>
      </c>
      <c r="B971" s="24">
        <v>17</v>
      </c>
      <c r="C971" t="s">
        <v>128</v>
      </c>
      <c r="D971" t="s">
        <v>28</v>
      </c>
      <c r="E971" t="s">
        <v>215</v>
      </c>
      <c r="F971" t="s">
        <v>28</v>
      </c>
      <c r="H971" t="s">
        <v>29</v>
      </c>
      <c r="I971" t="s">
        <v>217</v>
      </c>
      <c r="J971">
        <v>8</v>
      </c>
      <c r="N971">
        <f>Таблица1[[#This Row],[Часов на заказчика  в работе]]+Таблица1[[#This Row],[Часов на заказчика  дежурство]]</f>
        <v>0</v>
      </c>
      <c r="O9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1" s="9">
        <v>110000</v>
      </c>
      <c r="R971" s="9"/>
      <c r="S971" s="5">
        <v>1</v>
      </c>
      <c r="T9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табеле]])*S971,0)</f>
        <v>0</v>
      </c>
      <c r="U971" s="5">
        <f>IF(Таблица1[[#This Row],[ТТН]]&gt;0,Таблица1[[#This Row],[Ставка за ТТН]]*Таблица1[[#This Row],[ТТН]],0)</f>
        <v>0</v>
      </c>
    </row>
    <row r="972" spans="1:21" x14ac:dyDescent="0.25">
      <c r="A972" t="s">
        <v>84</v>
      </c>
      <c r="B972" s="24">
        <v>18</v>
      </c>
      <c r="C972" t="s">
        <v>128</v>
      </c>
      <c r="D972" t="s">
        <v>28</v>
      </c>
      <c r="E972" t="s">
        <v>215</v>
      </c>
      <c r="F972" t="s">
        <v>28</v>
      </c>
      <c r="H972" t="s">
        <v>29</v>
      </c>
      <c r="I972" t="s">
        <v>217</v>
      </c>
      <c r="J972">
        <v>8</v>
      </c>
      <c r="N972">
        <f>Таблица1[[#This Row],[Часов на заказчика  в работе]]+Таблица1[[#This Row],[Часов на заказчика  дежурство]]</f>
        <v>0</v>
      </c>
      <c r="O9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2" s="9">
        <v>110000</v>
      </c>
      <c r="R972" s="9"/>
      <c r="S972" s="5">
        <v>1</v>
      </c>
      <c r="T9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табеле]])*S972,0)</f>
        <v>0</v>
      </c>
      <c r="U972" s="5">
        <f>IF(Таблица1[[#This Row],[ТТН]]&gt;0,Таблица1[[#This Row],[Ставка за ТТН]]*Таблица1[[#This Row],[ТТН]],0)</f>
        <v>0</v>
      </c>
    </row>
    <row r="973" spans="1:21" x14ac:dyDescent="0.25">
      <c r="A973" t="s">
        <v>84</v>
      </c>
      <c r="B973" s="24">
        <v>19</v>
      </c>
      <c r="C973" t="s">
        <v>128</v>
      </c>
      <c r="D973" t="s">
        <v>28</v>
      </c>
      <c r="E973" t="s">
        <v>215</v>
      </c>
      <c r="F973" t="s">
        <v>28</v>
      </c>
      <c r="H973" t="s">
        <v>29</v>
      </c>
      <c r="I973" t="s">
        <v>217</v>
      </c>
      <c r="J973">
        <v>8</v>
      </c>
      <c r="N973">
        <f>Таблица1[[#This Row],[Часов на заказчика  в работе]]+Таблица1[[#This Row],[Часов на заказчика  дежурство]]</f>
        <v>0</v>
      </c>
      <c r="O9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3" s="9">
        <v>110000</v>
      </c>
      <c r="R973" s="9"/>
      <c r="S973" s="5">
        <v>1</v>
      </c>
      <c r="T9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табеле]])*S973,0)</f>
        <v>0</v>
      </c>
      <c r="U973" s="5">
        <f>IF(Таблица1[[#This Row],[ТТН]]&gt;0,Таблица1[[#This Row],[Ставка за ТТН]]*Таблица1[[#This Row],[ТТН]],0)</f>
        <v>0</v>
      </c>
    </row>
    <row r="974" spans="1:21" x14ac:dyDescent="0.25">
      <c r="A974" t="s">
        <v>84</v>
      </c>
      <c r="B974" s="24">
        <v>20</v>
      </c>
      <c r="C974" t="s">
        <v>128</v>
      </c>
      <c r="D974" t="s">
        <v>28</v>
      </c>
      <c r="E974" t="s">
        <v>215</v>
      </c>
      <c r="F974" t="s">
        <v>28</v>
      </c>
      <c r="H974" t="s">
        <v>30</v>
      </c>
      <c r="I974" t="s">
        <v>217</v>
      </c>
      <c r="J974">
        <v>1</v>
      </c>
      <c r="N974">
        <f>Таблица1[[#This Row],[Часов на заказчика  в работе]]+Таблица1[[#This Row],[Часов на заказчика  дежурство]]</f>
        <v>0</v>
      </c>
      <c r="O9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4" s="9">
        <v>110000</v>
      </c>
      <c r="R974" s="9"/>
      <c r="S974" s="5">
        <v>1</v>
      </c>
      <c r="T9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табеле]])*S974,0)</f>
        <v>0</v>
      </c>
      <c r="U974" s="5">
        <f>IF(Таблица1[[#This Row],[ТТН]]&gt;0,Таблица1[[#This Row],[Ставка за ТТН]]*Таблица1[[#This Row],[ТТН]],0)</f>
        <v>0</v>
      </c>
    </row>
    <row r="975" spans="1:21" x14ac:dyDescent="0.25">
      <c r="A975" t="s">
        <v>84</v>
      </c>
      <c r="B975" s="24">
        <v>21</v>
      </c>
      <c r="C975" t="s">
        <v>128</v>
      </c>
      <c r="D975" t="s">
        <v>28</v>
      </c>
      <c r="E975" t="s">
        <v>215</v>
      </c>
      <c r="F975" t="s">
        <v>28</v>
      </c>
      <c r="H975" t="s">
        <v>30</v>
      </c>
      <c r="I975" t="s">
        <v>217</v>
      </c>
      <c r="J975">
        <v>1</v>
      </c>
      <c r="N975">
        <f>Таблица1[[#This Row],[Часов на заказчика  в работе]]+Таблица1[[#This Row],[Часов на заказчика  дежурство]]</f>
        <v>0</v>
      </c>
      <c r="O9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5" s="9">
        <v>110000</v>
      </c>
      <c r="R975" s="9"/>
      <c r="S975" s="5">
        <v>1</v>
      </c>
      <c r="T9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табеле]])*S975,0)</f>
        <v>0</v>
      </c>
      <c r="U975" s="5">
        <f>IF(Таблица1[[#This Row],[ТТН]]&gt;0,Таблица1[[#This Row],[Ставка за ТТН]]*Таблица1[[#This Row],[ТТН]],0)</f>
        <v>0</v>
      </c>
    </row>
    <row r="976" spans="1:21" x14ac:dyDescent="0.25">
      <c r="A976" t="s">
        <v>84</v>
      </c>
      <c r="B976" s="24">
        <v>22</v>
      </c>
      <c r="C976" t="s">
        <v>128</v>
      </c>
      <c r="D976" t="s">
        <v>28</v>
      </c>
      <c r="E976" t="s">
        <v>215</v>
      </c>
      <c r="F976" t="s">
        <v>28</v>
      </c>
      <c r="H976" t="s">
        <v>29</v>
      </c>
      <c r="I976" t="s">
        <v>217</v>
      </c>
      <c r="J976">
        <v>8</v>
      </c>
      <c r="N976">
        <f>Таблица1[[#This Row],[Часов на заказчика  в работе]]+Таблица1[[#This Row],[Часов на заказчика  дежурство]]</f>
        <v>0</v>
      </c>
      <c r="O9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6" s="9">
        <v>110000</v>
      </c>
      <c r="R976" s="9"/>
      <c r="S976" s="5">
        <v>1</v>
      </c>
      <c r="T9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табеле]])*S976,0)</f>
        <v>0</v>
      </c>
      <c r="U976" s="5">
        <f>IF(Таблица1[[#This Row],[ТТН]]&gt;0,Таблица1[[#This Row],[Ставка за ТТН]]*Таблица1[[#This Row],[ТТН]],0)</f>
        <v>0</v>
      </c>
    </row>
    <row r="977" spans="1:21" x14ac:dyDescent="0.25">
      <c r="A977" t="s">
        <v>84</v>
      </c>
      <c r="B977" s="24">
        <v>23</v>
      </c>
      <c r="C977" t="s">
        <v>128</v>
      </c>
      <c r="D977" t="s">
        <v>28</v>
      </c>
      <c r="E977" t="s">
        <v>215</v>
      </c>
      <c r="F977" t="s">
        <v>28</v>
      </c>
      <c r="H977" t="s">
        <v>29</v>
      </c>
      <c r="I977" t="s">
        <v>217</v>
      </c>
      <c r="J977">
        <v>8</v>
      </c>
      <c r="N977">
        <f>Таблица1[[#This Row],[Часов на заказчика  в работе]]+Таблица1[[#This Row],[Часов на заказчика  дежурство]]</f>
        <v>0</v>
      </c>
      <c r="O9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7" s="9">
        <v>110000</v>
      </c>
      <c r="R977" s="9"/>
      <c r="S977" s="5">
        <v>1</v>
      </c>
      <c r="T9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табеле]])*S977,0)</f>
        <v>0</v>
      </c>
      <c r="U977" s="5">
        <f>IF(Таблица1[[#This Row],[ТТН]]&gt;0,Таблица1[[#This Row],[Ставка за ТТН]]*Таблица1[[#This Row],[ТТН]],0)</f>
        <v>0</v>
      </c>
    </row>
    <row r="978" spans="1:21" x14ac:dyDescent="0.25">
      <c r="A978" t="s">
        <v>84</v>
      </c>
      <c r="B978" s="24">
        <v>24</v>
      </c>
      <c r="C978" t="s">
        <v>128</v>
      </c>
      <c r="D978" t="s">
        <v>28</v>
      </c>
      <c r="E978" t="s">
        <v>215</v>
      </c>
      <c r="F978" t="s">
        <v>28</v>
      </c>
      <c r="H978" t="s">
        <v>29</v>
      </c>
      <c r="I978" t="s">
        <v>217</v>
      </c>
      <c r="J978">
        <v>8</v>
      </c>
      <c r="N978">
        <f>Таблица1[[#This Row],[Часов на заказчика  в работе]]+Таблица1[[#This Row],[Часов на заказчика  дежурство]]</f>
        <v>0</v>
      </c>
      <c r="O9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8" s="9">
        <v>110000</v>
      </c>
      <c r="R978" s="9"/>
      <c r="S978" s="5">
        <v>1</v>
      </c>
      <c r="T9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табеле]])*S978,0)</f>
        <v>0</v>
      </c>
      <c r="U978" s="5">
        <f>IF(Таблица1[[#This Row],[ТТН]]&gt;0,Таблица1[[#This Row],[Ставка за ТТН]]*Таблица1[[#This Row],[ТТН]],0)</f>
        <v>0</v>
      </c>
    </row>
    <row r="979" spans="1:21" x14ac:dyDescent="0.25">
      <c r="A979" t="s">
        <v>84</v>
      </c>
      <c r="B979" s="24">
        <v>25</v>
      </c>
      <c r="C979" t="s">
        <v>128</v>
      </c>
      <c r="D979" t="s">
        <v>28</v>
      </c>
      <c r="E979" t="s">
        <v>215</v>
      </c>
      <c r="F979" t="s">
        <v>28</v>
      </c>
      <c r="H979" t="s">
        <v>29</v>
      </c>
      <c r="I979" t="s">
        <v>217</v>
      </c>
      <c r="J979">
        <v>8</v>
      </c>
      <c r="N979">
        <f>Таблица1[[#This Row],[Часов на заказчика  в работе]]+Таблица1[[#This Row],[Часов на заказчика  дежурство]]</f>
        <v>0</v>
      </c>
      <c r="O9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79" s="9">
        <v>110000</v>
      </c>
      <c r="R979" s="9"/>
      <c r="S979" s="5">
        <v>1</v>
      </c>
      <c r="T9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табеле]])*S979,0)</f>
        <v>0</v>
      </c>
      <c r="U979" s="5">
        <f>IF(Таблица1[[#This Row],[ТТН]]&gt;0,Таблица1[[#This Row],[Ставка за ТТН]]*Таблица1[[#This Row],[ТТН]],0)</f>
        <v>0</v>
      </c>
    </row>
    <row r="980" spans="1:21" x14ac:dyDescent="0.25">
      <c r="A980" t="s">
        <v>84</v>
      </c>
      <c r="B980" s="24">
        <v>26</v>
      </c>
      <c r="C980" t="s">
        <v>128</v>
      </c>
      <c r="D980" t="s">
        <v>28</v>
      </c>
      <c r="E980" t="s">
        <v>215</v>
      </c>
      <c r="F980" t="s">
        <v>28</v>
      </c>
      <c r="H980" t="s">
        <v>29</v>
      </c>
      <c r="I980" t="s">
        <v>217</v>
      </c>
      <c r="J980">
        <v>8</v>
      </c>
      <c r="N980">
        <f>Таблица1[[#This Row],[Часов на заказчика  в работе]]+Таблица1[[#This Row],[Часов на заказчика  дежурство]]</f>
        <v>0</v>
      </c>
      <c r="O9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0" s="9">
        <v>110000</v>
      </c>
      <c r="R980" s="9"/>
      <c r="S980" s="5">
        <v>1</v>
      </c>
      <c r="T9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табеле]])*S980,0)</f>
        <v>0</v>
      </c>
      <c r="U980" s="5">
        <f>IF(Таблица1[[#This Row],[ТТН]]&gt;0,Таблица1[[#This Row],[Ставка за ТТН]]*Таблица1[[#This Row],[ТТН]],0)</f>
        <v>0</v>
      </c>
    </row>
    <row r="981" spans="1:21" x14ac:dyDescent="0.25">
      <c r="A981" t="s">
        <v>84</v>
      </c>
      <c r="B981" s="24">
        <v>27</v>
      </c>
      <c r="C981" t="s">
        <v>128</v>
      </c>
      <c r="D981" t="s">
        <v>28</v>
      </c>
      <c r="E981" t="s">
        <v>215</v>
      </c>
      <c r="F981" t="s">
        <v>28</v>
      </c>
      <c r="H981" t="s">
        <v>30</v>
      </c>
      <c r="I981" t="s">
        <v>217</v>
      </c>
      <c r="J981">
        <v>1</v>
      </c>
      <c r="N981">
        <f>Таблица1[[#This Row],[Часов на заказчика  в работе]]+Таблица1[[#This Row],[Часов на заказчика  дежурство]]</f>
        <v>0</v>
      </c>
      <c r="O9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1" s="9">
        <v>110000</v>
      </c>
      <c r="R981" s="9"/>
      <c r="S981" s="5">
        <v>1</v>
      </c>
      <c r="T9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табеле]])*S981,0)</f>
        <v>0</v>
      </c>
      <c r="U981" s="5">
        <f>IF(Таблица1[[#This Row],[ТТН]]&gt;0,Таблица1[[#This Row],[Ставка за ТТН]]*Таблица1[[#This Row],[ТТН]],0)</f>
        <v>0</v>
      </c>
    </row>
    <row r="982" spans="1:21" x14ac:dyDescent="0.25">
      <c r="A982" t="s">
        <v>84</v>
      </c>
      <c r="B982" s="24">
        <v>28</v>
      </c>
      <c r="C982" t="s">
        <v>128</v>
      </c>
      <c r="D982" t="s">
        <v>28</v>
      </c>
      <c r="E982" t="s">
        <v>215</v>
      </c>
      <c r="F982" t="s">
        <v>28</v>
      </c>
      <c r="H982" t="s">
        <v>30</v>
      </c>
      <c r="I982" t="s">
        <v>217</v>
      </c>
      <c r="J982">
        <v>1</v>
      </c>
      <c r="N982">
        <f>Таблица1[[#This Row],[Часов на заказчика  в работе]]+Таблица1[[#This Row],[Часов на заказчика  дежурство]]</f>
        <v>0</v>
      </c>
      <c r="O9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2" s="9">
        <v>110000</v>
      </c>
      <c r="R982" s="9"/>
      <c r="S982" s="5">
        <v>1</v>
      </c>
      <c r="T9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табеле]])*S982,0)</f>
        <v>0</v>
      </c>
      <c r="U982" s="5">
        <f>IF(Таблица1[[#This Row],[ТТН]]&gt;0,Таблица1[[#This Row],[Ставка за ТТН]]*Таблица1[[#This Row],[ТТН]],0)</f>
        <v>0</v>
      </c>
    </row>
    <row r="983" spans="1:21" x14ac:dyDescent="0.25">
      <c r="A983" t="s">
        <v>84</v>
      </c>
      <c r="B983" s="24">
        <v>29</v>
      </c>
      <c r="C983" t="s">
        <v>128</v>
      </c>
      <c r="D983" t="s">
        <v>28</v>
      </c>
      <c r="E983" t="s">
        <v>215</v>
      </c>
      <c r="F983" t="s">
        <v>28</v>
      </c>
      <c r="H983" t="s">
        <v>29</v>
      </c>
      <c r="I983" t="s">
        <v>217</v>
      </c>
      <c r="J983">
        <v>8</v>
      </c>
      <c r="N983">
        <f>Таблица1[[#This Row],[Часов на заказчика  в работе]]+Таблица1[[#This Row],[Часов на заказчика  дежурство]]</f>
        <v>0</v>
      </c>
      <c r="O9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3" s="9">
        <v>110000</v>
      </c>
      <c r="R983" s="9"/>
      <c r="S983" s="5">
        <v>1</v>
      </c>
      <c r="T9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табеле]])*S983,0)</f>
        <v>0</v>
      </c>
      <c r="U983" s="5">
        <f>IF(Таблица1[[#This Row],[ТТН]]&gt;0,Таблица1[[#This Row],[Ставка за ТТН]]*Таблица1[[#This Row],[ТТН]],0)</f>
        <v>0</v>
      </c>
    </row>
    <row r="984" spans="1:21" x14ac:dyDescent="0.25">
      <c r="A984" t="s">
        <v>84</v>
      </c>
      <c r="B984" s="24">
        <v>30</v>
      </c>
      <c r="C984" t="s">
        <v>129</v>
      </c>
      <c r="D984" t="s">
        <v>28</v>
      </c>
      <c r="E984" t="s">
        <v>215</v>
      </c>
      <c r="F984" t="s">
        <v>28</v>
      </c>
      <c r="H984" t="s">
        <v>29</v>
      </c>
      <c r="I984" t="s">
        <v>217</v>
      </c>
      <c r="J984">
        <v>8</v>
      </c>
      <c r="N984">
        <f>Таблица1[[#This Row],[Часов на заказчика  в работе]]+Таблица1[[#This Row],[Часов на заказчика  дежурство]]</f>
        <v>0</v>
      </c>
      <c r="O9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4" s="9">
        <v>110000</v>
      </c>
      <c r="R984" s="9"/>
      <c r="S984" s="5">
        <v>1</v>
      </c>
      <c r="T9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табеле]])*S984,0)</f>
        <v>0</v>
      </c>
      <c r="U984" s="5">
        <f>IF(Таблица1[[#This Row],[ТТН]]&gt;0,Таблица1[[#This Row],[Ставка за ТТН]]*Таблица1[[#This Row],[ТТН]],0)</f>
        <v>0</v>
      </c>
    </row>
    <row r="985" spans="1:21" x14ac:dyDescent="0.25">
      <c r="A985" t="s">
        <v>84</v>
      </c>
      <c r="B985" s="24">
        <v>1</v>
      </c>
      <c r="C985" t="s">
        <v>129</v>
      </c>
      <c r="D985" t="s">
        <v>12</v>
      </c>
      <c r="E985" t="s">
        <v>215</v>
      </c>
      <c r="F985" t="s">
        <v>68</v>
      </c>
      <c r="H985" t="s">
        <v>10</v>
      </c>
      <c r="I985" t="s">
        <v>219</v>
      </c>
      <c r="J985">
        <v>11</v>
      </c>
      <c r="L985">
        <v>11</v>
      </c>
      <c r="N985">
        <f>Таблица1[[#This Row],[Часов на заказчика  в работе]]+Таблица1[[#This Row],[Часов на заказчика  дежурство]]</f>
        <v>11</v>
      </c>
      <c r="O9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5" s="9">
        <v>170000</v>
      </c>
      <c r="R985" s="9"/>
      <c r="S985" s="5">
        <v>1</v>
      </c>
      <c r="T9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табеле]])*S985,0)</f>
        <v>5666.6666666666661</v>
      </c>
      <c r="U985" s="5">
        <f>IF(Таблица1[[#This Row],[ТТН]]&gt;0,Таблица1[[#This Row],[Ставка за ТТН]]*Таблица1[[#This Row],[ТТН]],0)</f>
        <v>0</v>
      </c>
    </row>
    <row r="986" spans="1:21" x14ac:dyDescent="0.25">
      <c r="A986" t="s">
        <v>84</v>
      </c>
      <c r="B986" s="24">
        <v>2</v>
      </c>
      <c r="C986" t="s">
        <v>129</v>
      </c>
      <c r="D986" t="s">
        <v>12</v>
      </c>
      <c r="E986" t="s">
        <v>215</v>
      </c>
      <c r="F986" t="s">
        <v>68</v>
      </c>
      <c r="H986" t="s">
        <v>10</v>
      </c>
      <c r="I986" t="s">
        <v>219</v>
      </c>
      <c r="J986">
        <v>11</v>
      </c>
      <c r="L986">
        <v>11</v>
      </c>
      <c r="N986">
        <f>Таблица1[[#This Row],[Часов на заказчика  в работе]]+Таблица1[[#This Row],[Часов на заказчика  дежурство]]</f>
        <v>11</v>
      </c>
      <c r="O9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6" s="9">
        <v>170000</v>
      </c>
      <c r="R986" s="9"/>
      <c r="S986" s="5">
        <v>1</v>
      </c>
      <c r="T9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табеле]])*S986,0)</f>
        <v>5666.6666666666661</v>
      </c>
      <c r="U986" s="5">
        <f>IF(Таблица1[[#This Row],[ТТН]]&gt;0,Таблица1[[#This Row],[Ставка за ТТН]]*Таблица1[[#This Row],[ТТН]],0)</f>
        <v>0</v>
      </c>
    </row>
    <row r="987" spans="1:21" x14ac:dyDescent="0.25">
      <c r="A987" t="s">
        <v>84</v>
      </c>
      <c r="B987" s="24">
        <v>3</v>
      </c>
      <c r="C987" t="s">
        <v>129</v>
      </c>
      <c r="D987" t="s">
        <v>12</v>
      </c>
      <c r="E987" t="s">
        <v>215</v>
      </c>
      <c r="F987" t="s">
        <v>68</v>
      </c>
      <c r="H987" t="s">
        <v>10</v>
      </c>
      <c r="I987" t="s">
        <v>219</v>
      </c>
      <c r="J987">
        <v>11</v>
      </c>
      <c r="L987">
        <v>11</v>
      </c>
      <c r="N987">
        <f>Таблица1[[#This Row],[Часов на заказчика  в работе]]+Таблица1[[#This Row],[Часов на заказчика  дежурство]]</f>
        <v>11</v>
      </c>
      <c r="O9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7" s="9">
        <v>170000</v>
      </c>
      <c r="R987" s="9"/>
      <c r="S987" s="5">
        <v>1</v>
      </c>
      <c r="T9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табеле]])*S987,0)</f>
        <v>5666.6666666666661</v>
      </c>
      <c r="U987" s="5">
        <f>IF(Таблица1[[#This Row],[ТТН]]&gt;0,Таблица1[[#This Row],[Ставка за ТТН]]*Таблица1[[#This Row],[ТТН]],0)</f>
        <v>0</v>
      </c>
    </row>
    <row r="988" spans="1:21" x14ac:dyDescent="0.25">
      <c r="A988" t="s">
        <v>84</v>
      </c>
      <c r="B988" s="24">
        <v>4</v>
      </c>
      <c r="C988" t="s">
        <v>129</v>
      </c>
      <c r="D988" t="s">
        <v>12</v>
      </c>
      <c r="E988" t="s">
        <v>215</v>
      </c>
      <c r="F988" t="s">
        <v>68</v>
      </c>
      <c r="H988" t="s">
        <v>10</v>
      </c>
      <c r="I988" t="s">
        <v>219</v>
      </c>
      <c r="J988">
        <v>11</v>
      </c>
      <c r="L988">
        <v>11</v>
      </c>
      <c r="N988">
        <f>Таблица1[[#This Row],[Часов на заказчика  в работе]]+Таблица1[[#This Row],[Часов на заказчика  дежурство]]</f>
        <v>11</v>
      </c>
      <c r="O9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8" s="9">
        <v>170000</v>
      </c>
      <c r="R988" s="9"/>
      <c r="S988" s="5">
        <v>1</v>
      </c>
      <c r="T9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табеле]])*S988,0)</f>
        <v>5666.6666666666661</v>
      </c>
      <c r="U988" s="5">
        <f>IF(Таблица1[[#This Row],[ТТН]]&gt;0,Таблица1[[#This Row],[Ставка за ТТН]]*Таблица1[[#This Row],[ТТН]],0)</f>
        <v>0</v>
      </c>
    </row>
    <row r="989" spans="1:21" x14ac:dyDescent="0.25">
      <c r="A989" t="s">
        <v>84</v>
      </c>
      <c r="B989" s="24">
        <v>5</v>
      </c>
      <c r="C989" t="s">
        <v>129</v>
      </c>
      <c r="D989" t="s">
        <v>12</v>
      </c>
      <c r="E989" t="s">
        <v>215</v>
      </c>
      <c r="F989" t="s">
        <v>68</v>
      </c>
      <c r="H989" t="s">
        <v>10</v>
      </c>
      <c r="I989" t="s">
        <v>219</v>
      </c>
      <c r="J989">
        <v>22</v>
      </c>
      <c r="L989">
        <v>22</v>
      </c>
      <c r="N989">
        <f>Таблица1[[#This Row],[Часов на заказчика  в работе]]+Таблица1[[#This Row],[Часов на заказчика  дежурство]]</f>
        <v>22</v>
      </c>
      <c r="O9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89" s="9">
        <v>170000</v>
      </c>
      <c r="R989" s="9"/>
      <c r="S989" s="5">
        <v>1</v>
      </c>
      <c r="T9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табеле]])*S989,0)</f>
        <v>11333.333333333332</v>
      </c>
      <c r="U989" s="5">
        <f>IF(Таблица1[[#This Row],[ТТН]]&gt;0,Таблица1[[#This Row],[Ставка за ТТН]]*Таблица1[[#This Row],[ТТН]],0)</f>
        <v>0</v>
      </c>
    </row>
    <row r="990" spans="1:21" x14ac:dyDescent="0.25">
      <c r="A990" t="s">
        <v>84</v>
      </c>
      <c r="B990" s="24">
        <v>6</v>
      </c>
      <c r="C990" t="s">
        <v>129</v>
      </c>
      <c r="D990" t="s">
        <v>12</v>
      </c>
      <c r="E990" t="s">
        <v>215</v>
      </c>
      <c r="F990" t="s">
        <v>68</v>
      </c>
      <c r="H990" t="s">
        <v>10</v>
      </c>
      <c r="I990" t="s">
        <v>219</v>
      </c>
      <c r="J990">
        <v>11</v>
      </c>
      <c r="L990">
        <v>11</v>
      </c>
      <c r="N990">
        <f>Таблица1[[#This Row],[Часов на заказчика  в работе]]+Таблица1[[#This Row],[Часов на заказчика  дежурство]]</f>
        <v>11</v>
      </c>
      <c r="O9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0" s="9">
        <v>170000</v>
      </c>
      <c r="R990" s="9"/>
      <c r="S990" s="5">
        <v>1</v>
      </c>
      <c r="T9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табеле]])*S990,0)</f>
        <v>5666.6666666666661</v>
      </c>
      <c r="U990" s="5">
        <f>IF(Таблица1[[#This Row],[ТТН]]&gt;0,Таблица1[[#This Row],[Ставка за ТТН]]*Таблица1[[#This Row],[ТТН]],0)</f>
        <v>0</v>
      </c>
    </row>
    <row r="991" spans="1:21" x14ac:dyDescent="0.25">
      <c r="A991" t="s">
        <v>84</v>
      </c>
      <c r="B991" s="24">
        <v>7</v>
      </c>
      <c r="C991" t="s">
        <v>129</v>
      </c>
      <c r="D991" t="s">
        <v>12</v>
      </c>
      <c r="E991" t="s">
        <v>215</v>
      </c>
      <c r="F991" t="s">
        <v>68</v>
      </c>
      <c r="H991" t="s">
        <v>10</v>
      </c>
      <c r="I991" t="s">
        <v>219</v>
      </c>
      <c r="J991">
        <v>11</v>
      </c>
      <c r="L991">
        <v>11</v>
      </c>
      <c r="N991">
        <f>Таблица1[[#This Row],[Часов на заказчика  в работе]]+Таблица1[[#This Row],[Часов на заказчика  дежурство]]</f>
        <v>11</v>
      </c>
      <c r="O9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1" s="9">
        <v>170000</v>
      </c>
      <c r="R991" s="9"/>
      <c r="S991" s="5">
        <v>1</v>
      </c>
      <c r="T9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табеле]])*S991,0)</f>
        <v>5666.6666666666661</v>
      </c>
      <c r="U991" s="5">
        <f>IF(Таблица1[[#This Row],[ТТН]]&gt;0,Таблица1[[#This Row],[Ставка за ТТН]]*Таблица1[[#This Row],[ТТН]],0)</f>
        <v>0</v>
      </c>
    </row>
    <row r="992" spans="1:21" x14ac:dyDescent="0.25">
      <c r="A992" t="s">
        <v>84</v>
      </c>
      <c r="B992" s="24">
        <v>8</v>
      </c>
      <c r="C992" t="s">
        <v>129</v>
      </c>
      <c r="D992" t="s">
        <v>12</v>
      </c>
      <c r="E992" t="s">
        <v>215</v>
      </c>
      <c r="F992" t="s">
        <v>68</v>
      </c>
      <c r="H992" t="s">
        <v>10</v>
      </c>
      <c r="I992" t="s">
        <v>219</v>
      </c>
      <c r="J992">
        <v>11</v>
      </c>
      <c r="L992">
        <v>11</v>
      </c>
      <c r="N992">
        <f>Таблица1[[#This Row],[Часов на заказчика  в работе]]+Таблица1[[#This Row],[Часов на заказчика  дежурство]]</f>
        <v>11</v>
      </c>
      <c r="O9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2" s="9">
        <v>170000</v>
      </c>
      <c r="R992" s="9"/>
      <c r="S992" s="5">
        <v>1</v>
      </c>
      <c r="T9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табеле]])*S992,0)</f>
        <v>5666.6666666666661</v>
      </c>
      <c r="U992" s="5">
        <f>IF(Таблица1[[#This Row],[ТТН]]&gt;0,Таблица1[[#This Row],[Ставка за ТТН]]*Таблица1[[#This Row],[ТТН]],0)</f>
        <v>0</v>
      </c>
    </row>
    <row r="993" spans="1:21" x14ac:dyDescent="0.25">
      <c r="A993" t="s">
        <v>84</v>
      </c>
      <c r="B993" s="24">
        <v>9</v>
      </c>
      <c r="C993" t="s">
        <v>129</v>
      </c>
      <c r="D993" t="s">
        <v>12</v>
      </c>
      <c r="E993" t="s">
        <v>215</v>
      </c>
      <c r="F993" t="s">
        <v>68</v>
      </c>
      <c r="H993" t="s">
        <v>10</v>
      </c>
      <c r="I993" t="s">
        <v>219</v>
      </c>
      <c r="J993">
        <v>11</v>
      </c>
      <c r="L993">
        <v>11</v>
      </c>
      <c r="N993">
        <f>Таблица1[[#This Row],[Часов на заказчика  в работе]]+Таблица1[[#This Row],[Часов на заказчика  дежурство]]</f>
        <v>11</v>
      </c>
      <c r="O9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3" s="9">
        <v>170000</v>
      </c>
      <c r="R993" s="9"/>
      <c r="S993" s="5">
        <v>1</v>
      </c>
      <c r="T9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табеле]])*S993,0)</f>
        <v>5666.6666666666661</v>
      </c>
      <c r="U993" s="5">
        <f>IF(Таблица1[[#This Row],[ТТН]]&gt;0,Таблица1[[#This Row],[Ставка за ТТН]]*Таблица1[[#This Row],[ТТН]],0)</f>
        <v>0</v>
      </c>
    </row>
    <row r="994" spans="1:21" x14ac:dyDescent="0.25">
      <c r="A994" t="s">
        <v>84</v>
      </c>
      <c r="B994" s="24">
        <v>10</v>
      </c>
      <c r="C994" t="s">
        <v>129</v>
      </c>
      <c r="D994" t="s">
        <v>12</v>
      </c>
      <c r="E994" t="s">
        <v>215</v>
      </c>
      <c r="F994" t="s">
        <v>68</v>
      </c>
      <c r="H994" t="s">
        <v>10</v>
      </c>
      <c r="I994" t="s">
        <v>219</v>
      </c>
      <c r="J994">
        <v>11</v>
      </c>
      <c r="L994">
        <v>11</v>
      </c>
      <c r="N994">
        <f>Таблица1[[#This Row],[Часов на заказчика  в работе]]+Таблица1[[#This Row],[Часов на заказчика  дежурство]]</f>
        <v>11</v>
      </c>
      <c r="O9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4" s="9">
        <v>170000</v>
      </c>
      <c r="R994" s="9"/>
      <c r="S994" s="5">
        <v>1</v>
      </c>
      <c r="T9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табеле]])*S994,0)</f>
        <v>5666.6666666666661</v>
      </c>
      <c r="U994" s="5">
        <f>IF(Таблица1[[#This Row],[ТТН]]&gt;0,Таблица1[[#This Row],[Ставка за ТТН]]*Таблица1[[#This Row],[ТТН]],0)</f>
        <v>0</v>
      </c>
    </row>
    <row r="995" spans="1:21" x14ac:dyDescent="0.25">
      <c r="A995" t="s">
        <v>84</v>
      </c>
      <c r="B995" s="24">
        <v>11</v>
      </c>
      <c r="C995" t="s">
        <v>129</v>
      </c>
      <c r="D995" t="s">
        <v>12</v>
      </c>
      <c r="E995" t="s">
        <v>215</v>
      </c>
      <c r="F995" t="s">
        <v>68</v>
      </c>
      <c r="H995" t="s">
        <v>10</v>
      </c>
      <c r="I995" t="s">
        <v>219</v>
      </c>
      <c r="J995">
        <v>11</v>
      </c>
      <c r="L995">
        <v>11</v>
      </c>
      <c r="N995">
        <f>Таблица1[[#This Row],[Часов на заказчика  в работе]]+Таблица1[[#This Row],[Часов на заказчика  дежурство]]</f>
        <v>11</v>
      </c>
      <c r="O9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5" s="9">
        <v>170000</v>
      </c>
      <c r="R995" s="9"/>
      <c r="S995" s="5">
        <v>1</v>
      </c>
      <c r="T9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табеле]])*S995,0)</f>
        <v>5666.6666666666661</v>
      </c>
      <c r="U995" s="5">
        <f>IF(Таблица1[[#This Row],[ТТН]]&gt;0,Таблица1[[#This Row],[Ставка за ТТН]]*Таблица1[[#This Row],[ТТН]],0)</f>
        <v>0</v>
      </c>
    </row>
    <row r="996" spans="1:21" x14ac:dyDescent="0.25">
      <c r="A996" t="s">
        <v>84</v>
      </c>
      <c r="B996" s="24">
        <v>12</v>
      </c>
      <c r="C996" t="s">
        <v>129</v>
      </c>
      <c r="D996" t="s">
        <v>12</v>
      </c>
      <c r="E996" t="s">
        <v>215</v>
      </c>
      <c r="F996" t="s">
        <v>68</v>
      </c>
      <c r="H996" t="s">
        <v>10</v>
      </c>
      <c r="I996" t="s">
        <v>219</v>
      </c>
      <c r="J996">
        <v>11</v>
      </c>
      <c r="L996">
        <v>11</v>
      </c>
      <c r="N996">
        <f>Таблица1[[#This Row],[Часов на заказчика  в работе]]+Таблица1[[#This Row],[Часов на заказчика  дежурство]]</f>
        <v>11</v>
      </c>
      <c r="O9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6" s="9">
        <v>170000</v>
      </c>
      <c r="R996" s="9"/>
      <c r="S996" s="5">
        <v>1</v>
      </c>
      <c r="T9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табеле]])*S996,0)</f>
        <v>5666.6666666666661</v>
      </c>
      <c r="U996" s="5">
        <f>IF(Таблица1[[#This Row],[ТТН]]&gt;0,Таблица1[[#This Row],[Ставка за ТТН]]*Таблица1[[#This Row],[ТТН]],0)</f>
        <v>0</v>
      </c>
    </row>
    <row r="997" spans="1:21" x14ac:dyDescent="0.25">
      <c r="A997" t="s">
        <v>84</v>
      </c>
      <c r="B997" s="24">
        <v>13</v>
      </c>
      <c r="C997" t="s">
        <v>129</v>
      </c>
      <c r="D997" t="s">
        <v>12</v>
      </c>
      <c r="E997" t="s">
        <v>215</v>
      </c>
      <c r="F997" t="s">
        <v>68</v>
      </c>
      <c r="H997" t="s">
        <v>10</v>
      </c>
      <c r="I997" t="s">
        <v>219</v>
      </c>
      <c r="J997">
        <v>11</v>
      </c>
      <c r="L997">
        <v>11</v>
      </c>
      <c r="N997">
        <f>Таблица1[[#This Row],[Часов на заказчика  в работе]]+Таблица1[[#This Row],[Часов на заказчика  дежурство]]</f>
        <v>11</v>
      </c>
      <c r="O9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7" s="9">
        <v>170000</v>
      </c>
      <c r="R997" s="9"/>
      <c r="S997" s="5">
        <v>1</v>
      </c>
      <c r="T9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табеле]])*S997,0)</f>
        <v>5666.6666666666661</v>
      </c>
      <c r="U997" s="5">
        <f>IF(Таблица1[[#This Row],[ТТН]]&gt;0,Таблица1[[#This Row],[Ставка за ТТН]]*Таблица1[[#This Row],[ТТН]],0)</f>
        <v>0</v>
      </c>
    </row>
    <row r="998" spans="1:21" x14ac:dyDescent="0.25">
      <c r="A998" t="s">
        <v>84</v>
      </c>
      <c r="B998" s="24">
        <v>14</v>
      </c>
      <c r="C998" t="s">
        <v>129</v>
      </c>
      <c r="D998" t="s">
        <v>12</v>
      </c>
      <c r="E998" t="s">
        <v>215</v>
      </c>
      <c r="F998" t="s">
        <v>68</v>
      </c>
      <c r="H998" t="s">
        <v>10</v>
      </c>
      <c r="I998" t="s">
        <v>219</v>
      </c>
      <c r="J998">
        <v>11</v>
      </c>
      <c r="L998">
        <v>11</v>
      </c>
      <c r="N998">
        <f>Таблица1[[#This Row],[Часов на заказчика  в работе]]+Таблица1[[#This Row],[Часов на заказчика  дежурство]]</f>
        <v>11</v>
      </c>
      <c r="O9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8" s="9">
        <v>170000</v>
      </c>
      <c r="R998" s="9"/>
      <c r="S998" s="5">
        <v>1</v>
      </c>
      <c r="T9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табеле]])*S998,0)</f>
        <v>5666.6666666666661</v>
      </c>
      <c r="U998" s="5">
        <f>IF(Таблица1[[#This Row],[ТТН]]&gt;0,Таблица1[[#This Row],[Ставка за ТТН]]*Таблица1[[#This Row],[ТТН]],0)</f>
        <v>0</v>
      </c>
    </row>
    <row r="999" spans="1:21" x14ac:dyDescent="0.25">
      <c r="A999" t="s">
        <v>84</v>
      </c>
      <c r="B999" s="24">
        <v>15</v>
      </c>
      <c r="C999" t="s">
        <v>129</v>
      </c>
      <c r="D999" t="s">
        <v>12</v>
      </c>
      <c r="E999" t="s">
        <v>215</v>
      </c>
      <c r="F999" t="s">
        <v>68</v>
      </c>
      <c r="H999" t="s">
        <v>10</v>
      </c>
      <c r="I999" t="s">
        <v>219</v>
      </c>
      <c r="J999">
        <v>11</v>
      </c>
      <c r="L999">
        <v>11</v>
      </c>
      <c r="N999">
        <f>Таблица1[[#This Row],[Часов на заказчика  в работе]]+Таблица1[[#This Row],[Часов на заказчика  дежурство]]</f>
        <v>11</v>
      </c>
      <c r="O9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999" s="9">
        <v>170000</v>
      </c>
      <c r="R999" s="9"/>
      <c r="S999" s="5">
        <v>1</v>
      </c>
      <c r="T9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табеле]])*S999,0)</f>
        <v>5666.6666666666661</v>
      </c>
      <c r="U999" s="5">
        <f>IF(Таблица1[[#This Row],[ТТН]]&gt;0,Таблица1[[#This Row],[Ставка за ТТН]]*Таблица1[[#This Row],[ТТН]],0)</f>
        <v>0</v>
      </c>
    </row>
    <row r="1000" spans="1:21" x14ac:dyDescent="0.25">
      <c r="A1000" t="s">
        <v>84</v>
      </c>
      <c r="B1000" s="24">
        <v>16</v>
      </c>
      <c r="C1000" t="s">
        <v>129</v>
      </c>
      <c r="D1000" t="s">
        <v>12</v>
      </c>
      <c r="E1000" t="s">
        <v>215</v>
      </c>
      <c r="F1000" t="s">
        <v>68</v>
      </c>
      <c r="H1000" t="s">
        <v>10</v>
      </c>
      <c r="I1000" t="s">
        <v>219</v>
      </c>
      <c r="J1000">
        <v>11</v>
      </c>
      <c r="L1000">
        <v>11</v>
      </c>
      <c r="N1000">
        <f>Таблица1[[#This Row],[Часов на заказчика  в работе]]+Таблица1[[#This Row],[Часов на заказчика  дежурство]]</f>
        <v>11</v>
      </c>
      <c r="O10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0" s="9">
        <v>170000</v>
      </c>
      <c r="R1000" s="9"/>
      <c r="S1000" s="5">
        <v>1</v>
      </c>
      <c r="T10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табеле]])*S1000,0)</f>
        <v>5666.6666666666661</v>
      </c>
      <c r="U1000" s="5">
        <f>IF(Таблица1[[#This Row],[ТТН]]&gt;0,Таблица1[[#This Row],[Ставка за ТТН]]*Таблица1[[#This Row],[ТТН]],0)</f>
        <v>0</v>
      </c>
    </row>
    <row r="1001" spans="1:21" x14ac:dyDescent="0.25">
      <c r="A1001" t="s">
        <v>84</v>
      </c>
      <c r="B1001" s="24">
        <v>17</v>
      </c>
      <c r="C1001" t="s">
        <v>129</v>
      </c>
      <c r="D1001" t="s">
        <v>12</v>
      </c>
      <c r="E1001" t="s">
        <v>215</v>
      </c>
      <c r="F1001" t="s">
        <v>68</v>
      </c>
      <c r="H1001" t="s">
        <v>10</v>
      </c>
      <c r="I1001" t="s">
        <v>219</v>
      </c>
      <c r="J1001">
        <v>11</v>
      </c>
      <c r="L1001">
        <v>11</v>
      </c>
      <c r="N1001">
        <f>Таблица1[[#This Row],[Часов на заказчика  в работе]]+Таблица1[[#This Row],[Часов на заказчика  дежурство]]</f>
        <v>11</v>
      </c>
      <c r="O10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1" s="9">
        <v>170000</v>
      </c>
      <c r="R1001" s="9"/>
      <c r="S1001" s="5">
        <v>1</v>
      </c>
      <c r="T10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табеле]])*S1001,0)</f>
        <v>5666.6666666666661</v>
      </c>
      <c r="U1001" s="5">
        <f>IF(Таблица1[[#This Row],[ТТН]]&gt;0,Таблица1[[#This Row],[Ставка за ТТН]]*Таблица1[[#This Row],[ТТН]],0)</f>
        <v>0</v>
      </c>
    </row>
    <row r="1002" spans="1:21" x14ac:dyDescent="0.25">
      <c r="A1002" t="s">
        <v>84</v>
      </c>
      <c r="B1002" s="24">
        <v>18</v>
      </c>
      <c r="C1002" t="s">
        <v>129</v>
      </c>
      <c r="D1002" t="s">
        <v>12</v>
      </c>
      <c r="E1002" t="s">
        <v>215</v>
      </c>
      <c r="F1002" t="s">
        <v>68</v>
      </c>
      <c r="H1002" t="s">
        <v>10</v>
      </c>
      <c r="I1002" t="s">
        <v>219</v>
      </c>
      <c r="J1002">
        <v>11</v>
      </c>
      <c r="L1002">
        <v>11</v>
      </c>
      <c r="N1002">
        <f>Таблица1[[#This Row],[Часов на заказчика  в работе]]+Таблица1[[#This Row],[Часов на заказчика  дежурство]]</f>
        <v>11</v>
      </c>
      <c r="O10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2" s="9">
        <v>170000</v>
      </c>
      <c r="R1002" s="9"/>
      <c r="S1002" s="5">
        <v>1</v>
      </c>
      <c r="T10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табеле]])*S1002,0)</f>
        <v>5666.6666666666661</v>
      </c>
      <c r="U1002" s="5">
        <f>IF(Таблица1[[#This Row],[ТТН]]&gt;0,Таблица1[[#This Row],[Ставка за ТТН]]*Таблица1[[#This Row],[ТТН]],0)</f>
        <v>0</v>
      </c>
    </row>
    <row r="1003" spans="1:21" x14ac:dyDescent="0.25">
      <c r="A1003" t="s">
        <v>84</v>
      </c>
      <c r="B1003" s="24">
        <v>19</v>
      </c>
      <c r="C1003" t="s">
        <v>129</v>
      </c>
      <c r="D1003" t="s">
        <v>12</v>
      </c>
      <c r="E1003" t="s">
        <v>215</v>
      </c>
      <c r="F1003" t="s">
        <v>68</v>
      </c>
      <c r="H1003" t="s">
        <v>10</v>
      </c>
      <c r="I1003" t="s">
        <v>219</v>
      </c>
      <c r="J1003">
        <v>11</v>
      </c>
      <c r="L1003">
        <v>11</v>
      </c>
      <c r="N1003">
        <f>Таблица1[[#This Row],[Часов на заказчика  в работе]]+Таблица1[[#This Row],[Часов на заказчика  дежурство]]</f>
        <v>11</v>
      </c>
      <c r="O10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3" s="9">
        <v>170000</v>
      </c>
      <c r="R1003" s="9"/>
      <c r="S1003" s="5">
        <v>1</v>
      </c>
      <c r="T10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табеле]])*S1003,0)</f>
        <v>5666.6666666666661</v>
      </c>
      <c r="U1003" s="5">
        <f>IF(Таблица1[[#This Row],[ТТН]]&gt;0,Таблица1[[#This Row],[Ставка за ТТН]]*Таблица1[[#This Row],[ТТН]],0)</f>
        <v>0</v>
      </c>
    </row>
    <row r="1004" spans="1:21" x14ac:dyDescent="0.25">
      <c r="A1004" t="s">
        <v>84</v>
      </c>
      <c r="B1004" s="24">
        <v>20</v>
      </c>
      <c r="C1004" t="s">
        <v>129</v>
      </c>
      <c r="D1004" t="s">
        <v>12</v>
      </c>
      <c r="E1004" t="s">
        <v>215</v>
      </c>
      <c r="F1004" t="s">
        <v>68</v>
      </c>
      <c r="H1004" t="s">
        <v>10</v>
      </c>
      <c r="I1004" t="s">
        <v>219</v>
      </c>
      <c r="J1004">
        <v>11</v>
      </c>
      <c r="L1004">
        <v>11</v>
      </c>
      <c r="N1004">
        <f>Таблица1[[#This Row],[Часов на заказчика  в работе]]+Таблица1[[#This Row],[Часов на заказчика  дежурство]]</f>
        <v>11</v>
      </c>
      <c r="O10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4" s="9">
        <v>170000</v>
      </c>
      <c r="R1004" s="9"/>
      <c r="S1004" s="5">
        <v>1</v>
      </c>
      <c r="T10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табеле]])*S1004,0)</f>
        <v>5666.6666666666661</v>
      </c>
      <c r="U1004" s="5">
        <f>IF(Таблица1[[#This Row],[ТТН]]&gt;0,Таблица1[[#This Row],[Ставка за ТТН]]*Таблица1[[#This Row],[ТТН]],0)</f>
        <v>0</v>
      </c>
    </row>
    <row r="1005" spans="1:21" x14ac:dyDescent="0.25">
      <c r="A1005" t="s">
        <v>84</v>
      </c>
      <c r="B1005" s="24">
        <v>21</v>
      </c>
      <c r="C1005" t="s">
        <v>129</v>
      </c>
      <c r="D1005" t="s">
        <v>12</v>
      </c>
      <c r="E1005" t="s">
        <v>215</v>
      </c>
      <c r="F1005" t="s">
        <v>68</v>
      </c>
      <c r="H1005" t="s">
        <v>10</v>
      </c>
      <c r="I1005" t="s">
        <v>219</v>
      </c>
      <c r="J1005">
        <v>11</v>
      </c>
      <c r="L1005">
        <v>11</v>
      </c>
      <c r="N1005">
        <f>Таблица1[[#This Row],[Часов на заказчика  в работе]]+Таблица1[[#This Row],[Часов на заказчика  дежурство]]</f>
        <v>11</v>
      </c>
      <c r="O10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5" s="9">
        <v>170000</v>
      </c>
      <c r="R1005" s="9"/>
      <c r="S1005" s="5">
        <v>1</v>
      </c>
      <c r="T10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табеле]])*S1005,0)</f>
        <v>5666.6666666666661</v>
      </c>
      <c r="U1005" s="5">
        <f>IF(Таблица1[[#This Row],[ТТН]]&gt;0,Таблица1[[#This Row],[Ставка за ТТН]]*Таблица1[[#This Row],[ТТН]],0)</f>
        <v>0</v>
      </c>
    </row>
    <row r="1006" spans="1:21" x14ac:dyDescent="0.25">
      <c r="A1006" t="s">
        <v>84</v>
      </c>
      <c r="B1006" s="24">
        <v>22</v>
      </c>
      <c r="C1006" t="s">
        <v>129</v>
      </c>
      <c r="D1006" t="s">
        <v>12</v>
      </c>
      <c r="E1006" t="s">
        <v>215</v>
      </c>
      <c r="F1006" t="s">
        <v>68</v>
      </c>
      <c r="H1006" t="s">
        <v>38</v>
      </c>
      <c r="I1006" t="s">
        <v>217</v>
      </c>
      <c r="J1006">
        <v>11</v>
      </c>
      <c r="L1006">
        <v>11</v>
      </c>
      <c r="N1006">
        <f>Таблица1[[#This Row],[Часов на заказчика  в работе]]+Таблица1[[#This Row],[Часов на заказчика  дежурство]]</f>
        <v>11</v>
      </c>
      <c r="O10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6" s="9">
        <v>170000</v>
      </c>
      <c r="R1006" s="9"/>
      <c r="S1006" s="5">
        <v>1</v>
      </c>
      <c r="T10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табеле]])*S1006,0)</f>
        <v>5666.6666666666661</v>
      </c>
      <c r="U1006" s="5">
        <f>IF(Таблица1[[#This Row],[ТТН]]&gt;0,Таблица1[[#This Row],[Ставка за ТТН]]*Таблица1[[#This Row],[ТТН]],0)</f>
        <v>0</v>
      </c>
    </row>
    <row r="1007" spans="1:21" x14ac:dyDescent="0.25">
      <c r="A1007" t="s">
        <v>84</v>
      </c>
      <c r="B1007" s="24">
        <v>23</v>
      </c>
      <c r="C1007" t="s">
        <v>129</v>
      </c>
      <c r="D1007" t="s">
        <v>12</v>
      </c>
      <c r="E1007" t="s">
        <v>215</v>
      </c>
      <c r="F1007" t="s">
        <v>68</v>
      </c>
      <c r="H1007" t="s">
        <v>10</v>
      </c>
      <c r="I1007" t="s">
        <v>219</v>
      </c>
      <c r="J1007">
        <v>11</v>
      </c>
      <c r="L1007">
        <v>11</v>
      </c>
      <c r="N1007">
        <f>Таблица1[[#This Row],[Часов на заказчика  в работе]]+Таблица1[[#This Row],[Часов на заказчика  дежурство]]</f>
        <v>11</v>
      </c>
      <c r="O10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7" s="9">
        <v>170000</v>
      </c>
      <c r="R1007" s="9"/>
      <c r="S1007" s="5">
        <v>1</v>
      </c>
      <c r="T10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табеле]])*S1007,0)</f>
        <v>5666.6666666666661</v>
      </c>
      <c r="U1007" s="5">
        <f>IF(Таблица1[[#This Row],[ТТН]]&gt;0,Таблица1[[#This Row],[Ставка за ТТН]]*Таблица1[[#This Row],[ТТН]],0)</f>
        <v>0</v>
      </c>
    </row>
    <row r="1008" spans="1:21" x14ac:dyDescent="0.25">
      <c r="A1008" t="s">
        <v>84</v>
      </c>
      <c r="B1008" s="24">
        <v>24</v>
      </c>
      <c r="C1008" t="s">
        <v>129</v>
      </c>
      <c r="D1008" t="s">
        <v>12</v>
      </c>
      <c r="E1008" t="s">
        <v>215</v>
      </c>
      <c r="F1008" t="s">
        <v>68</v>
      </c>
      <c r="H1008" t="s">
        <v>10</v>
      </c>
      <c r="I1008" t="s">
        <v>219</v>
      </c>
      <c r="J1008">
        <v>11</v>
      </c>
      <c r="L1008">
        <v>11</v>
      </c>
      <c r="N1008">
        <f>Таблица1[[#This Row],[Часов на заказчика  в работе]]+Таблица1[[#This Row],[Часов на заказчика  дежурство]]</f>
        <v>11</v>
      </c>
      <c r="O10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8" s="9">
        <v>170000</v>
      </c>
      <c r="R1008" s="9"/>
      <c r="S1008" s="5">
        <v>1</v>
      </c>
      <c r="T10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табеле]])*S1008,0)</f>
        <v>5666.6666666666661</v>
      </c>
      <c r="U1008" s="5">
        <f>IF(Таблица1[[#This Row],[ТТН]]&gt;0,Таблица1[[#This Row],[Ставка за ТТН]]*Таблица1[[#This Row],[ТТН]],0)</f>
        <v>0</v>
      </c>
    </row>
    <row r="1009" spans="1:21" x14ac:dyDescent="0.25">
      <c r="A1009" t="s">
        <v>84</v>
      </c>
      <c r="B1009" s="24">
        <v>25</v>
      </c>
      <c r="C1009" t="s">
        <v>129</v>
      </c>
      <c r="D1009" t="s">
        <v>12</v>
      </c>
      <c r="E1009" t="s">
        <v>215</v>
      </c>
      <c r="F1009" t="s">
        <v>68</v>
      </c>
      <c r="H1009" t="s">
        <v>10</v>
      </c>
      <c r="I1009" t="s">
        <v>219</v>
      </c>
      <c r="J1009">
        <v>11</v>
      </c>
      <c r="L1009">
        <v>11</v>
      </c>
      <c r="N1009">
        <f>Таблица1[[#This Row],[Часов на заказчика  в работе]]+Таблица1[[#This Row],[Часов на заказчика  дежурство]]</f>
        <v>11</v>
      </c>
      <c r="O10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09" s="9">
        <v>170000</v>
      </c>
      <c r="R1009" s="9"/>
      <c r="S1009" s="5">
        <v>1</v>
      </c>
      <c r="T10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табеле]])*S1009,0)</f>
        <v>5666.6666666666661</v>
      </c>
      <c r="U1009" s="5">
        <f>IF(Таблица1[[#This Row],[ТТН]]&gt;0,Таблица1[[#This Row],[Ставка за ТТН]]*Таблица1[[#This Row],[ТТН]],0)</f>
        <v>0</v>
      </c>
    </row>
    <row r="1010" spans="1:21" x14ac:dyDescent="0.25">
      <c r="A1010" t="s">
        <v>84</v>
      </c>
      <c r="B1010" s="24">
        <v>26</v>
      </c>
      <c r="C1010" t="s">
        <v>129</v>
      </c>
      <c r="D1010" t="s">
        <v>12</v>
      </c>
      <c r="E1010" t="s">
        <v>215</v>
      </c>
      <c r="F1010" t="s">
        <v>68</v>
      </c>
      <c r="H1010" t="s">
        <v>10</v>
      </c>
      <c r="I1010" t="s">
        <v>219</v>
      </c>
      <c r="J1010">
        <v>11</v>
      </c>
      <c r="L1010">
        <v>11</v>
      </c>
      <c r="N1010">
        <f>Таблица1[[#This Row],[Часов на заказчика  в работе]]+Таблица1[[#This Row],[Часов на заказчика  дежурство]]</f>
        <v>11</v>
      </c>
      <c r="O10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0" s="9">
        <v>170000</v>
      </c>
      <c r="R1010" s="9"/>
      <c r="S1010" s="5">
        <v>1</v>
      </c>
      <c r="T10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табеле]])*S1010,0)</f>
        <v>5666.6666666666661</v>
      </c>
      <c r="U1010" s="5">
        <f>IF(Таблица1[[#This Row],[ТТН]]&gt;0,Таблица1[[#This Row],[Ставка за ТТН]]*Таблица1[[#This Row],[ТТН]],0)</f>
        <v>0</v>
      </c>
    </row>
    <row r="1011" spans="1:21" x14ac:dyDescent="0.25">
      <c r="A1011" t="s">
        <v>84</v>
      </c>
      <c r="B1011" s="24">
        <v>27</v>
      </c>
      <c r="C1011" t="s">
        <v>129</v>
      </c>
      <c r="D1011" t="s">
        <v>12</v>
      </c>
      <c r="E1011" t="s">
        <v>215</v>
      </c>
      <c r="F1011" t="s">
        <v>68</v>
      </c>
      <c r="H1011" t="s">
        <v>10</v>
      </c>
      <c r="I1011" t="s">
        <v>219</v>
      </c>
      <c r="J1011">
        <v>11</v>
      </c>
      <c r="L1011">
        <v>11</v>
      </c>
      <c r="N1011">
        <f>Таблица1[[#This Row],[Часов на заказчика  в работе]]+Таблица1[[#This Row],[Часов на заказчика  дежурство]]</f>
        <v>11</v>
      </c>
      <c r="O10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1" s="9">
        <v>170000</v>
      </c>
      <c r="R1011" s="9"/>
      <c r="S1011" s="5">
        <v>1</v>
      </c>
      <c r="T10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табеле]])*S1011,0)</f>
        <v>5666.6666666666661</v>
      </c>
      <c r="U1011" s="5">
        <f>IF(Таблица1[[#This Row],[ТТН]]&gt;0,Таблица1[[#This Row],[Ставка за ТТН]]*Таблица1[[#This Row],[ТТН]],0)</f>
        <v>0</v>
      </c>
    </row>
    <row r="1012" spans="1:21" x14ac:dyDescent="0.25">
      <c r="A1012" t="s">
        <v>84</v>
      </c>
      <c r="B1012" s="24">
        <v>28</v>
      </c>
      <c r="C1012" t="s">
        <v>129</v>
      </c>
      <c r="D1012" t="s">
        <v>12</v>
      </c>
      <c r="E1012" t="s">
        <v>215</v>
      </c>
      <c r="F1012" t="s">
        <v>68</v>
      </c>
      <c r="H1012" t="s">
        <v>10</v>
      </c>
      <c r="I1012" t="s">
        <v>219</v>
      </c>
      <c r="J1012">
        <v>11</v>
      </c>
      <c r="L1012">
        <v>11</v>
      </c>
      <c r="N1012">
        <f>Таблица1[[#This Row],[Часов на заказчика  в работе]]+Таблица1[[#This Row],[Часов на заказчика  дежурство]]</f>
        <v>11</v>
      </c>
      <c r="O10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2" s="9">
        <v>170000</v>
      </c>
      <c r="R1012" s="9"/>
      <c r="S1012" s="5">
        <v>1</v>
      </c>
      <c r="T10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табеле]])*S1012,0)</f>
        <v>5666.6666666666661</v>
      </c>
      <c r="U1012" s="5">
        <f>IF(Таблица1[[#This Row],[ТТН]]&gt;0,Таблица1[[#This Row],[Ставка за ТТН]]*Таблица1[[#This Row],[ТТН]],0)</f>
        <v>0</v>
      </c>
    </row>
    <row r="1013" spans="1:21" x14ac:dyDescent="0.25">
      <c r="A1013" t="s">
        <v>84</v>
      </c>
      <c r="B1013" s="24">
        <v>29</v>
      </c>
      <c r="C1013" t="s">
        <v>129</v>
      </c>
      <c r="D1013" t="s">
        <v>12</v>
      </c>
      <c r="E1013" t="s">
        <v>215</v>
      </c>
      <c r="F1013" t="s">
        <v>68</v>
      </c>
      <c r="H1013" t="s">
        <v>10</v>
      </c>
      <c r="I1013" t="s">
        <v>219</v>
      </c>
      <c r="J1013">
        <v>11</v>
      </c>
      <c r="L1013">
        <v>11</v>
      </c>
      <c r="N1013">
        <f>Таблица1[[#This Row],[Часов на заказчика  в работе]]+Таблица1[[#This Row],[Часов на заказчика  дежурство]]</f>
        <v>11</v>
      </c>
      <c r="O10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3" s="9">
        <v>170000</v>
      </c>
      <c r="R1013" s="9"/>
      <c r="S1013" s="5">
        <v>1</v>
      </c>
      <c r="T10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табеле]])*S1013,0)</f>
        <v>5666.6666666666661</v>
      </c>
      <c r="U1013" s="5">
        <f>IF(Таблица1[[#This Row],[ТТН]]&gt;0,Таблица1[[#This Row],[Ставка за ТТН]]*Таблица1[[#This Row],[ТТН]],0)</f>
        <v>0</v>
      </c>
    </row>
    <row r="1014" spans="1:21" x14ac:dyDescent="0.25">
      <c r="A1014" t="s">
        <v>84</v>
      </c>
      <c r="B1014" s="24">
        <v>30</v>
      </c>
      <c r="C1014" t="s">
        <v>130</v>
      </c>
      <c r="D1014" t="s">
        <v>12</v>
      </c>
      <c r="E1014" t="s">
        <v>215</v>
      </c>
      <c r="F1014" t="s">
        <v>68</v>
      </c>
      <c r="H1014" t="s">
        <v>10</v>
      </c>
      <c r="I1014" t="s">
        <v>219</v>
      </c>
      <c r="J1014">
        <v>11</v>
      </c>
      <c r="L1014">
        <v>11</v>
      </c>
      <c r="N1014">
        <f>Таблица1[[#This Row],[Часов на заказчика  в работе]]+Таблица1[[#This Row],[Часов на заказчика  дежурство]]</f>
        <v>11</v>
      </c>
      <c r="O10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4" s="9">
        <v>170000</v>
      </c>
      <c r="R1014" s="9"/>
      <c r="S1014" s="5">
        <v>1</v>
      </c>
      <c r="T10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табеле]])*S1014,0)</f>
        <v>5666.6666666666661</v>
      </c>
      <c r="U1014" s="5">
        <f>IF(Таблица1[[#This Row],[ТТН]]&gt;0,Таблица1[[#This Row],[Ставка за ТТН]]*Таблица1[[#This Row],[ТТН]],0)</f>
        <v>0</v>
      </c>
    </row>
    <row r="1015" spans="1:21" x14ac:dyDescent="0.25">
      <c r="A1015" t="s">
        <v>84</v>
      </c>
      <c r="B1015" s="24">
        <v>1</v>
      </c>
      <c r="C1015" t="s">
        <v>130</v>
      </c>
      <c r="D1015" t="s">
        <v>49</v>
      </c>
      <c r="E1015" t="s">
        <v>215</v>
      </c>
      <c r="F1015" t="s">
        <v>51</v>
      </c>
      <c r="H1015" t="s">
        <v>10</v>
      </c>
      <c r="I1015" t="s">
        <v>219</v>
      </c>
      <c r="J1015">
        <v>11</v>
      </c>
      <c r="L1015">
        <v>11</v>
      </c>
      <c r="N1015">
        <f>Таблица1[[#This Row],[Часов на заказчика  в работе]]+Таблица1[[#This Row],[Часов на заказчика  дежурство]]</f>
        <v>11</v>
      </c>
      <c r="O10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5" s="9">
        <v>180000</v>
      </c>
      <c r="R1015" s="9"/>
      <c r="S1015" s="5">
        <v>1</v>
      </c>
      <c r="T10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табеле]])*S1015,0)</f>
        <v>6000</v>
      </c>
      <c r="U1015" s="5">
        <f>IF(Таблица1[[#This Row],[ТТН]]&gt;0,Таблица1[[#This Row],[Ставка за ТТН]]*Таблица1[[#This Row],[ТТН]],0)</f>
        <v>0</v>
      </c>
    </row>
    <row r="1016" spans="1:21" x14ac:dyDescent="0.25">
      <c r="A1016" t="s">
        <v>84</v>
      </c>
      <c r="B1016" s="24">
        <v>2</v>
      </c>
      <c r="C1016" t="s">
        <v>130</v>
      </c>
      <c r="D1016" t="s">
        <v>49</v>
      </c>
      <c r="E1016" t="s">
        <v>215</v>
      </c>
      <c r="F1016" t="s">
        <v>51</v>
      </c>
      <c r="H1016" t="s">
        <v>10</v>
      </c>
      <c r="I1016" t="s">
        <v>219</v>
      </c>
      <c r="J1016">
        <v>11</v>
      </c>
      <c r="L1016">
        <v>11</v>
      </c>
      <c r="N1016">
        <f>Таблица1[[#This Row],[Часов на заказчика  в работе]]+Таблица1[[#This Row],[Часов на заказчика  дежурство]]</f>
        <v>11</v>
      </c>
      <c r="O10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6" s="9">
        <v>180000</v>
      </c>
      <c r="R1016" s="9"/>
      <c r="S1016" s="5">
        <v>1</v>
      </c>
      <c r="T10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табеле]])*S1016,0)</f>
        <v>6000</v>
      </c>
      <c r="U1016" s="5">
        <f>IF(Таблица1[[#This Row],[ТТН]]&gt;0,Таблица1[[#This Row],[Ставка за ТТН]]*Таблица1[[#This Row],[ТТН]],0)</f>
        <v>0</v>
      </c>
    </row>
    <row r="1017" spans="1:21" x14ac:dyDescent="0.25">
      <c r="A1017" t="s">
        <v>84</v>
      </c>
      <c r="B1017" s="24">
        <v>3</v>
      </c>
      <c r="C1017" t="s">
        <v>130</v>
      </c>
      <c r="D1017" t="s">
        <v>49</v>
      </c>
      <c r="E1017" t="s">
        <v>215</v>
      </c>
      <c r="F1017" t="s">
        <v>51</v>
      </c>
      <c r="H1017" t="s">
        <v>10</v>
      </c>
      <c r="I1017" t="s">
        <v>219</v>
      </c>
      <c r="J1017">
        <v>11</v>
      </c>
      <c r="L1017">
        <v>11</v>
      </c>
      <c r="N1017">
        <f>Таблица1[[#This Row],[Часов на заказчика  в работе]]+Таблица1[[#This Row],[Часов на заказчика  дежурство]]</f>
        <v>11</v>
      </c>
      <c r="O10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7" s="9">
        <v>180000</v>
      </c>
      <c r="R1017" s="9"/>
      <c r="S1017" s="5">
        <v>1</v>
      </c>
      <c r="T10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табеле]])*S1017,0)</f>
        <v>6000</v>
      </c>
      <c r="U1017" s="5">
        <f>IF(Таблица1[[#This Row],[ТТН]]&gt;0,Таблица1[[#This Row],[Ставка за ТТН]]*Таблица1[[#This Row],[ТТН]],0)</f>
        <v>0</v>
      </c>
    </row>
    <row r="1018" spans="1:21" x14ac:dyDescent="0.25">
      <c r="A1018" t="s">
        <v>84</v>
      </c>
      <c r="B1018" s="24">
        <v>4</v>
      </c>
      <c r="C1018" t="s">
        <v>130</v>
      </c>
      <c r="D1018" t="s">
        <v>49</v>
      </c>
      <c r="E1018" t="s">
        <v>215</v>
      </c>
      <c r="F1018" t="s">
        <v>51</v>
      </c>
      <c r="H1018" t="s">
        <v>10</v>
      </c>
      <c r="I1018" t="s">
        <v>219</v>
      </c>
      <c r="J1018">
        <v>11</v>
      </c>
      <c r="L1018">
        <v>11</v>
      </c>
      <c r="N1018">
        <f>Таблица1[[#This Row],[Часов на заказчика  в работе]]+Таблица1[[#This Row],[Часов на заказчика  дежурство]]</f>
        <v>11</v>
      </c>
      <c r="O10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8" s="9">
        <v>180000</v>
      </c>
      <c r="R1018" s="9"/>
      <c r="S1018" s="5">
        <v>1</v>
      </c>
      <c r="T10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табеле]])*S1018,0)</f>
        <v>6000</v>
      </c>
      <c r="U1018" s="5">
        <f>IF(Таблица1[[#This Row],[ТТН]]&gt;0,Таблица1[[#This Row],[Ставка за ТТН]]*Таблица1[[#This Row],[ТТН]],0)</f>
        <v>0</v>
      </c>
    </row>
    <row r="1019" spans="1:21" x14ac:dyDescent="0.25">
      <c r="A1019" t="s">
        <v>84</v>
      </c>
      <c r="B1019" s="24">
        <v>5</v>
      </c>
      <c r="C1019" t="s">
        <v>130</v>
      </c>
      <c r="D1019" t="s">
        <v>49</v>
      </c>
      <c r="E1019" t="s">
        <v>215</v>
      </c>
      <c r="F1019" t="s">
        <v>51</v>
      </c>
      <c r="H1019" t="s">
        <v>10</v>
      </c>
      <c r="I1019" t="s">
        <v>219</v>
      </c>
      <c r="J1019">
        <v>11</v>
      </c>
      <c r="L1019">
        <v>11</v>
      </c>
      <c r="N1019">
        <f>Таблица1[[#This Row],[Часов на заказчика  в работе]]+Таблица1[[#This Row],[Часов на заказчика  дежурство]]</f>
        <v>11</v>
      </c>
      <c r="O10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19" s="9">
        <v>180000</v>
      </c>
      <c r="R1019" s="9"/>
      <c r="S1019" s="5">
        <v>1</v>
      </c>
      <c r="T10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табеле]])*S1019,0)</f>
        <v>6000</v>
      </c>
      <c r="U1019" s="5">
        <f>IF(Таблица1[[#This Row],[ТТН]]&gt;0,Таблица1[[#This Row],[Ставка за ТТН]]*Таблица1[[#This Row],[ТТН]],0)</f>
        <v>0</v>
      </c>
    </row>
    <row r="1020" spans="1:21" x14ac:dyDescent="0.25">
      <c r="A1020" t="s">
        <v>84</v>
      </c>
      <c r="B1020" s="24">
        <v>6</v>
      </c>
      <c r="C1020" t="s">
        <v>130</v>
      </c>
      <c r="D1020" t="s">
        <v>49</v>
      </c>
      <c r="E1020" t="s">
        <v>215</v>
      </c>
      <c r="F1020" t="s">
        <v>51</v>
      </c>
      <c r="H1020" t="s">
        <v>10</v>
      </c>
      <c r="I1020" t="s">
        <v>219</v>
      </c>
      <c r="J1020">
        <v>11</v>
      </c>
      <c r="L1020">
        <v>11</v>
      </c>
      <c r="N1020">
        <f>Таблица1[[#This Row],[Часов на заказчика  в работе]]+Таблица1[[#This Row],[Часов на заказчика  дежурство]]</f>
        <v>11</v>
      </c>
      <c r="O10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0" s="9">
        <v>180000</v>
      </c>
      <c r="R1020" s="9"/>
      <c r="S1020" s="5">
        <v>1</v>
      </c>
      <c r="T10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табеле]])*S1020,0)</f>
        <v>6000</v>
      </c>
      <c r="U1020" s="5">
        <f>IF(Таблица1[[#This Row],[ТТН]]&gt;0,Таблица1[[#This Row],[Ставка за ТТН]]*Таблица1[[#This Row],[ТТН]],0)</f>
        <v>0</v>
      </c>
    </row>
    <row r="1021" spans="1:21" x14ac:dyDescent="0.25">
      <c r="A1021" t="s">
        <v>84</v>
      </c>
      <c r="B1021" s="24">
        <v>7</v>
      </c>
      <c r="C1021" t="s">
        <v>130</v>
      </c>
      <c r="D1021" t="s">
        <v>49</v>
      </c>
      <c r="E1021" t="s">
        <v>215</v>
      </c>
      <c r="F1021" t="s">
        <v>51</v>
      </c>
      <c r="H1021" t="s">
        <v>10</v>
      </c>
      <c r="I1021" t="s">
        <v>219</v>
      </c>
      <c r="J1021">
        <v>11</v>
      </c>
      <c r="L1021">
        <v>11</v>
      </c>
      <c r="N1021">
        <f>Таблица1[[#This Row],[Часов на заказчика  в работе]]+Таблица1[[#This Row],[Часов на заказчика  дежурство]]</f>
        <v>11</v>
      </c>
      <c r="O10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1" s="9">
        <v>180000</v>
      </c>
      <c r="R1021" s="9"/>
      <c r="S1021" s="5">
        <v>1</v>
      </c>
      <c r="T10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табеле]])*S1021,0)</f>
        <v>6000</v>
      </c>
      <c r="U1021" s="5">
        <f>IF(Таблица1[[#This Row],[ТТН]]&gt;0,Таблица1[[#This Row],[Ставка за ТТН]]*Таблица1[[#This Row],[ТТН]],0)</f>
        <v>0</v>
      </c>
    </row>
    <row r="1022" spans="1:21" x14ac:dyDescent="0.25">
      <c r="A1022" t="s">
        <v>84</v>
      </c>
      <c r="B1022" s="24">
        <v>8</v>
      </c>
      <c r="C1022" t="s">
        <v>130</v>
      </c>
      <c r="D1022" t="s">
        <v>49</v>
      </c>
      <c r="E1022" t="s">
        <v>215</v>
      </c>
      <c r="F1022" t="s">
        <v>51</v>
      </c>
      <c r="H1022" t="s">
        <v>10</v>
      </c>
      <c r="I1022" t="s">
        <v>219</v>
      </c>
      <c r="J1022">
        <v>11</v>
      </c>
      <c r="L1022">
        <v>11</v>
      </c>
      <c r="N1022">
        <f>Таблица1[[#This Row],[Часов на заказчика  в работе]]+Таблица1[[#This Row],[Часов на заказчика  дежурство]]</f>
        <v>11</v>
      </c>
      <c r="O10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2" s="9">
        <v>180000</v>
      </c>
      <c r="R1022" s="9"/>
      <c r="S1022" s="5">
        <v>1</v>
      </c>
      <c r="T10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табеле]])*S1022,0)</f>
        <v>6000</v>
      </c>
      <c r="U1022" s="5">
        <f>IF(Таблица1[[#This Row],[ТТН]]&gt;0,Таблица1[[#This Row],[Ставка за ТТН]]*Таблица1[[#This Row],[ТТН]],0)</f>
        <v>0</v>
      </c>
    </row>
    <row r="1023" spans="1:21" x14ac:dyDescent="0.25">
      <c r="A1023" t="s">
        <v>84</v>
      </c>
      <c r="B1023" s="24">
        <v>9</v>
      </c>
      <c r="C1023" t="s">
        <v>130</v>
      </c>
      <c r="D1023" t="s">
        <v>49</v>
      </c>
      <c r="E1023" t="s">
        <v>215</v>
      </c>
      <c r="F1023" t="s">
        <v>51</v>
      </c>
      <c r="H1023" t="s">
        <v>10</v>
      </c>
      <c r="I1023" t="s">
        <v>219</v>
      </c>
      <c r="J1023">
        <v>11</v>
      </c>
      <c r="L1023">
        <v>11</v>
      </c>
      <c r="N1023">
        <f>Таблица1[[#This Row],[Часов на заказчика  в работе]]+Таблица1[[#This Row],[Часов на заказчика  дежурство]]</f>
        <v>11</v>
      </c>
      <c r="O10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3" s="9">
        <v>180000</v>
      </c>
      <c r="R1023" s="9"/>
      <c r="S1023" s="5">
        <v>1</v>
      </c>
      <c r="T10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табеле]])*S1023,0)</f>
        <v>6000</v>
      </c>
      <c r="U1023" s="5">
        <f>IF(Таблица1[[#This Row],[ТТН]]&gt;0,Таблица1[[#This Row],[Ставка за ТТН]]*Таблица1[[#This Row],[ТТН]],0)</f>
        <v>0</v>
      </c>
    </row>
    <row r="1024" spans="1:21" x14ac:dyDescent="0.25">
      <c r="A1024" t="s">
        <v>84</v>
      </c>
      <c r="B1024" s="24">
        <v>10</v>
      </c>
      <c r="C1024" t="s">
        <v>130</v>
      </c>
      <c r="D1024" t="s">
        <v>49</v>
      </c>
      <c r="E1024" t="s">
        <v>215</v>
      </c>
      <c r="F1024" t="s">
        <v>51</v>
      </c>
      <c r="H1024" t="s">
        <v>10</v>
      </c>
      <c r="I1024" t="s">
        <v>219</v>
      </c>
      <c r="J1024">
        <v>11</v>
      </c>
      <c r="L1024">
        <v>11</v>
      </c>
      <c r="N1024">
        <f>Таблица1[[#This Row],[Часов на заказчика  в работе]]+Таблица1[[#This Row],[Часов на заказчика  дежурство]]</f>
        <v>11</v>
      </c>
      <c r="O10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4" s="9">
        <v>180000</v>
      </c>
      <c r="R1024" s="9"/>
      <c r="S1024" s="5">
        <v>1</v>
      </c>
      <c r="T10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табеле]])*S1024,0)</f>
        <v>6000</v>
      </c>
      <c r="U1024" s="5">
        <f>IF(Таблица1[[#This Row],[ТТН]]&gt;0,Таблица1[[#This Row],[Ставка за ТТН]]*Таблица1[[#This Row],[ТТН]],0)</f>
        <v>0</v>
      </c>
    </row>
    <row r="1025" spans="1:21" x14ac:dyDescent="0.25">
      <c r="A1025" t="s">
        <v>84</v>
      </c>
      <c r="B1025" s="24">
        <v>11</v>
      </c>
      <c r="C1025" t="s">
        <v>130</v>
      </c>
      <c r="D1025" t="s">
        <v>49</v>
      </c>
      <c r="E1025" t="s">
        <v>215</v>
      </c>
      <c r="F1025" t="s">
        <v>51</v>
      </c>
      <c r="H1025" t="s">
        <v>10</v>
      </c>
      <c r="I1025" t="s">
        <v>219</v>
      </c>
      <c r="J1025">
        <v>11</v>
      </c>
      <c r="L1025">
        <v>11</v>
      </c>
      <c r="N1025">
        <f>Таблица1[[#This Row],[Часов на заказчика  в работе]]+Таблица1[[#This Row],[Часов на заказчика  дежурство]]</f>
        <v>11</v>
      </c>
      <c r="O10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5" s="9">
        <v>180000</v>
      </c>
      <c r="R1025" s="9"/>
      <c r="S1025" s="5">
        <v>1</v>
      </c>
      <c r="T10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табеле]])*S1025,0)</f>
        <v>6000</v>
      </c>
      <c r="U1025" s="5">
        <f>IF(Таблица1[[#This Row],[ТТН]]&gt;0,Таблица1[[#This Row],[Ставка за ТТН]]*Таблица1[[#This Row],[ТТН]],0)</f>
        <v>0</v>
      </c>
    </row>
    <row r="1026" spans="1:21" x14ac:dyDescent="0.25">
      <c r="A1026" t="s">
        <v>84</v>
      </c>
      <c r="B1026" s="24">
        <v>12</v>
      </c>
      <c r="C1026" t="s">
        <v>130</v>
      </c>
      <c r="D1026" t="s">
        <v>49</v>
      </c>
      <c r="E1026" t="s">
        <v>215</v>
      </c>
      <c r="F1026" t="s">
        <v>51</v>
      </c>
      <c r="H1026" t="s">
        <v>10</v>
      </c>
      <c r="I1026" t="s">
        <v>219</v>
      </c>
      <c r="J1026">
        <v>11</v>
      </c>
      <c r="L1026">
        <v>11</v>
      </c>
      <c r="N1026">
        <f>Таблица1[[#This Row],[Часов на заказчика  в работе]]+Таблица1[[#This Row],[Часов на заказчика  дежурство]]</f>
        <v>11</v>
      </c>
      <c r="O10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6" s="9">
        <v>180000</v>
      </c>
      <c r="R1026" s="9"/>
      <c r="S1026" s="5">
        <v>1</v>
      </c>
      <c r="T10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табеле]])*S1026,0)</f>
        <v>6000</v>
      </c>
      <c r="U1026" s="5">
        <f>IF(Таблица1[[#This Row],[ТТН]]&gt;0,Таблица1[[#This Row],[Ставка за ТТН]]*Таблица1[[#This Row],[ТТН]],0)</f>
        <v>0</v>
      </c>
    </row>
    <row r="1027" spans="1:21" x14ac:dyDescent="0.25">
      <c r="A1027" t="s">
        <v>84</v>
      </c>
      <c r="B1027" s="24">
        <v>13</v>
      </c>
      <c r="C1027" t="s">
        <v>130</v>
      </c>
      <c r="D1027" t="s">
        <v>49</v>
      </c>
      <c r="E1027" t="s">
        <v>215</v>
      </c>
      <c r="F1027" t="s">
        <v>51</v>
      </c>
      <c r="H1027" t="s">
        <v>10</v>
      </c>
      <c r="I1027" t="s">
        <v>219</v>
      </c>
      <c r="J1027">
        <v>11</v>
      </c>
      <c r="L1027">
        <v>11</v>
      </c>
      <c r="N1027">
        <f>Таблица1[[#This Row],[Часов на заказчика  в работе]]+Таблица1[[#This Row],[Часов на заказчика  дежурство]]</f>
        <v>11</v>
      </c>
      <c r="O10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7" s="9">
        <v>180000</v>
      </c>
      <c r="R1027" s="9"/>
      <c r="S1027" s="5">
        <v>1</v>
      </c>
      <c r="T10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табеле]])*S1027,0)</f>
        <v>6000</v>
      </c>
      <c r="U1027" s="5">
        <f>IF(Таблица1[[#This Row],[ТТН]]&gt;0,Таблица1[[#This Row],[Ставка за ТТН]]*Таблица1[[#This Row],[ТТН]],0)</f>
        <v>0</v>
      </c>
    </row>
    <row r="1028" spans="1:21" x14ac:dyDescent="0.25">
      <c r="A1028" t="s">
        <v>84</v>
      </c>
      <c r="B1028" s="24">
        <v>14</v>
      </c>
      <c r="C1028" t="s">
        <v>130</v>
      </c>
      <c r="D1028" t="s">
        <v>49</v>
      </c>
      <c r="E1028" t="s">
        <v>215</v>
      </c>
      <c r="F1028" t="s">
        <v>51</v>
      </c>
      <c r="H1028" t="s">
        <v>10</v>
      </c>
      <c r="I1028" t="s">
        <v>219</v>
      </c>
      <c r="J1028">
        <v>11</v>
      </c>
      <c r="L1028">
        <v>11</v>
      </c>
      <c r="N1028">
        <f>Таблица1[[#This Row],[Часов на заказчика  в работе]]+Таблица1[[#This Row],[Часов на заказчика  дежурство]]</f>
        <v>11</v>
      </c>
      <c r="O10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8" s="9">
        <v>180000</v>
      </c>
      <c r="R1028" s="9"/>
      <c r="S1028" s="5">
        <v>1</v>
      </c>
      <c r="T10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табеле]])*S1028,0)</f>
        <v>6000</v>
      </c>
      <c r="U1028" s="5">
        <f>IF(Таблица1[[#This Row],[ТТН]]&gt;0,Таблица1[[#This Row],[Ставка за ТТН]]*Таблица1[[#This Row],[ТТН]],0)</f>
        <v>0</v>
      </c>
    </row>
    <row r="1029" spans="1:21" x14ac:dyDescent="0.25">
      <c r="A1029" t="s">
        <v>84</v>
      </c>
      <c r="B1029" s="24">
        <v>15</v>
      </c>
      <c r="C1029" t="s">
        <v>130</v>
      </c>
      <c r="D1029" t="s">
        <v>49</v>
      </c>
      <c r="E1029" t="s">
        <v>215</v>
      </c>
      <c r="F1029" t="s">
        <v>51</v>
      </c>
      <c r="H1029" t="s">
        <v>10</v>
      </c>
      <c r="I1029" t="s">
        <v>219</v>
      </c>
      <c r="J1029">
        <v>11</v>
      </c>
      <c r="L1029">
        <v>11</v>
      </c>
      <c r="N1029">
        <f>Таблица1[[#This Row],[Часов на заказчика  в работе]]+Таблица1[[#This Row],[Часов на заказчика  дежурство]]</f>
        <v>11</v>
      </c>
      <c r="O10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29" s="9">
        <v>180000</v>
      </c>
      <c r="R1029" s="9"/>
      <c r="S1029" s="5">
        <v>1</v>
      </c>
      <c r="T10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табеле]])*S1029,0)</f>
        <v>6000</v>
      </c>
      <c r="U1029" s="5">
        <f>IF(Таблица1[[#This Row],[ТТН]]&gt;0,Таблица1[[#This Row],[Ставка за ТТН]]*Таблица1[[#This Row],[ТТН]],0)</f>
        <v>0</v>
      </c>
    </row>
    <row r="1030" spans="1:21" x14ac:dyDescent="0.25">
      <c r="A1030" t="s">
        <v>84</v>
      </c>
      <c r="B1030" s="24">
        <v>16</v>
      </c>
      <c r="C1030" t="s">
        <v>130</v>
      </c>
      <c r="D1030" t="s">
        <v>49</v>
      </c>
      <c r="E1030" t="s">
        <v>215</v>
      </c>
      <c r="F1030" t="s">
        <v>51</v>
      </c>
      <c r="H1030" t="s">
        <v>10</v>
      </c>
      <c r="I1030" t="s">
        <v>219</v>
      </c>
      <c r="J1030">
        <v>11</v>
      </c>
      <c r="L1030">
        <v>11</v>
      </c>
      <c r="N1030">
        <f>Таблица1[[#This Row],[Часов на заказчика  в работе]]+Таблица1[[#This Row],[Часов на заказчика  дежурство]]</f>
        <v>11</v>
      </c>
      <c r="O10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0" s="9">
        <v>180000</v>
      </c>
      <c r="R1030" s="9"/>
      <c r="S1030" s="5">
        <v>1</v>
      </c>
      <c r="T10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табеле]])*S1030,0)</f>
        <v>6000</v>
      </c>
      <c r="U1030" s="5">
        <f>IF(Таблица1[[#This Row],[ТТН]]&gt;0,Таблица1[[#This Row],[Ставка за ТТН]]*Таблица1[[#This Row],[ТТН]],0)</f>
        <v>0</v>
      </c>
    </row>
    <row r="1031" spans="1:21" x14ac:dyDescent="0.25">
      <c r="A1031" t="s">
        <v>84</v>
      </c>
      <c r="B1031" s="24">
        <v>17</v>
      </c>
      <c r="C1031" t="s">
        <v>130</v>
      </c>
      <c r="D1031" t="s">
        <v>49</v>
      </c>
      <c r="E1031" t="s">
        <v>215</v>
      </c>
      <c r="F1031" t="s">
        <v>51</v>
      </c>
      <c r="H1031" t="s">
        <v>10</v>
      </c>
      <c r="I1031" t="s">
        <v>219</v>
      </c>
      <c r="J1031">
        <v>11</v>
      </c>
      <c r="L1031">
        <v>11</v>
      </c>
      <c r="N1031">
        <f>Таблица1[[#This Row],[Часов на заказчика  в работе]]+Таблица1[[#This Row],[Часов на заказчика  дежурство]]</f>
        <v>11</v>
      </c>
      <c r="O10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1" s="9">
        <v>180000</v>
      </c>
      <c r="R1031" s="9"/>
      <c r="S1031" s="5">
        <v>1</v>
      </c>
      <c r="T10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табеле]])*S1031,0)</f>
        <v>6000</v>
      </c>
      <c r="U1031" s="5">
        <f>IF(Таблица1[[#This Row],[ТТН]]&gt;0,Таблица1[[#This Row],[Ставка за ТТН]]*Таблица1[[#This Row],[ТТН]],0)</f>
        <v>0</v>
      </c>
    </row>
    <row r="1032" spans="1:21" x14ac:dyDescent="0.25">
      <c r="A1032" t="s">
        <v>84</v>
      </c>
      <c r="B1032" s="24">
        <v>18</v>
      </c>
      <c r="C1032" t="s">
        <v>130</v>
      </c>
      <c r="D1032" t="s">
        <v>49</v>
      </c>
      <c r="E1032" t="s">
        <v>215</v>
      </c>
      <c r="F1032" t="s">
        <v>51</v>
      </c>
      <c r="H1032" t="s">
        <v>10</v>
      </c>
      <c r="I1032" t="s">
        <v>219</v>
      </c>
      <c r="J1032">
        <v>11</v>
      </c>
      <c r="L1032">
        <v>11</v>
      </c>
      <c r="N1032">
        <f>Таблица1[[#This Row],[Часов на заказчика  в работе]]+Таблица1[[#This Row],[Часов на заказчика  дежурство]]</f>
        <v>11</v>
      </c>
      <c r="O10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2" s="9">
        <v>180000</v>
      </c>
      <c r="R1032" s="9"/>
      <c r="S1032" s="5">
        <v>1</v>
      </c>
      <c r="T10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табеле]])*S1032,0)</f>
        <v>6000</v>
      </c>
      <c r="U1032" s="5">
        <f>IF(Таблица1[[#This Row],[ТТН]]&gt;0,Таблица1[[#This Row],[Ставка за ТТН]]*Таблица1[[#This Row],[ТТН]],0)</f>
        <v>0</v>
      </c>
    </row>
    <row r="1033" spans="1:21" x14ac:dyDescent="0.25">
      <c r="A1033" t="s">
        <v>84</v>
      </c>
      <c r="B1033" s="24">
        <v>19</v>
      </c>
      <c r="C1033" t="s">
        <v>130</v>
      </c>
      <c r="D1033" t="s">
        <v>49</v>
      </c>
      <c r="E1033" t="s">
        <v>215</v>
      </c>
      <c r="F1033" t="s">
        <v>51</v>
      </c>
      <c r="H1033" t="s">
        <v>10</v>
      </c>
      <c r="I1033" t="s">
        <v>219</v>
      </c>
      <c r="J1033">
        <v>11</v>
      </c>
      <c r="L1033">
        <v>11</v>
      </c>
      <c r="N1033">
        <f>Таблица1[[#This Row],[Часов на заказчика  в работе]]+Таблица1[[#This Row],[Часов на заказчика  дежурство]]</f>
        <v>11</v>
      </c>
      <c r="O10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3" s="9">
        <v>180000</v>
      </c>
      <c r="R1033" s="9"/>
      <c r="S1033" s="5">
        <v>1</v>
      </c>
      <c r="T10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табеле]])*S1033,0)</f>
        <v>6000</v>
      </c>
      <c r="U1033" s="5">
        <f>IF(Таблица1[[#This Row],[ТТН]]&gt;0,Таблица1[[#This Row],[Ставка за ТТН]]*Таблица1[[#This Row],[ТТН]],0)</f>
        <v>0</v>
      </c>
    </row>
    <row r="1034" spans="1:21" x14ac:dyDescent="0.25">
      <c r="A1034" t="s">
        <v>84</v>
      </c>
      <c r="B1034" s="24">
        <v>20</v>
      </c>
      <c r="C1034" t="s">
        <v>130</v>
      </c>
      <c r="D1034" t="s">
        <v>49</v>
      </c>
      <c r="E1034" t="s">
        <v>215</v>
      </c>
      <c r="F1034" t="s">
        <v>51</v>
      </c>
      <c r="H1034" t="s">
        <v>10</v>
      </c>
      <c r="I1034" t="s">
        <v>219</v>
      </c>
      <c r="J1034">
        <v>11</v>
      </c>
      <c r="L1034">
        <v>11</v>
      </c>
      <c r="N1034">
        <f>Таблица1[[#This Row],[Часов на заказчика  в работе]]+Таблица1[[#This Row],[Часов на заказчика  дежурство]]</f>
        <v>11</v>
      </c>
      <c r="O10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4" s="9">
        <v>180000</v>
      </c>
      <c r="R1034" s="9"/>
      <c r="S1034" s="5">
        <v>1</v>
      </c>
      <c r="T10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табеле]])*S1034,0)</f>
        <v>6000</v>
      </c>
      <c r="U1034" s="5">
        <f>IF(Таблица1[[#This Row],[ТТН]]&gt;0,Таблица1[[#This Row],[Ставка за ТТН]]*Таблица1[[#This Row],[ТТН]],0)</f>
        <v>0</v>
      </c>
    </row>
    <row r="1035" spans="1:21" x14ac:dyDescent="0.25">
      <c r="A1035" t="s">
        <v>84</v>
      </c>
      <c r="B1035" s="24">
        <v>21</v>
      </c>
      <c r="C1035" t="s">
        <v>130</v>
      </c>
      <c r="D1035" t="s">
        <v>49</v>
      </c>
      <c r="E1035" t="s">
        <v>215</v>
      </c>
      <c r="F1035" t="s">
        <v>51</v>
      </c>
      <c r="H1035" t="s">
        <v>10</v>
      </c>
      <c r="I1035" t="s">
        <v>219</v>
      </c>
      <c r="J1035">
        <v>11</v>
      </c>
      <c r="L1035">
        <v>11</v>
      </c>
      <c r="N1035">
        <f>Таблица1[[#This Row],[Часов на заказчика  в работе]]+Таблица1[[#This Row],[Часов на заказчика  дежурство]]</f>
        <v>11</v>
      </c>
      <c r="O10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5" s="9">
        <v>180000</v>
      </c>
      <c r="R1035" s="9"/>
      <c r="S1035" s="5">
        <v>1</v>
      </c>
      <c r="T10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табеле]])*S1035,0)</f>
        <v>6000</v>
      </c>
      <c r="U1035" s="5">
        <f>IF(Таблица1[[#This Row],[ТТН]]&gt;0,Таблица1[[#This Row],[Ставка за ТТН]]*Таблица1[[#This Row],[ТТН]],0)</f>
        <v>0</v>
      </c>
    </row>
    <row r="1036" spans="1:21" x14ac:dyDescent="0.25">
      <c r="A1036" t="s">
        <v>84</v>
      </c>
      <c r="B1036" s="24">
        <v>22</v>
      </c>
      <c r="C1036" t="s">
        <v>130</v>
      </c>
      <c r="D1036" t="s">
        <v>49</v>
      </c>
      <c r="E1036" t="s">
        <v>215</v>
      </c>
      <c r="F1036" t="s">
        <v>51</v>
      </c>
      <c r="H1036" t="s">
        <v>10</v>
      </c>
      <c r="I1036" t="s">
        <v>219</v>
      </c>
      <c r="J1036">
        <v>11</v>
      </c>
      <c r="L1036">
        <v>11</v>
      </c>
      <c r="N1036">
        <f>Таблица1[[#This Row],[Часов на заказчика  в работе]]+Таблица1[[#This Row],[Часов на заказчика  дежурство]]</f>
        <v>11</v>
      </c>
      <c r="O10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6" s="9">
        <v>180000</v>
      </c>
      <c r="R1036" s="9"/>
      <c r="S1036" s="5">
        <v>1</v>
      </c>
      <c r="T10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табеле]])*S1036,0)</f>
        <v>6000</v>
      </c>
      <c r="U1036" s="5">
        <f>IF(Таблица1[[#This Row],[ТТН]]&gt;0,Таблица1[[#This Row],[Ставка за ТТН]]*Таблица1[[#This Row],[ТТН]],0)</f>
        <v>0</v>
      </c>
    </row>
    <row r="1037" spans="1:21" x14ac:dyDescent="0.25">
      <c r="A1037" t="s">
        <v>84</v>
      </c>
      <c r="B1037" s="24">
        <v>23</v>
      </c>
      <c r="C1037" t="s">
        <v>130</v>
      </c>
      <c r="D1037" t="s">
        <v>49</v>
      </c>
      <c r="E1037" t="s">
        <v>215</v>
      </c>
      <c r="F1037" t="s">
        <v>51</v>
      </c>
      <c r="H1037" t="s">
        <v>10</v>
      </c>
      <c r="I1037" t="s">
        <v>219</v>
      </c>
      <c r="J1037">
        <v>11</v>
      </c>
      <c r="L1037">
        <v>11</v>
      </c>
      <c r="N1037">
        <f>Таблица1[[#This Row],[Часов на заказчика  в работе]]+Таблица1[[#This Row],[Часов на заказчика  дежурство]]</f>
        <v>11</v>
      </c>
      <c r="O10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7" s="9">
        <v>180000</v>
      </c>
      <c r="R1037" s="9"/>
      <c r="S1037" s="5">
        <v>1</v>
      </c>
      <c r="T10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табеле]])*S1037,0)</f>
        <v>6000</v>
      </c>
      <c r="U1037" s="5">
        <f>IF(Таблица1[[#This Row],[ТТН]]&gt;0,Таблица1[[#This Row],[Ставка за ТТН]]*Таблица1[[#This Row],[ТТН]],0)</f>
        <v>0</v>
      </c>
    </row>
    <row r="1038" spans="1:21" x14ac:dyDescent="0.25">
      <c r="A1038" t="s">
        <v>84</v>
      </c>
      <c r="B1038" s="24">
        <v>24</v>
      </c>
      <c r="C1038" t="s">
        <v>130</v>
      </c>
      <c r="D1038" t="s">
        <v>49</v>
      </c>
      <c r="E1038" t="s">
        <v>215</v>
      </c>
      <c r="F1038" t="s">
        <v>51</v>
      </c>
      <c r="H1038" t="s">
        <v>10</v>
      </c>
      <c r="I1038" t="s">
        <v>219</v>
      </c>
      <c r="J1038">
        <v>11</v>
      </c>
      <c r="L1038">
        <v>11</v>
      </c>
      <c r="N1038">
        <f>Таблица1[[#This Row],[Часов на заказчика  в работе]]+Таблица1[[#This Row],[Часов на заказчика  дежурство]]</f>
        <v>11</v>
      </c>
      <c r="O10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8" s="9">
        <v>180000</v>
      </c>
      <c r="R1038" s="9"/>
      <c r="S1038" s="5">
        <v>1</v>
      </c>
      <c r="T10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табеле]])*S1038,0)</f>
        <v>6000</v>
      </c>
      <c r="U1038" s="5">
        <f>IF(Таблица1[[#This Row],[ТТН]]&gt;0,Таблица1[[#This Row],[Ставка за ТТН]]*Таблица1[[#This Row],[ТТН]],0)</f>
        <v>0</v>
      </c>
    </row>
    <row r="1039" spans="1:21" x14ac:dyDescent="0.25">
      <c r="A1039" t="s">
        <v>84</v>
      </c>
      <c r="B1039" s="24">
        <v>25</v>
      </c>
      <c r="C1039" t="s">
        <v>130</v>
      </c>
      <c r="D1039" t="s">
        <v>49</v>
      </c>
      <c r="E1039" t="s">
        <v>215</v>
      </c>
      <c r="F1039" t="s">
        <v>51</v>
      </c>
      <c r="H1039" t="s">
        <v>10</v>
      </c>
      <c r="I1039" t="s">
        <v>219</v>
      </c>
      <c r="J1039">
        <v>11</v>
      </c>
      <c r="L1039">
        <v>11</v>
      </c>
      <c r="N1039">
        <f>Таблица1[[#This Row],[Часов на заказчика  в работе]]+Таблица1[[#This Row],[Часов на заказчика  дежурство]]</f>
        <v>11</v>
      </c>
      <c r="O10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39" s="9">
        <v>180000</v>
      </c>
      <c r="R1039" s="9"/>
      <c r="S1039" s="5">
        <v>1</v>
      </c>
      <c r="T10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табеле]])*S1039,0)</f>
        <v>6000</v>
      </c>
      <c r="U1039" s="5">
        <f>IF(Таблица1[[#This Row],[ТТН]]&gt;0,Таблица1[[#This Row],[Ставка за ТТН]]*Таблица1[[#This Row],[ТТН]],0)</f>
        <v>0</v>
      </c>
    </row>
    <row r="1040" spans="1:21" x14ac:dyDescent="0.25">
      <c r="A1040" t="s">
        <v>84</v>
      </c>
      <c r="B1040" s="24">
        <v>26</v>
      </c>
      <c r="C1040" t="s">
        <v>130</v>
      </c>
      <c r="D1040" t="s">
        <v>49</v>
      </c>
      <c r="E1040" t="s">
        <v>215</v>
      </c>
      <c r="F1040" t="s">
        <v>51</v>
      </c>
      <c r="H1040" t="s">
        <v>10</v>
      </c>
      <c r="I1040" t="s">
        <v>219</v>
      </c>
      <c r="J1040">
        <v>11</v>
      </c>
      <c r="L1040">
        <v>11</v>
      </c>
      <c r="N1040">
        <f>Таблица1[[#This Row],[Часов на заказчика  в работе]]+Таблица1[[#This Row],[Часов на заказчика  дежурство]]</f>
        <v>11</v>
      </c>
      <c r="O10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0" s="9">
        <v>180000</v>
      </c>
      <c r="R1040" s="9"/>
      <c r="S1040" s="5">
        <v>1</v>
      </c>
      <c r="T10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табеле]])*S1040,0)</f>
        <v>6000</v>
      </c>
      <c r="U1040" s="5">
        <f>IF(Таблица1[[#This Row],[ТТН]]&gt;0,Таблица1[[#This Row],[Ставка за ТТН]]*Таблица1[[#This Row],[ТТН]],0)</f>
        <v>0</v>
      </c>
    </row>
    <row r="1041" spans="1:21" x14ac:dyDescent="0.25">
      <c r="A1041" t="s">
        <v>84</v>
      </c>
      <c r="B1041" s="24">
        <v>27</v>
      </c>
      <c r="C1041" t="s">
        <v>130</v>
      </c>
      <c r="D1041" t="s">
        <v>49</v>
      </c>
      <c r="E1041" t="s">
        <v>215</v>
      </c>
      <c r="F1041" t="s">
        <v>51</v>
      </c>
      <c r="H1041" t="s">
        <v>10</v>
      </c>
      <c r="I1041" t="s">
        <v>219</v>
      </c>
      <c r="J1041">
        <v>11</v>
      </c>
      <c r="L1041">
        <v>11</v>
      </c>
      <c r="N1041">
        <f>Таблица1[[#This Row],[Часов на заказчика  в работе]]+Таблица1[[#This Row],[Часов на заказчика  дежурство]]</f>
        <v>11</v>
      </c>
      <c r="O10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1" s="9">
        <v>180000</v>
      </c>
      <c r="R1041" s="9"/>
      <c r="S1041" s="5">
        <v>1</v>
      </c>
      <c r="T10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табеле]])*S1041,0)</f>
        <v>6000</v>
      </c>
      <c r="U1041" s="5">
        <f>IF(Таблица1[[#This Row],[ТТН]]&gt;0,Таблица1[[#This Row],[Ставка за ТТН]]*Таблица1[[#This Row],[ТТН]],0)</f>
        <v>0</v>
      </c>
    </row>
    <row r="1042" spans="1:21" x14ac:dyDescent="0.25">
      <c r="A1042" t="s">
        <v>84</v>
      </c>
      <c r="B1042" s="24">
        <v>28</v>
      </c>
      <c r="C1042" t="s">
        <v>130</v>
      </c>
      <c r="D1042" t="s">
        <v>49</v>
      </c>
      <c r="E1042" t="s">
        <v>215</v>
      </c>
      <c r="F1042" t="s">
        <v>51</v>
      </c>
      <c r="H1042" t="s">
        <v>10</v>
      </c>
      <c r="I1042" t="s">
        <v>219</v>
      </c>
      <c r="J1042">
        <v>11</v>
      </c>
      <c r="L1042">
        <v>11</v>
      </c>
      <c r="N1042">
        <f>Таблица1[[#This Row],[Часов на заказчика  в работе]]+Таблица1[[#This Row],[Часов на заказчика  дежурство]]</f>
        <v>11</v>
      </c>
      <c r="O10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2" s="9">
        <v>180000</v>
      </c>
      <c r="R1042" s="9"/>
      <c r="S1042" s="5">
        <v>1</v>
      </c>
      <c r="T10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табеле]])*S1042,0)</f>
        <v>6000</v>
      </c>
      <c r="U1042" s="5">
        <f>IF(Таблица1[[#This Row],[ТТН]]&gt;0,Таблица1[[#This Row],[Ставка за ТТН]]*Таблица1[[#This Row],[ТТН]],0)</f>
        <v>0</v>
      </c>
    </row>
    <row r="1043" spans="1:21" x14ac:dyDescent="0.25">
      <c r="A1043" t="s">
        <v>84</v>
      </c>
      <c r="B1043" s="24">
        <v>29</v>
      </c>
      <c r="C1043" t="s">
        <v>130</v>
      </c>
      <c r="D1043" t="s">
        <v>49</v>
      </c>
      <c r="E1043" t="s">
        <v>215</v>
      </c>
      <c r="F1043" t="s">
        <v>51</v>
      </c>
      <c r="H1043" t="s">
        <v>10</v>
      </c>
      <c r="I1043" t="s">
        <v>219</v>
      </c>
      <c r="J1043">
        <v>11</v>
      </c>
      <c r="L1043">
        <v>11</v>
      </c>
      <c r="N1043">
        <f>Таблица1[[#This Row],[Часов на заказчика  в работе]]+Таблица1[[#This Row],[Часов на заказчика  дежурство]]</f>
        <v>11</v>
      </c>
      <c r="O10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3" s="9">
        <v>180000</v>
      </c>
      <c r="R1043" s="9"/>
      <c r="S1043" s="5">
        <v>1</v>
      </c>
      <c r="T10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табеле]])*S1043,0)</f>
        <v>6000</v>
      </c>
      <c r="U1043" s="5">
        <f>IF(Таблица1[[#This Row],[ТТН]]&gt;0,Таблица1[[#This Row],[Ставка за ТТН]]*Таблица1[[#This Row],[ТТН]],0)</f>
        <v>0</v>
      </c>
    </row>
    <row r="1044" spans="1:21" x14ac:dyDescent="0.25">
      <c r="A1044" t="s">
        <v>84</v>
      </c>
      <c r="B1044" s="24">
        <v>30</v>
      </c>
      <c r="C1044" t="s">
        <v>131</v>
      </c>
      <c r="D1044" t="s">
        <v>49</v>
      </c>
      <c r="E1044" t="s">
        <v>215</v>
      </c>
      <c r="F1044" t="s">
        <v>51</v>
      </c>
      <c r="H1044" t="s">
        <v>10</v>
      </c>
      <c r="I1044" t="s">
        <v>219</v>
      </c>
      <c r="J1044">
        <v>11</v>
      </c>
      <c r="L1044">
        <v>11</v>
      </c>
      <c r="N1044">
        <f>Таблица1[[#This Row],[Часов на заказчика  в работе]]+Таблица1[[#This Row],[Часов на заказчика  дежурство]]</f>
        <v>11</v>
      </c>
      <c r="O10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4" s="9">
        <v>180000</v>
      </c>
      <c r="R1044" s="9"/>
      <c r="S1044" s="5">
        <v>1</v>
      </c>
      <c r="T10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табеле]])*S1044,0)</f>
        <v>6000</v>
      </c>
      <c r="U1044" s="5">
        <f>IF(Таблица1[[#This Row],[ТТН]]&gt;0,Таблица1[[#This Row],[Ставка за ТТН]]*Таблица1[[#This Row],[ТТН]],0)</f>
        <v>0</v>
      </c>
    </row>
    <row r="1045" spans="1:21" x14ac:dyDescent="0.25">
      <c r="A1045" t="s">
        <v>84</v>
      </c>
      <c r="B1045" s="24">
        <v>1</v>
      </c>
      <c r="C1045" t="s">
        <v>131</v>
      </c>
      <c r="D1045" t="s">
        <v>64</v>
      </c>
      <c r="E1045" t="s">
        <v>215</v>
      </c>
      <c r="F1045" t="s">
        <v>65</v>
      </c>
      <c r="H1045" t="s">
        <v>10</v>
      </c>
      <c r="I1045" t="s">
        <v>219</v>
      </c>
      <c r="J1045">
        <v>11</v>
      </c>
      <c r="N1045">
        <f>Таблица1[[#This Row],[Часов на заказчика  в работе]]+Таблица1[[#This Row],[Часов на заказчика  дежурство]]</f>
        <v>0</v>
      </c>
      <c r="O10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5" s="9">
        <v>190000</v>
      </c>
      <c r="R1045" s="9"/>
      <c r="S1045" s="5">
        <v>1</v>
      </c>
      <c r="T10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табеле]])*S1045,0)</f>
        <v>6333.333333333333</v>
      </c>
      <c r="U1045" s="5">
        <f>IF(Таблица1[[#This Row],[ТТН]]&gt;0,Таблица1[[#This Row],[Ставка за ТТН]]*Таблица1[[#This Row],[ТТН]],0)</f>
        <v>0</v>
      </c>
    </row>
    <row r="1046" spans="1:21" x14ac:dyDescent="0.25">
      <c r="A1046" t="s">
        <v>84</v>
      </c>
      <c r="B1046" s="24">
        <v>2</v>
      </c>
      <c r="C1046" t="s">
        <v>131</v>
      </c>
      <c r="D1046" t="s">
        <v>64</v>
      </c>
      <c r="E1046" t="s">
        <v>215</v>
      </c>
      <c r="F1046" t="s">
        <v>65</v>
      </c>
      <c r="H1046" t="s">
        <v>10</v>
      </c>
      <c r="I1046" t="s">
        <v>219</v>
      </c>
      <c r="J1046">
        <v>11</v>
      </c>
      <c r="N1046">
        <f>Таблица1[[#This Row],[Часов на заказчика  в работе]]+Таблица1[[#This Row],[Часов на заказчика  дежурство]]</f>
        <v>0</v>
      </c>
      <c r="O10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6" s="9">
        <v>190000</v>
      </c>
      <c r="R1046" s="9"/>
      <c r="S1046" s="5">
        <v>1</v>
      </c>
      <c r="T10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табеле]])*S1046,0)</f>
        <v>6333.333333333333</v>
      </c>
      <c r="U1046" s="5">
        <f>IF(Таблица1[[#This Row],[ТТН]]&gt;0,Таблица1[[#This Row],[Ставка за ТТН]]*Таблица1[[#This Row],[ТТН]],0)</f>
        <v>0</v>
      </c>
    </row>
    <row r="1047" spans="1:21" x14ac:dyDescent="0.25">
      <c r="A1047" t="s">
        <v>84</v>
      </c>
      <c r="B1047" s="24">
        <v>3</v>
      </c>
      <c r="C1047" t="s">
        <v>131</v>
      </c>
      <c r="D1047" t="s">
        <v>64</v>
      </c>
      <c r="E1047" t="s">
        <v>215</v>
      </c>
      <c r="F1047" t="s">
        <v>65</v>
      </c>
      <c r="H1047" t="s">
        <v>38</v>
      </c>
      <c r="I1047" t="s">
        <v>217</v>
      </c>
      <c r="J1047">
        <v>11</v>
      </c>
      <c r="N1047">
        <f>Таблица1[[#This Row],[Часов на заказчика  в работе]]+Таблица1[[#This Row],[Часов на заказчика  дежурство]]</f>
        <v>0</v>
      </c>
      <c r="O10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7" s="9">
        <v>190000</v>
      </c>
      <c r="R1047" s="9"/>
      <c r="S1047" s="5">
        <v>1</v>
      </c>
      <c r="T10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табеле]])*S1047,0)</f>
        <v>6333.333333333333</v>
      </c>
      <c r="U1047" s="5">
        <f>IF(Таблица1[[#This Row],[ТТН]]&gt;0,Таблица1[[#This Row],[Ставка за ТТН]]*Таблица1[[#This Row],[ТТН]],0)</f>
        <v>0</v>
      </c>
    </row>
    <row r="1048" spans="1:21" x14ac:dyDescent="0.25">
      <c r="A1048" t="s">
        <v>84</v>
      </c>
      <c r="B1048" s="24">
        <v>4</v>
      </c>
      <c r="C1048" t="s">
        <v>131</v>
      </c>
      <c r="D1048" t="s">
        <v>64</v>
      </c>
      <c r="E1048" t="s">
        <v>215</v>
      </c>
      <c r="F1048" t="s">
        <v>65</v>
      </c>
      <c r="H1048" t="s">
        <v>24</v>
      </c>
      <c r="I1048" t="s">
        <v>217</v>
      </c>
      <c r="J1048">
        <v>8</v>
      </c>
      <c r="N1048">
        <f>Таблица1[[#This Row],[Часов на заказчика  в работе]]+Таблица1[[#This Row],[Часов на заказчика  дежурство]]</f>
        <v>0</v>
      </c>
      <c r="O10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8" s="9">
        <v>190000</v>
      </c>
      <c r="R1048" s="9"/>
      <c r="S1048" s="5">
        <v>1</v>
      </c>
      <c r="T10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табеле]])*S1048,0)</f>
        <v>0</v>
      </c>
      <c r="U1048" s="5">
        <f>IF(Таблица1[[#This Row],[ТТН]]&gt;0,Таблица1[[#This Row],[Ставка за ТТН]]*Таблица1[[#This Row],[ТТН]],0)</f>
        <v>0</v>
      </c>
    </row>
    <row r="1049" spans="1:21" x14ac:dyDescent="0.25">
      <c r="A1049" t="s">
        <v>84</v>
      </c>
      <c r="B1049" s="24">
        <v>5</v>
      </c>
      <c r="C1049" t="s">
        <v>131</v>
      </c>
      <c r="D1049" t="s">
        <v>64</v>
      </c>
      <c r="E1049" t="s">
        <v>215</v>
      </c>
      <c r="F1049" t="s">
        <v>65</v>
      </c>
      <c r="H1049" t="s">
        <v>24</v>
      </c>
      <c r="I1049" t="s">
        <v>217</v>
      </c>
      <c r="J1049">
        <v>8</v>
      </c>
      <c r="N1049">
        <f>Таблица1[[#This Row],[Часов на заказчика  в работе]]+Таблица1[[#This Row],[Часов на заказчика  дежурство]]</f>
        <v>0</v>
      </c>
      <c r="O10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49" s="9">
        <v>190000</v>
      </c>
      <c r="R1049" s="9"/>
      <c r="S1049" s="5">
        <v>1</v>
      </c>
      <c r="T10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табеле]])*S1049,0)</f>
        <v>0</v>
      </c>
      <c r="U1049" s="5">
        <f>IF(Таблица1[[#This Row],[ТТН]]&gt;0,Таблица1[[#This Row],[Ставка за ТТН]]*Таблица1[[#This Row],[ТТН]],0)</f>
        <v>0</v>
      </c>
    </row>
    <row r="1050" spans="1:21" x14ac:dyDescent="0.25">
      <c r="A1050" t="s">
        <v>84</v>
      </c>
      <c r="B1050" s="24">
        <v>6</v>
      </c>
      <c r="C1050" t="s">
        <v>131</v>
      </c>
      <c r="D1050" t="s">
        <v>64</v>
      </c>
      <c r="E1050" t="s">
        <v>215</v>
      </c>
      <c r="F1050" t="s">
        <v>65</v>
      </c>
      <c r="H1050" t="s">
        <v>30</v>
      </c>
      <c r="I1050" t="s">
        <v>217</v>
      </c>
      <c r="J1050">
        <v>1</v>
      </c>
      <c r="N1050">
        <f>Таблица1[[#This Row],[Часов на заказчика  в работе]]+Таблица1[[#This Row],[Часов на заказчика  дежурство]]</f>
        <v>0</v>
      </c>
      <c r="O10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0" s="9">
        <v>190000</v>
      </c>
      <c r="R1050" s="9"/>
      <c r="S1050" s="5">
        <v>1</v>
      </c>
      <c r="T10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табеле]])*S1050,0)</f>
        <v>0</v>
      </c>
      <c r="U1050" s="5">
        <f>IF(Таблица1[[#This Row],[ТТН]]&gt;0,Таблица1[[#This Row],[Ставка за ТТН]]*Таблица1[[#This Row],[ТТН]],0)</f>
        <v>0</v>
      </c>
    </row>
    <row r="1051" spans="1:21" x14ac:dyDescent="0.25">
      <c r="A1051" t="s">
        <v>84</v>
      </c>
      <c r="B1051" s="24">
        <v>7</v>
      </c>
      <c r="C1051" t="s">
        <v>131</v>
      </c>
      <c r="D1051" t="s">
        <v>64</v>
      </c>
      <c r="E1051" t="s">
        <v>215</v>
      </c>
      <c r="F1051" t="s">
        <v>65</v>
      </c>
      <c r="H1051" t="s">
        <v>30</v>
      </c>
      <c r="I1051" t="s">
        <v>217</v>
      </c>
      <c r="J1051">
        <v>1</v>
      </c>
      <c r="N1051">
        <f>Таблица1[[#This Row],[Часов на заказчика  в работе]]+Таблица1[[#This Row],[Часов на заказчика  дежурство]]</f>
        <v>0</v>
      </c>
      <c r="O10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1" s="9">
        <v>190000</v>
      </c>
      <c r="R1051" s="9"/>
      <c r="S1051" s="5">
        <v>1</v>
      </c>
      <c r="T10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табеле]])*S1051,0)</f>
        <v>0</v>
      </c>
      <c r="U1051" s="5">
        <f>IF(Таблица1[[#This Row],[ТТН]]&gt;0,Таблица1[[#This Row],[Ставка за ТТН]]*Таблица1[[#This Row],[ТТН]],0)</f>
        <v>0</v>
      </c>
    </row>
    <row r="1052" spans="1:21" x14ac:dyDescent="0.25">
      <c r="A1052" t="s">
        <v>84</v>
      </c>
      <c r="B1052" s="24">
        <v>8</v>
      </c>
      <c r="C1052" t="s">
        <v>131</v>
      </c>
      <c r="D1052" t="s">
        <v>64</v>
      </c>
      <c r="E1052" t="s">
        <v>215</v>
      </c>
      <c r="F1052" t="s">
        <v>65</v>
      </c>
      <c r="H1052" t="s">
        <v>29</v>
      </c>
      <c r="I1052" t="s">
        <v>217</v>
      </c>
      <c r="J1052">
        <v>8</v>
      </c>
      <c r="N1052">
        <f>Таблица1[[#This Row],[Часов на заказчика  в работе]]+Таблица1[[#This Row],[Часов на заказчика  дежурство]]</f>
        <v>0</v>
      </c>
      <c r="O10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2" s="9">
        <v>190000</v>
      </c>
      <c r="R1052" s="9"/>
      <c r="S1052" s="5">
        <v>1</v>
      </c>
      <c r="T10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табеле]])*S1052,0)</f>
        <v>0</v>
      </c>
      <c r="U1052" s="5">
        <f>IF(Таблица1[[#This Row],[ТТН]]&gt;0,Таблица1[[#This Row],[Ставка за ТТН]]*Таблица1[[#This Row],[ТТН]],0)</f>
        <v>0</v>
      </c>
    </row>
    <row r="1053" spans="1:21" x14ac:dyDescent="0.25">
      <c r="A1053" t="s">
        <v>84</v>
      </c>
      <c r="B1053" s="24">
        <v>9</v>
      </c>
      <c r="C1053" t="s">
        <v>131</v>
      </c>
      <c r="D1053" t="s">
        <v>64</v>
      </c>
      <c r="E1053" t="s">
        <v>215</v>
      </c>
      <c r="F1053" t="s">
        <v>65</v>
      </c>
      <c r="H1053" t="s">
        <v>29</v>
      </c>
      <c r="I1053" t="s">
        <v>217</v>
      </c>
      <c r="J1053">
        <v>8</v>
      </c>
      <c r="N1053">
        <f>Таблица1[[#This Row],[Часов на заказчика  в работе]]+Таблица1[[#This Row],[Часов на заказчика  дежурство]]</f>
        <v>0</v>
      </c>
      <c r="O10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3" s="9">
        <v>190000</v>
      </c>
      <c r="R1053" s="9"/>
      <c r="S1053" s="5">
        <v>1</v>
      </c>
      <c r="T10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табеле]])*S1053,0)</f>
        <v>0</v>
      </c>
      <c r="U1053" s="5">
        <f>IF(Таблица1[[#This Row],[ТТН]]&gt;0,Таблица1[[#This Row],[Ставка за ТТН]]*Таблица1[[#This Row],[ТТН]],0)</f>
        <v>0</v>
      </c>
    </row>
    <row r="1054" spans="1:21" x14ac:dyDescent="0.25">
      <c r="A1054" t="s">
        <v>84</v>
      </c>
      <c r="B1054" s="24">
        <v>10</v>
      </c>
      <c r="C1054" t="s">
        <v>131</v>
      </c>
      <c r="D1054" t="s">
        <v>64</v>
      </c>
      <c r="E1054" t="s">
        <v>215</v>
      </c>
      <c r="F1054" t="s">
        <v>65</v>
      </c>
      <c r="H1054" t="s">
        <v>29</v>
      </c>
      <c r="I1054" t="s">
        <v>217</v>
      </c>
      <c r="J1054">
        <v>8</v>
      </c>
      <c r="N1054">
        <f>Таблица1[[#This Row],[Часов на заказчика  в работе]]+Таблица1[[#This Row],[Часов на заказчика  дежурство]]</f>
        <v>0</v>
      </c>
      <c r="O10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4" s="9">
        <v>190000</v>
      </c>
      <c r="R1054" s="9"/>
      <c r="S1054" s="5">
        <v>1</v>
      </c>
      <c r="T10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табеле]])*S1054,0)</f>
        <v>0</v>
      </c>
      <c r="U1054" s="5">
        <f>IF(Таблица1[[#This Row],[ТТН]]&gt;0,Таблица1[[#This Row],[Ставка за ТТН]]*Таблица1[[#This Row],[ТТН]],0)</f>
        <v>0</v>
      </c>
    </row>
    <row r="1055" spans="1:21" x14ac:dyDescent="0.25">
      <c r="A1055" t="s">
        <v>84</v>
      </c>
      <c r="B1055" s="24">
        <v>11</v>
      </c>
      <c r="C1055" t="s">
        <v>131</v>
      </c>
      <c r="D1055" t="s">
        <v>64</v>
      </c>
      <c r="E1055" t="s">
        <v>215</v>
      </c>
      <c r="F1055" t="s">
        <v>65</v>
      </c>
      <c r="H1055" t="s">
        <v>29</v>
      </c>
      <c r="I1055" t="s">
        <v>217</v>
      </c>
      <c r="J1055">
        <v>8</v>
      </c>
      <c r="N1055">
        <f>Таблица1[[#This Row],[Часов на заказчика  в работе]]+Таблица1[[#This Row],[Часов на заказчика  дежурство]]</f>
        <v>0</v>
      </c>
      <c r="O10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5" s="9">
        <v>190000</v>
      </c>
      <c r="R1055" s="9"/>
      <c r="S1055" s="5">
        <v>1</v>
      </c>
      <c r="T10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табеле]])*S1055,0)</f>
        <v>0</v>
      </c>
      <c r="U1055" s="5">
        <f>IF(Таблица1[[#This Row],[ТТН]]&gt;0,Таблица1[[#This Row],[Ставка за ТТН]]*Таблица1[[#This Row],[ТТН]],0)</f>
        <v>0</v>
      </c>
    </row>
    <row r="1056" spans="1:21" x14ac:dyDescent="0.25">
      <c r="A1056" t="s">
        <v>84</v>
      </c>
      <c r="B1056" s="24">
        <v>12</v>
      </c>
      <c r="C1056" t="s">
        <v>131</v>
      </c>
      <c r="D1056" t="s">
        <v>64</v>
      </c>
      <c r="E1056" t="s">
        <v>215</v>
      </c>
      <c r="F1056" t="s">
        <v>65</v>
      </c>
      <c r="H1056" t="s">
        <v>29</v>
      </c>
      <c r="I1056" t="s">
        <v>217</v>
      </c>
      <c r="J1056">
        <v>8</v>
      </c>
      <c r="N1056">
        <f>Таблица1[[#This Row],[Часов на заказчика  в работе]]+Таблица1[[#This Row],[Часов на заказчика  дежурство]]</f>
        <v>0</v>
      </c>
      <c r="O10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6" s="9">
        <v>190000</v>
      </c>
      <c r="R1056" s="9"/>
      <c r="S1056" s="5">
        <v>1</v>
      </c>
      <c r="T10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табеле]])*S1056,0)</f>
        <v>0</v>
      </c>
      <c r="U1056" s="5">
        <f>IF(Таблица1[[#This Row],[ТТН]]&gt;0,Таблица1[[#This Row],[Ставка за ТТН]]*Таблица1[[#This Row],[ТТН]],0)</f>
        <v>0</v>
      </c>
    </row>
    <row r="1057" spans="1:21" x14ac:dyDescent="0.25">
      <c r="A1057" t="s">
        <v>84</v>
      </c>
      <c r="B1057" s="24">
        <v>13</v>
      </c>
      <c r="C1057" t="s">
        <v>131</v>
      </c>
      <c r="D1057" t="s">
        <v>64</v>
      </c>
      <c r="E1057" t="s">
        <v>215</v>
      </c>
      <c r="F1057" t="s">
        <v>65</v>
      </c>
      <c r="H1057" t="s">
        <v>30</v>
      </c>
      <c r="I1057" t="s">
        <v>217</v>
      </c>
      <c r="J1057">
        <v>1</v>
      </c>
      <c r="N1057">
        <f>Таблица1[[#This Row],[Часов на заказчика  в работе]]+Таблица1[[#This Row],[Часов на заказчика  дежурство]]</f>
        <v>0</v>
      </c>
      <c r="O10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7" s="9">
        <v>190000</v>
      </c>
      <c r="R1057" s="9"/>
      <c r="S1057" s="5">
        <v>1</v>
      </c>
      <c r="T10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табеле]])*S1057,0)</f>
        <v>0</v>
      </c>
      <c r="U1057" s="5">
        <f>IF(Таблица1[[#This Row],[ТТН]]&gt;0,Таблица1[[#This Row],[Ставка за ТТН]]*Таблица1[[#This Row],[ТТН]],0)</f>
        <v>0</v>
      </c>
    </row>
    <row r="1058" spans="1:21" x14ac:dyDescent="0.25">
      <c r="A1058" t="s">
        <v>84</v>
      </c>
      <c r="B1058" s="24">
        <v>14</v>
      </c>
      <c r="C1058" t="s">
        <v>131</v>
      </c>
      <c r="D1058" t="s">
        <v>64</v>
      </c>
      <c r="E1058" t="s">
        <v>215</v>
      </c>
      <c r="F1058" t="s">
        <v>65</v>
      </c>
      <c r="H1058" t="s">
        <v>30</v>
      </c>
      <c r="I1058" t="s">
        <v>217</v>
      </c>
      <c r="J1058">
        <v>1</v>
      </c>
      <c r="N1058">
        <f>Таблица1[[#This Row],[Часов на заказчика  в работе]]+Таблица1[[#This Row],[Часов на заказчика  дежурство]]</f>
        <v>0</v>
      </c>
      <c r="O10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8" s="9">
        <v>190000</v>
      </c>
      <c r="R1058" s="9"/>
      <c r="S1058" s="5">
        <v>1</v>
      </c>
      <c r="T10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табеле]])*S1058,0)</f>
        <v>0</v>
      </c>
      <c r="U1058" s="5">
        <f>IF(Таблица1[[#This Row],[ТТН]]&gt;0,Таблица1[[#This Row],[Ставка за ТТН]]*Таблица1[[#This Row],[ТТН]],0)</f>
        <v>0</v>
      </c>
    </row>
    <row r="1059" spans="1:21" x14ac:dyDescent="0.25">
      <c r="A1059" t="s">
        <v>84</v>
      </c>
      <c r="B1059" s="24">
        <v>15</v>
      </c>
      <c r="C1059" t="s">
        <v>131</v>
      </c>
      <c r="D1059" t="s">
        <v>64</v>
      </c>
      <c r="E1059" t="s">
        <v>215</v>
      </c>
      <c r="F1059" t="s">
        <v>65</v>
      </c>
      <c r="H1059" t="s">
        <v>29</v>
      </c>
      <c r="I1059" t="s">
        <v>217</v>
      </c>
      <c r="J1059">
        <v>8</v>
      </c>
      <c r="N1059">
        <f>Таблица1[[#This Row],[Часов на заказчика  в работе]]+Таблица1[[#This Row],[Часов на заказчика  дежурство]]</f>
        <v>0</v>
      </c>
      <c r="O10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59" s="9">
        <v>190000</v>
      </c>
      <c r="R1059" s="9"/>
      <c r="S1059" s="5">
        <v>1</v>
      </c>
      <c r="T10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табеле]])*S1059,0)</f>
        <v>0</v>
      </c>
      <c r="U1059" s="5">
        <f>IF(Таблица1[[#This Row],[ТТН]]&gt;0,Таблица1[[#This Row],[Ставка за ТТН]]*Таблица1[[#This Row],[ТТН]],0)</f>
        <v>0</v>
      </c>
    </row>
    <row r="1060" spans="1:21" x14ac:dyDescent="0.25">
      <c r="A1060" t="s">
        <v>84</v>
      </c>
      <c r="B1060" s="24">
        <v>16</v>
      </c>
      <c r="C1060" t="s">
        <v>131</v>
      </c>
      <c r="D1060" t="s">
        <v>64</v>
      </c>
      <c r="E1060" t="s">
        <v>215</v>
      </c>
      <c r="F1060" t="s">
        <v>65</v>
      </c>
      <c r="H1060" t="s">
        <v>29</v>
      </c>
      <c r="I1060" t="s">
        <v>217</v>
      </c>
      <c r="J1060">
        <v>8</v>
      </c>
      <c r="N1060">
        <f>Таблица1[[#This Row],[Часов на заказчика  в работе]]+Таблица1[[#This Row],[Часов на заказчика  дежурство]]</f>
        <v>0</v>
      </c>
      <c r="O10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0" s="9">
        <v>190000</v>
      </c>
      <c r="R1060" s="9"/>
      <c r="S1060" s="5">
        <v>1</v>
      </c>
      <c r="T10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табеле]])*S1060,0)</f>
        <v>0</v>
      </c>
      <c r="U1060" s="5">
        <f>IF(Таблица1[[#This Row],[ТТН]]&gt;0,Таблица1[[#This Row],[Ставка за ТТН]]*Таблица1[[#This Row],[ТТН]],0)</f>
        <v>0</v>
      </c>
    </row>
    <row r="1061" spans="1:21" x14ac:dyDescent="0.25">
      <c r="A1061" t="s">
        <v>84</v>
      </c>
      <c r="B1061" s="24">
        <v>17</v>
      </c>
      <c r="C1061" t="s">
        <v>131</v>
      </c>
      <c r="D1061" t="s">
        <v>64</v>
      </c>
      <c r="E1061" t="s">
        <v>215</v>
      </c>
      <c r="F1061" t="s">
        <v>65</v>
      </c>
      <c r="H1061" t="s">
        <v>29</v>
      </c>
      <c r="I1061" t="s">
        <v>217</v>
      </c>
      <c r="J1061">
        <v>8</v>
      </c>
      <c r="N1061">
        <f>Таблица1[[#This Row],[Часов на заказчика  в работе]]+Таблица1[[#This Row],[Часов на заказчика  дежурство]]</f>
        <v>0</v>
      </c>
      <c r="O10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1" s="9">
        <v>190000</v>
      </c>
      <c r="R1061" s="9"/>
      <c r="S1061" s="5">
        <v>1</v>
      </c>
      <c r="T10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табеле]])*S1061,0)</f>
        <v>0</v>
      </c>
      <c r="U1061" s="5">
        <f>IF(Таблица1[[#This Row],[ТТН]]&gt;0,Таблица1[[#This Row],[Ставка за ТТН]]*Таблица1[[#This Row],[ТТН]],0)</f>
        <v>0</v>
      </c>
    </row>
    <row r="1062" spans="1:21" x14ac:dyDescent="0.25">
      <c r="A1062" t="s">
        <v>84</v>
      </c>
      <c r="B1062" s="24">
        <v>18</v>
      </c>
      <c r="C1062" t="s">
        <v>131</v>
      </c>
      <c r="D1062" t="s">
        <v>64</v>
      </c>
      <c r="E1062" t="s">
        <v>215</v>
      </c>
      <c r="F1062" t="s">
        <v>65</v>
      </c>
      <c r="H1062" t="s">
        <v>29</v>
      </c>
      <c r="I1062" t="s">
        <v>217</v>
      </c>
      <c r="J1062">
        <v>8</v>
      </c>
      <c r="N1062">
        <f>Таблица1[[#This Row],[Часов на заказчика  в работе]]+Таблица1[[#This Row],[Часов на заказчика  дежурство]]</f>
        <v>0</v>
      </c>
      <c r="O10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2" s="9">
        <v>190000</v>
      </c>
      <c r="R1062" s="9"/>
      <c r="S1062" s="5">
        <v>1</v>
      </c>
      <c r="T10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табеле]])*S1062,0)</f>
        <v>0</v>
      </c>
      <c r="U1062" s="5">
        <f>IF(Таблица1[[#This Row],[ТТН]]&gt;0,Таблица1[[#This Row],[Ставка за ТТН]]*Таблица1[[#This Row],[ТТН]],0)</f>
        <v>0</v>
      </c>
    </row>
    <row r="1063" spans="1:21" x14ac:dyDescent="0.25">
      <c r="A1063" t="s">
        <v>84</v>
      </c>
      <c r="B1063" s="24">
        <v>19</v>
      </c>
      <c r="C1063" t="s">
        <v>131</v>
      </c>
      <c r="D1063" t="s">
        <v>64</v>
      </c>
      <c r="E1063" t="s">
        <v>215</v>
      </c>
      <c r="F1063" t="s">
        <v>65</v>
      </c>
      <c r="H1063" t="s">
        <v>29</v>
      </c>
      <c r="I1063" t="s">
        <v>217</v>
      </c>
      <c r="J1063">
        <v>8</v>
      </c>
      <c r="N1063">
        <f>Таблица1[[#This Row],[Часов на заказчика  в работе]]+Таблица1[[#This Row],[Часов на заказчика  дежурство]]</f>
        <v>0</v>
      </c>
      <c r="O10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3" s="9">
        <v>190000</v>
      </c>
      <c r="R1063" s="9"/>
      <c r="S1063" s="5">
        <v>1</v>
      </c>
      <c r="T10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табеле]])*S1063,0)</f>
        <v>0</v>
      </c>
      <c r="U1063" s="5">
        <f>IF(Таблица1[[#This Row],[ТТН]]&gt;0,Таблица1[[#This Row],[Ставка за ТТН]]*Таблица1[[#This Row],[ТТН]],0)</f>
        <v>0</v>
      </c>
    </row>
    <row r="1064" spans="1:21" x14ac:dyDescent="0.25">
      <c r="A1064" t="s">
        <v>84</v>
      </c>
      <c r="B1064" s="24">
        <v>20</v>
      </c>
      <c r="C1064" t="s">
        <v>131</v>
      </c>
      <c r="D1064" t="s">
        <v>64</v>
      </c>
      <c r="E1064" t="s">
        <v>215</v>
      </c>
      <c r="F1064" t="s">
        <v>65</v>
      </c>
      <c r="H1064" t="s">
        <v>30</v>
      </c>
      <c r="I1064" t="s">
        <v>217</v>
      </c>
      <c r="J1064">
        <v>1</v>
      </c>
      <c r="N1064">
        <f>Таблица1[[#This Row],[Часов на заказчика  в работе]]+Таблица1[[#This Row],[Часов на заказчика  дежурство]]</f>
        <v>0</v>
      </c>
      <c r="O10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4" s="9">
        <v>190000</v>
      </c>
      <c r="R1064" s="9"/>
      <c r="S1064" s="5">
        <v>1</v>
      </c>
      <c r="T10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табеле]])*S1064,0)</f>
        <v>0</v>
      </c>
      <c r="U1064" s="5">
        <f>IF(Таблица1[[#This Row],[ТТН]]&gt;0,Таблица1[[#This Row],[Ставка за ТТН]]*Таблица1[[#This Row],[ТТН]],0)</f>
        <v>0</v>
      </c>
    </row>
    <row r="1065" spans="1:21" x14ac:dyDescent="0.25">
      <c r="A1065" t="s">
        <v>84</v>
      </c>
      <c r="B1065" s="24">
        <v>21</v>
      </c>
      <c r="C1065" t="s">
        <v>131</v>
      </c>
      <c r="D1065" t="s">
        <v>64</v>
      </c>
      <c r="E1065" t="s">
        <v>215</v>
      </c>
      <c r="F1065" t="s">
        <v>65</v>
      </c>
      <c r="H1065" t="s">
        <v>30</v>
      </c>
      <c r="I1065" t="s">
        <v>217</v>
      </c>
      <c r="J1065">
        <v>1</v>
      </c>
      <c r="N1065">
        <f>Таблица1[[#This Row],[Часов на заказчика  в работе]]+Таблица1[[#This Row],[Часов на заказчика  дежурство]]</f>
        <v>0</v>
      </c>
      <c r="O10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5" s="9">
        <v>190000</v>
      </c>
      <c r="R1065" s="9"/>
      <c r="S1065" s="5">
        <v>1</v>
      </c>
      <c r="T10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табеле]])*S1065,0)</f>
        <v>0</v>
      </c>
      <c r="U1065" s="5">
        <f>IF(Таблица1[[#This Row],[ТТН]]&gt;0,Таблица1[[#This Row],[Ставка за ТТН]]*Таблица1[[#This Row],[ТТН]],0)</f>
        <v>0</v>
      </c>
    </row>
    <row r="1066" spans="1:21" x14ac:dyDescent="0.25">
      <c r="A1066" t="s">
        <v>84</v>
      </c>
      <c r="B1066" s="24">
        <v>22</v>
      </c>
      <c r="C1066" t="s">
        <v>131</v>
      </c>
      <c r="D1066" t="s">
        <v>64</v>
      </c>
      <c r="E1066" t="s">
        <v>215</v>
      </c>
      <c r="F1066" t="s">
        <v>65</v>
      </c>
      <c r="H1066" t="s">
        <v>29</v>
      </c>
      <c r="I1066" t="s">
        <v>217</v>
      </c>
      <c r="J1066">
        <v>8</v>
      </c>
      <c r="N1066">
        <f>Таблица1[[#This Row],[Часов на заказчика  в работе]]+Таблица1[[#This Row],[Часов на заказчика  дежурство]]</f>
        <v>0</v>
      </c>
      <c r="O10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6" s="9">
        <v>190000</v>
      </c>
      <c r="R1066" s="9"/>
      <c r="S1066" s="5">
        <v>1</v>
      </c>
      <c r="T10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табеле]])*S1066,0)</f>
        <v>0</v>
      </c>
      <c r="U1066" s="5">
        <f>IF(Таблица1[[#This Row],[ТТН]]&gt;0,Таблица1[[#This Row],[Ставка за ТТН]]*Таблица1[[#This Row],[ТТН]],0)</f>
        <v>0</v>
      </c>
    </row>
    <row r="1067" spans="1:21" x14ac:dyDescent="0.25">
      <c r="A1067" t="s">
        <v>84</v>
      </c>
      <c r="B1067" s="24">
        <v>23</v>
      </c>
      <c r="C1067" t="s">
        <v>131</v>
      </c>
      <c r="D1067" t="s">
        <v>64</v>
      </c>
      <c r="E1067" t="s">
        <v>215</v>
      </c>
      <c r="F1067" t="s">
        <v>65</v>
      </c>
      <c r="H1067" t="s">
        <v>29</v>
      </c>
      <c r="I1067" t="s">
        <v>217</v>
      </c>
      <c r="J1067">
        <v>8</v>
      </c>
      <c r="N1067">
        <f>Таблица1[[#This Row],[Часов на заказчика  в работе]]+Таблица1[[#This Row],[Часов на заказчика  дежурство]]</f>
        <v>0</v>
      </c>
      <c r="O10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7" s="9">
        <v>190000</v>
      </c>
      <c r="R1067" s="9"/>
      <c r="S1067" s="5">
        <v>1</v>
      </c>
      <c r="T10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табеле]])*S1067,0)</f>
        <v>0</v>
      </c>
      <c r="U1067" s="5">
        <f>IF(Таблица1[[#This Row],[ТТН]]&gt;0,Таблица1[[#This Row],[Ставка за ТТН]]*Таблица1[[#This Row],[ТТН]],0)</f>
        <v>0</v>
      </c>
    </row>
    <row r="1068" spans="1:21" x14ac:dyDescent="0.25">
      <c r="A1068" t="s">
        <v>84</v>
      </c>
      <c r="B1068" s="24">
        <v>24</v>
      </c>
      <c r="C1068" t="s">
        <v>131</v>
      </c>
      <c r="D1068" t="s">
        <v>64</v>
      </c>
      <c r="E1068" t="s">
        <v>215</v>
      </c>
      <c r="F1068" t="s">
        <v>65</v>
      </c>
      <c r="H1068" t="s">
        <v>29</v>
      </c>
      <c r="I1068" t="s">
        <v>217</v>
      </c>
      <c r="J1068">
        <v>8</v>
      </c>
      <c r="N1068">
        <f>Таблица1[[#This Row],[Часов на заказчика  в работе]]+Таблица1[[#This Row],[Часов на заказчика  дежурство]]</f>
        <v>0</v>
      </c>
      <c r="O10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8" s="9">
        <v>190000</v>
      </c>
      <c r="R1068" s="9"/>
      <c r="S1068" s="5">
        <v>1</v>
      </c>
      <c r="T10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табеле]])*S1068,0)</f>
        <v>0</v>
      </c>
      <c r="U1068" s="5">
        <f>IF(Таблица1[[#This Row],[ТТН]]&gt;0,Таблица1[[#This Row],[Ставка за ТТН]]*Таблица1[[#This Row],[ТТН]],0)</f>
        <v>0</v>
      </c>
    </row>
    <row r="1069" spans="1:21" x14ac:dyDescent="0.25">
      <c r="A1069" t="s">
        <v>84</v>
      </c>
      <c r="B1069" s="24">
        <v>25</v>
      </c>
      <c r="C1069" t="s">
        <v>131</v>
      </c>
      <c r="D1069" t="s">
        <v>64</v>
      </c>
      <c r="E1069" t="s">
        <v>215</v>
      </c>
      <c r="F1069" t="s">
        <v>65</v>
      </c>
      <c r="H1069" t="s">
        <v>29</v>
      </c>
      <c r="I1069" t="s">
        <v>217</v>
      </c>
      <c r="J1069">
        <v>8</v>
      </c>
      <c r="N1069">
        <f>Таблица1[[#This Row],[Часов на заказчика  в работе]]+Таблица1[[#This Row],[Часов на заказчика  дежурство]]</f>
        <v>0</v>
      </c>
      <c r="O10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69" s="9">
        <v>190000</v>
      </c>
      <c r="R1069" s="9"/>
      <c r="S1069" s="5">
        <v>1</v>
      </c>
      <c r="T10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табеле]])*S1069,0)</f>
        <v>0</v>
      </c>
      <c r="U1069" s="5">
        <f>IF(Таблица1[[#This Row],[ТТН]]&gt;0,Таблица1[[#This Row],[Ставка за ТТН]]*Таблица1[[#This Row],[ТТН]],0)</f>
        <v>0</v>
      </c>
    </row>
    <row r="1070" spans="1:21" x14ac:dyDescent="0.25">
      <c r="A1070" t="s">
        <v>84</v>
      </c>
      <c r="B1070" s="24">
        <v>26</v>
      </c>
      <c r="C1070" t="s">
        <v>131</v>
      </c>
      <c r="D1070" t="s">
        <v>64</v>
      </c>
      <c r="E1070" t="s">
        <v>215</v>
      </c>
      <c r="F1070" t="s">
        <v>65</v>
      </c>
      <c r="H1070" t="s">
        <v>29</v>
      </c>
      <c r="I1070" t="s">
        <v>217</v>
      </c>
      <c r="J1070">
        <v>8</v>
      </c>
      <c r="N1070">
        <f>Таблица1[[#This Row],[Часов на заказчика  в работе]]+Таблица1[[#This Row],[Часов на заказчика  дежурство]]</f>
        <v>0</v>
      </c>
      <c r="O10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0" s="9">
        <v>190000</v>
      </c>
      <c r="R1070" s="9"/>
      <c r="S1070" s="5">
        <v>1</v>
      </c>
      <c r="T10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табеле]])*S1070,0)</f>
        <v>0</v>
      </c>
      <c r="U1070" s="5">
        <f>IF(Таблица1[[#This Row],[ТТН]]&gt;0,Таблица1[[#This Row],[Ставка за ТТН]]*Таблица1[[#This Row],[ТТН]],0)</f>
        <v>0</v>
      </c>
    </row>
    <row r="1071" spans="1:21" x14ac:dyDescent="0.25">
      <c r="A1071" t="s">
        <v>84</v>
      </c>
      <c r="B1071" s="24">
        <v>27</v>
      </c>
      <c r="C1071" t="s">
        <v>131</v>
      </c>
      <c r="D1071" t="s">
        <v>64</v>
      </c>
      <c r="E1071" t="s">
        <v>215</v>
      </c>
      <c r="F1071" t="s">
        <v>65</v>
      </c>
      <c r="H1071" t="s">
        <v>30</v>
      </c>
      <c r="I1071" t="s">
        <v>217</v>
      </c>
      <c r="J1071">
        <v>1</v>
      </c>
      <c r="N1071">
        <f>Таблица1[[#This Row],[Часов на заказчика  в работе]]+Таблица1[[#This Row],[Часов на заказчика  дежурство]]</f>
        <v>0</v>
      </c>
      <c r="O10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1" s="9">
        <v>190000</v>
      </c>
      <c r="R1071" s="9"/>
      <c r="S1071" s="5">
        <v>1</v>
      </c>
      <c r="T10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табеле]])*S1071,0)</f>
        <v>0</v>
      </c>
      <c r="U1071" s="5">
        <f>IF(Таблица1[[#This Row],[ТТН]]&gt;0,Таблица1[[#This Row],[Ставка за ТТН]]*Таблица1[[#This Row],[ТТН]],0)</f>
        <v>0</v>
      </c>
    </row>
    <row r="1072" spans="1:21" x14ac:dyDescent="0.25">
      <c r="A1072" t="s">
        <v>84</v>
      </c>
      <c r="B1072" s="24">
        <v>28</v>
      </c>
      <c r="C1072" t="s">
        <v>131</v>
      </c>
      <c r="D1072" t="s">
        <v>64</v>
      </c>
      <c r="E1072" t="s">
        <v>215</v>
      </c>
      <c r="F1072" t="s">
        <v>65</v>
      </c>
      <c r="H1072" t="s">
        <v>30</v>
      </c>
      <c r="I1072" t="s">
        <v>217</v>
      </c>
      <c r="J1072">
        <v>1</v>
      </c>
      <c r="N1072">
        <f>Таблица1[[#This Row],[Часов на заказчика  в работе]]+Таблица1[[#This Row],[Часов на заказчика  дежурство]]</f>
        <v>0</v>
      </c>
      <c r="O10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2" s="9">
        <v>190000</v>
      </c>
      <c r="R1072" s="9"/>
      <c r="S1072" s="5">
        <v>1</v>
      </c>
      <c r="T10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табеле]])*S1072,0)</f>
        <v>0</v>
      </c>
      <c r="U1072" s="5">
        <f>IF(Таблица1[[#This Row],[ТТН]]&gt;0,Таблица1[[#This Row],[Ставка за ТТН]]*Таблица1[[#This Row],[ТТН]],0)</f>
        <v>0</v>
      </c>
    </row>
    <row r="1073" spans="1:21" x14ac:dyDescent="0.25">
      <c r="A1073" t="s">
        <v>84</v>
      </c>
      <c r="B1073" s="24">
        <v>29</v>
      </c>
      <c r="C1073" t="s">
        <v>131</v>
      </c>
      <c r="D1073" t="s">
        <v>64</v>
      </c>
      <c r="E1073" t="s">
        <v>215</v>
      </c>
      <c r="F1073" t="s">
        <v>65</v>
      </c>
      <c r="H1073" t="s">
        <v>29</v>
      </c>
      <c r="I1073" t="s">
        <v>217</v>
      </c>
      <c r="J1073">
        <v>8</v>
      </c>
      <c r="N1073">
        <f>Таблица1[[#This Row],[Часов на заказчика  в работе]]+Таблица1[[#This Row],[Часов на заказчика  дежурство]]</f>
        <v>0</v>
      </c>
      <c r="O10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3" s="9">
        <v>190000</v>
      </c>
      <c r="R1073" s="9"/>
      <c r="S1073" s="5">
        <v>1</v>
      </c>
      <c r="T10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табеле]])*S1073,0)</f>
        <v>0</v>
      </c>
      <c r="U1073" s="5">
        <f>IF(Таблица1[[#This Row],[ТТН]]&gt;0,Таблица1[[#This Row],[Ставка за ТТН]]*Таблица1[[#This Row],[ТТН]],0)</f>
        <v>0</v>
      </c>
    </row>
    <row r="1074" spans="1:21" x14ac:dyDescent="0.25">
      <c r="A1074" t="s">
        <v>84</v>
      </c>
      <c r="B1074" s="24">
        <v>30</v>
      </c>
      <c r="C1074" t="s">
        <v>132</v>
      </c>
      <c r="D1074" t="s">
        <v>64</v>
      </c>
      <c r="E1074" t="s">
        <v>215</v>
      </c>
      <c r="F1074" t="s">
        <v>65</v>
      </c>
      <c r="H1074" t="s">
        <v>29</v>
      </c>
      <c r="I1074" t="s">
        <v>217</v>
      </c>
      <c r="J1074">
        <v>8</v>
      </c>
      <c r="N1074">
        <f>Таблица1[[#This Row],[Часов на заказчика  в работе]]+Таблица1[[#This Row],[Часов на заказчика  дежурство]]</f>
        <v>0</v>
      </c>
      <c r="O10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4" s="9">
        <v>190000</v>
      </c>
      <c r="R1074" s="9"/>
      <c r="S1074" s="5">
        <v>1</v>
      </c>
      <c r="T10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табеле]])*S1074,0)</f>
        <v>0</v>
      </c>
      <c r="U1074" s="5">
        <f>IF(Таблица1[[#This Row],[ТТН]]&gt;0,Таблица1[[#This Row],[Ставка за ТТН]]*Таблица1[[#This Row],[ТТН]],0)</f>
        <v>0</v>
      </c>
    </row>
    <row r="1075" spans="1:21" x14ac:dyDescent="0.25">
      <c r="A1075" t="s">
        <v>84</v>
      </c>
      <c r="B1075" s="24">
        <v>1</v>
      </c>
      <c r="C1075" t="s">
        <v>132</v>
      </c>
      <c r="D1075" t="s">
        <v>39</v>
      </c>
      <c r="E1075" t="s">
        <v>215</v>
      </c>
      <c r="F1075" t="s">
        <v>40</v>
      </c>
      <c r="H1075" t="s">
        <v>10</v>
      </c>
      <c r="I1075" t="s">
        <v>219</v>
      </c>
      <c r="J1075">
        <v>22</v>
      </c>
      <c r="L1075">
        <v>22</v>
      </c>
      <c r="N1075">
        <f>Таблица1[[#This Row],[Часов на заказчика  в работе]]+Таблица1[[#This Row],[Часов на заказчика  дежурство]]</f>
        <v>22</v>
      </c>
      <c r="O10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5" s="9">
        <v>170000</v>
      </c>
      <c r="R1075" s="9"/>
      <c r="S1075" s="5">
        <v>1</v>
      </c>
      <c r="T10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табеле]])*S1075,0)</f>
        <v>11333.333333333332</v>
      </c>
      <c r="U1075" s="5">
        <f>IF(Таблица1[[#This Row],[ТТН]]&gt;0,Таблица1[[#This Row],[Ставка за ТТН]]*Таблица1[[#This Row],[ТТН]],0)</f>
        <v>0</v>
      </c>
    </row>
    <row r="1076" spans="1:21" x14ac:dyDescent="0.25">
      <c r="A1076" t="s">
        <v>84</v>
      </c>
      <c r="B1076" s="24">
        <v>2</v>
      </c>
      <c r="C1076" t="s">
        <v>132</v>
      </c>
      <c r="D1076" t="s">
        <v>39</v>
      </c>
      <c r="E1076" t="s">
        <v>215</v>
      </c>
      <c r="F1076" t="s">
        <v>40</v>
      </c>
      <c r="H1076" t="s">
        <v>10</v>
      </c>
      <c r="I1076" t="s">
        <v>219</v>
      </c>
      <c r="J1076">
        <v>22</v>
      </c>
      <c r="L1076">
        <v>22</v>
      </c>
      <c r="N1076">
        <f>Таблица1[[#This Row],[Часов на заказчика  в работе]]+Таблица1[[#This Row],[Часов на заказчика  дежурство]]</f>
        <v>22</v>
      </c>
      <c r="O10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6" s="9">
        <v>170000</v>
      </c>
      <c r="R1076" s="9"/>
      <c r="S1076" s="5">
        <v>1</v>
      </c>
      <c r="T10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табеле]])*S1076,0)</f>
        <v>11333.333333333332</v>
      </c>
      <c r="U1076" s="5">
        <f>IF(Таблица1[[#This Row],[ТТН]]&gt;0,Таблица1[[#This Row],[Ставка за ТТН]]*Таблица1[[#This Row],[ТТН]],0)</f>
        <v>0</v>
      </c>
    </row>
    <row r="1077" spans="1:21" x14ac:dyDescent="0.25">
      <c r="A1077" t="s">
        <v>84</v>
      </c>
      <c r="B1077" s="24">
        <v>3</v>
      </c>
      <c r="C1077" t="s">
        <v>132</v>
      </c>
      <c r="D1077" t="s">
        <v>39</v>
      </c>
      <c r="E1077" t="s">
        <v>215</v>
      </c>
      <c r="F1077" t="s">
        <v>40</v>
      </c>
      <c r="H1077" t="s">
        <v>10</v>
      </c>
      <c r="I1077" t="s">
        <v>219</v>
      </c>
      <c r="J1077">
        <v>22</v>
      </c>
      <c r="L1077">
        <v>22</v>
      </c>
      <c r="N1077">
        <f>Таблица1[[#This Row],[Часов на заказчика  в работе]]+Таблица1[[#This Row],[Часов на заказчика  дежурство]]</f>
        <v>22</v>
      </c>
      <c r="O10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7" s="9">
        <v>170000</v>
      </c>
      <c r="R1077" s="9"/>
      <c r="S1077" s="5">
        <v>1</v>
      </c>
      <c r="T10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табеле]])*S1077,0)</f>
        <v>11333.333333333332</v>
      </c>
      <c r="U1077" s="5">
        <f>IF(Таблица1[[#This Row],[ТТН]]&gt;0,Таблица1[[#This Row],[Ставка за ТТН]]*Таблица1[[#This Row],[ТТН]],0)</f>
        <v>0</v>
      </c>
    </row>
    <row r="1078" spans="1:21" x14ac:dyDescent="0.25">
      <c r="A1078" t="s">
        <v>84</v>
      </c>
      <c r="B1078" s="24">
        <v>4</v>
      </c>
      <c r="C1078" t="s">
        <v>132</v>
      </c>
      <c r="D1078" t="s">
        <v>39</v>
      </c>
      <c r="E1078" t="s">
        <v>215</v>
      </c>
      <c r="F1078" t="s">
        <v>40</v>
      </c>
      <c r="H1078" t="s">
        <v>10</v>
      </c>
      <c r="I1078" t="s">
        <v>219</v>
      </c>
      <c r="J1078">
        <v>22</v>
      </c>
      <c r="L1078">
        <v>22</v>
      </c>
      <c r="N1078">
        <f>Таблица1[[#This Row],[Часов на заказчика  в работе]]+Таблица1[[#This Row],[Часов на заказчика  дежурство]]</f>
        <v>22</v>
      </c>
      <c r="O10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8" s="9">
        <v>170000</v>
      </c>
      <c r="R1078" s="9"/>
      <c r="S1078" s="5">
        <v>1</v>
      </c>
      <c r="T10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табеле]])*S1078,0)</f>
        <v>11333.333333333332</v>
      </c>
      <c r="U1078" s="5">
        <f>IF(Таблица1[[#This Row],[ТТН]]&gt;0,Таблица1[[#This Row],[Ставка за ТТН]]*Таблица1[[#This Row],[ТТН]],0)</f>
        <v>0</v>
      </c>
    </row>
    <row r="1079" spans="1:21" x14ac:dyDescent="0.25">
      <c r="A1079" t="s">
        <v>84</v>
      </c>
      <c r="B1079" s="24">
        <v>5</v>
      </c>
      <c r="C1079" t="s">
        <v>132</v>
      </c>
      <c r="D1079" t="s">
        <v>39</v>
      </c>
      <c r="E1079" t="s">
        <v>215</v>
      </c>
      <c r="F1079" t="s">
        <v>40</v>
      </c>
      <c r="H1079" t="s">
        <v>10</v>
      </c>
      <c r="I1079" t="s">
        <v>219</v>
      </c>
      <c r="J1079">
        <v>22</v>
      </c>
      <c r="L1079">
        <v>22</v>
      </c>
      <c r="N1079">
        <f>Таблица1[[#This Row],[Часов на заказчика  в работе]]+Таблица1[[#This Row],[Часов на заказчика  дежурство]]</f>
        <v>22</v>
      </c>
      <c r="O10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79" s="9">
        <v>170000</v>
      </c>
      <c r="R1079" s="9"/>
      <c r="S1079" s="5">
        <v>1</v>
      </c>
      <c r="T10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табеле]])*S1079,0)</f>
        <v>11333.333333333332</v>
      </c>
      <c r="U1079" s="5">
        <f>IF(Таблица1[[#This Row],[ТТН]]&gt;0,Таблица1[[#This Row],[Ставка за ТТН]]*Таблица1[[#This Row],[ТТН]],0)</f>
        <v>0</v>
      </c>
    </row>
    <row r="1080" spans="1:21" x14ac:dyDescent="0.25">
      <c r="A1080" t="s">
        <v>84</v>
      </c>
      <c r="B1080" s="24">
        <v>6</v>
      </c>
      <c r="C1080" t="s">
        <v>132</v>
      </c>
      <c r="D1080" t="s">
        <v>39</v>
      </c>
      <c r="E1080" t="s">
        <v>215</v>
      </c>
      <c r="F1080" t="s">
        <v>40</v>
      </c>
      <c r="H1080" t="s">
        <v>10</v>
      </c>
      <c r="I1080" t="s">
        <v>219</v>
      </c>
      <c r="J1080">
        <v>22</v>
      </c>
      <c r="L1080">
        <v>22</v>
      </c>
      <c r="N1080">
        <f>Таблица1[[#This Row],[Часов на заказчика  в работе]]+Таблица1[[#This Row],[Часов на заказчика  дежурство]]</f>
        <v>22</v>
      </c>
      <c r="O10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0" s="9">
        <v>170000</v>
      </c>
      <c r="R1080" s="9"/>
      <c r="S1080" s="5">
        <v>1</v>
      </c>
      <c r="T10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табеле]])*S1080,0)</f>
        <v>11333.333333333332</v>
      </c>
      <c r="U1080" s="5">
        <f>IF(Таблица1[[#This Row],[ТТН]]&gt;0,Таблица1[[#This Row],[Ставка за ТТН]]*Таблица1[[#This Row],[ТТН]],0)</f>
        <v>0</v>
      </c>
    </row>
    <row r="1081" spans="1:21" x14ac:dyDescent="0.25">
      <c r="A1081" t="s">
        <v>84</v>
      </c>
      <c r="B1081" s="24">
        <v>7</v>
      </c>
      <c r="C1081" t="s">
        <v>132</v>
      </c>
      <c r="D1081" t="s">
        <v>39</v>
      </c>
      <c r="E1081" t="s">
        <v>215</v>
      </c>
      <c r="F1081" t="s">
        <v>40</v>
      </c>
      <c r="H1081" t="s">
        <v>10</v>
      </c>
      <c r="I1081" t="s">
        <v>219</v>
      </c>
      <c r="J1081">
        <v>22</v>
      </c>
      <c r="L1081">
        <v>22</v>
      </c>
      <c r="N1081">
        <f>Таблица1[[#This Row],[Часов на заказчика  в работе]]+Таблица1[[#This Row],[Часов на заказчика  дежурство]]</f>
        <v>22</v>
      </c>
      <c r="O10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1" s="9">
        <v>170000</v>
      </c>
      <c r="R1081" s="9"/>
      <c r="S1081" s="5">
        <v>1</v>
      </c>
      <c r="T10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табеле]])*S1081,0)</f>
        <v>11333.333333333332</v>
      </c>
      <c r="U1081" s="5">
        <f>IF(Таблица1[[#This Row],[ТТН]]&gt;0,Таблица1[[#This Row],[Ставка за ТТН]]*Таблица1[[#This Row],[ТТН]],0)</f>
        <v>0</v>
      </c>
    </row>
    <row r="1082" spans="1:21" x14ac:dyDescent="0.25">
      <c r="A1082" t="s">
        <v>84</v>
      </c>
      <c r="B1082" s="24">
        <v>8</v>
      </c>
      <c r="C1082" t="s">
        <v>132</v>
      </c>
      <c r="D1082" t="s">
        <v>39</v>
      </c>
      <c r="E1082" t="s">
        <v>215</v>
      </c>
      <c r="F1082" t="s">
        <v>40</v>
      </c>
      <c r="H1082" t="s">
        <v>10</v>
      </c>
      <c r="I1082" t="s">
        <v>219</v>
      </c>
      <c r="J1082">
        <v>11</v>
      </c>
      <c r="L1082">
        <v>11</v>
      </c>
      <c r="N1082">
        <f>Таблица1[[#This Row],[Часов на заказчика  в работе]]+Таблица1[[#This Row],[Часов на заказчика  дежурство]]</f>
        <v>11</v>
      </c>
      <c r="O10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2" s="9">
        <v>170000</v>
      </c>
      <c r="R1082" s="9"/>
      <c r="S1082" s="5">
        <v>1</v>
      </c>
      <c r="T10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табеле]])*S1082,0)</f>
        <v>5666.6666666666661</v>
      </c>
      <c r="U1082" s="5">
        <f>IF(Таблица1[[#This Row],[ТТН]]&gt;0,Таблица1[[#This Row],[Ставка за ТТН]]*Таблица1[[#This Row],[ТТН]],0)</f>
        <v>0</v>
      </c>
    </row>
    <row r="1083" spans="1:21" x14ac:dyDescent="0.25">
      <c r="A1083" t="s">
        <v>84</v>
      </c>
      <c r="B1083" s="24">
        <v>9</v>
      </c>
      <c r="C1083" t="s">
        <v>132</v>
      </c>
      <c r="D1083" t="s">
        <v>39</v>
      </c>
      <c r="E1083" t="s">
        <v>215</v>
      </c>
      <c r="F1083" t="s">
        <v>40</v>
      </c>
      <c r="H1083" t="s">
        <v>10</v>
      </c>
      <c r="I1083" t="s">
        <v>219</v>
      </c>
      <c r="J1083">
        <v>22</v>
      </c>
      <c r="L1083">
        <v>22</v>
      </c>
      <c r="N1083">
        <f>Таблица1[[#This Row],[Часов на заказчика  в работе]]+Таблица1[[#This Row],[Часов на заказчика  дежурство]]</f>
        <v>22</v>
      </c>
      <c r="O10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3" s="9">
        <v>170000</v>
      </c>
      <c r="R1083" s="9"/>
      <c r="S1083" s="5">
        <v>1</v>
      </c>
      <c r="T10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табеле]])*S1083,0)</f>
        <v>11333.333333333332</v>
      </c>
      <c r="U1083" s="5">
        <f>IF(Таблица1[[#This Row],[ТТН]]&gt;0,Таблица1[[#This Row],[Ставка за ТТН]]*Таблица1[[#This Row],[ТТН]],0)</f>
        <v>0</v>
      </c>
    </row>
    <row r="1084" spans="1:21" x14ac:dyDescent="0.25">
      <c r="A1084" t="s">
        <v>84</v>
      </c>
      <c r="B1084" s="24">
        <v>10</v>
      </c>
      <c r="C1084" t="s">
        <v>132</v>
      </c>
      <c r="D1084" t="s">
        <v>39</v>
      </c>
      <c r="E1084" t="s">
        <v>215</v>
      </c>
      <c r="F1084" t="s">
        <v>40</v>
      </c>
      <c r="H1084" t="s">
        <v>10</v>
      </c>
      <c r="I1084" t="s">
        <v>219</v>
      </c>
      <c r="J1084">
        <v>11</v>
      </c>
      <c r="L1084">
        <v>11</v>
      </c>
      <c r="N1084">
        <f>Таблица1[[#This Row],[Часов на заказчика  в работе]]+Таблица1[[#This Row],[Часов на заказчика  дежурство]]</f>
        <v>11</v>
      </c>
      <c r="O10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4" s="9">
        <v>170000</v>
      </c>
      <c r="R1084" s="9"/>
      <c r="S1084" s="5">
        <v>1</v>
      </c>
      <c r="T10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табеле]])*S1084,0)</f>
        <v>5666.6666666666661</v>
      </c>
      <c r="U1084" s="5">
        <f>IF(Таблица1[[#This Row],[ТТН]]&gt;0,Таблица1[[#This Row],[Ставка за ТТН]]*Таблица1[[#This Row],[ТТН]],0)</f>
        <v>0</v>
      </c>
    </row>
    <row r="1085" spans="1:21" x14ac:dyDescent="0.25">
      <c r="A1085" t="s">
        <v>84</v>
      </c>
      <c r="B1085" s="24">
        <v>11</v>
      </c>
      <c r="C1085" t="s">
        <v>132</v>
      </c>
      <c r="D1085" t="s">
        <v>39</v>
      </c>
      <c r="E1085" t="s">
        <v>215</v>
      </c>
      <c r="F1085" t="s">
        <v>40</v>
      </c>
      <c r="H1085" t="s">
        <v>10</v>
      </c>
      <c r="I1085" t="s">
        <v>219</v>
      </c>
      <c r="J1085">
        <v>11</v>
      </c>
      <c r="L1085">
        <v>11</v>
      </c>
      <c r="N1085">
        <f>Таблица1[[#This Row],[Часов на заказчика  в работе]]+Таблица1[[#This Row],[Часов на заказчика  дежурство]]</f>
        <v>11</v>
      </c>
      <c r="O10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5" s="9">
        <v>170000</v>
      </c>
      <c r="R1085" s="9"/>
      <c r="S1085" s="5">
        <v>1</v>
      </c>
      <c r="T10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табеле]])*S1085,0)</f>
        <v>5666.6666666666661</v>
      </c>
      <c r="U1085" s="5">
        <f>IF(Таблица1[[#This Row],[ТТН]]&gt;0,Таблица1[[#This Row],[Ставка за ТТН]]*Таблица1[[#This Row],[ТТН]],0)</f>
        <v>0</v>
      </c>
    </row>
    <row r="1086" spans="1:21" x14ac:dyDescent="0.25">
      <c r="A1086" t="s">
        <v>84</v>
      </c>
      <c r="B1086" s="24">
        <v>12</v>
      </c>
      <c r="C1086" t="s">
        <v>132</v>
      </c>
      <c r="D1086" t="s">
        <v>39</v>
      </c>
      <c r="E1086" t="s">
        <v>215</v>
      </c>
      <c r="F1086" t="s">
        <v>40</v>
      </c>
      <c r="H1086" t="s">
        <v>10</v>
      </c>
      <c r="I1086" t="s">
        <v>219</v>
      </c>
      <c r="J1086">
        <v>22</v>
      </c>
      <c r="L1086">
        <v>22</v>
      </c>
      <c r="N1086">
        <f>Таблица1[[#This Row],[Часов на заказчика  в работе]]+Таблица1[[#This Row],[Часов на заказчика  дежурство]]</f>
        <v>22</v>
      </c>
      <c r="O10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6" s="9">
        <v>170000</v>
      </c>
      <c r="R1086" s="9"/>
      <c r="S1086" s="5">
        <v>1</v>
      </c>
      <c r="T10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табеле]])*S1086,0)</f>
        <v>11333.333333333332</v>
      </c>
      <c r="U1086" s="5">
        <f>IF(Таблица1[[#This Row],[ТТН]]&gt;0,Таблица1[[#This Row],[Ставка за ТТН]]*Таблица1[[#This Row],[ТТН]],0)</f>
        <v>0</v>
      </c>
    </row>
    <row r="1087" spans="1:21" x14ac:dyDescent="0.25">
      <c r="A1087" t="s">
        <v>84</v>
      </c>
      <c r="B1087" s="24">
        <v>13</v>
      </c>
      <c r="C1087" t="s">
        <v>132</v>
      </c>
      <c r="D1087" t="s">
        <v>39</v>
      </c>
      <c r="E1087" t="s">
        <v>215</v>
      </c>
      <c r="F1087" t="s">
        <v>40</v>
      </c>
      <c r="H1087" t="s">
        <v>10</v>
      </c>
      <c r="I1087" t="s">
        <v>219</v>
      </c>
      <c r="J1087">
        <v>11</v>
      </c>
      <c r="L1087">
        <v>11</v>
      </c>
      <c r="N1087">
        <f>Таблица1[[#This Row],[Часов на заказчика  в работе]]+Таблица1[[#This Row],[Часов на заказчика  дежурство]]</f>
        <v>11</v>
      </c>
      <c r="O10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7" s="9">
        <v>170000</v>
      </c>
      <c r="R1087" s="9"/>
      <c r="S1087" s="5">
        <v>1</v>
      </c>
      <c r="T10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табеле]])*S1087,0)</f>
        <v>5666.6666666666661</v>
      </c>
      <c r="U1087" s="5">
        <f>IF(Таблица1[[#This Row],[ТТН]]&gt;0,Таблица1[[#This Row],[Ставка за ТТН]]*Таблица1[[#This Row],[ТТН]],0)</f>
        <v>0</v>
      </c>
    </row>
    <row r="1088" spans="1:21" x14ac:dyDescent="0.25">
      <c r="A1088" t="s">
        <v>84</v>
      </c>
      <c r="B1088" s="24">
        <v>14</v>
      </c>
      <c r="C1088" t="s">
        <v>132</v>
      </c>
      <c r="D1088" t="s">
        <v>39</v>
      </c>
      <c r="E1088" t="s">
        <v>215</v>
      </c>
      <c r="F1088" t="s">
        <v>40</v>
      </c>
      <c r="H1088" t="s">
        <v>10</v>
      </c>
      <c r="I1088" t="s">
        <v>219</v>
      </c>
      <c r="J1088">
        <v>11</v>
      </c>
      <c r="L1088">
        <v>11</v>
      </c>
      <c r="N1088">
        <f>Таблица1[[#This Row],[Часов на заказчика  в работе]]+Таблица1[[#This Row],[Часов на заказчика  дежурство]]</f>
        <v>11</v>
      </c>
      <c r="O10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8" s="9">
        <v>170000</v>
      </c>
      <c r="R1088" s="9"/>
      <c r="S1088" s="5">
        <v>1</v>
      </c>
      <c r="T10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табеле]])*S1088,0)</f>
        <v>5666.6666666666661</v>
      </c>
      <c r="U1088" s="5">
        <f>IF(Таблица1[[#This Row],[ТТН]]&gt;0,Таблица1[[#This Row],[Ставка за ТТН]]*Таблица1[[#This Row],[ТТН]],0)</f>
        <v>0</v>
      </c>
    </row>
    <row r="1089" spans="1:21" x14ac:dyDescent="0.25">
      <c r="A1089" t="s">
        <v>84</v>
      </c>
      <c r="B1089" s="24">
        <v>15</v>
      </c>
      <c r="C1089" t="s">
        <v>132</v>
      </c>
      <c r="D1089" t="s">
        <v>39</v>
      </c>
      <c r="E1089" t="s">
        <v>215</v>
      </c>
      <c r="F1089" t="s">
        <v>40</v>
      </c>
      <c r="H1089" t="s">
        <v>10</v>
      </c>
      <c r="I1089" t="s">
        <v>219</v>
      </c>
      <c r="J1089">
        <v>22</v>
      </c>
      <c r="L1089">
        <v>22</v>
      </c>
      <c r="N1089">
        <f>Таблица1[[#This Row],[Часов на заказчика  в работе]]+Таблица1[[#This Row],[Часов на заказчика  дежурство]]</f>
        <v>22</v>
      </c>
      <c r="O10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89" s="9">
        <v>170000</v>
      </c>
      <c r="R1089" s="9"/>
      <c r="S1089" s="5">
        <v>1</v>
      </c>
      <c r="T10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табеле]])*S1089,0)</f>
        <v>11333.333333333332</v>
      </c>
      <c r="U1089" s="5">
        <f>IF(Таблица1[[#This Row],[ТТН]]&gt;0,Таблица1[[#This Row],[Ставка за ТТН]]*Таблица1[[#This Row],[ТТН]],0)</f>
        <v>0</v>
      </c>
    </row>
    <row r="1090" spans="1:21" x14ac:dyDescent="0.25">
      <c r="A1090" t="s">
        <v>84</v>
      </c>
      <c r="B1090" s="24">
        <v>16</v>
      </c>
      <c r="C1090" t="s">
        <v>132</v>
      </c>
      <c r="D1090" t="s">
        <v>39</v>
      </c>
      <c r="E1090" t="s">
        <v>215</v>
      </c>
      <c r="F1090" t="s">
        <v>40</v>
      </c>
      <c r="H1090" t="s">
        <v>10</v>
      </c>
      <c r="I1090" t="s">
        <v>219</v>
      </c>
      <c r="J1090">
        <v>22</v>
      </c>
      <c r="L1090">
        <v>22</v>
      </c>
      <c r="N1090">
        <f>Таблица1[[#This Row],[Часов на заказчика  в работе]]+Таблица1[[#This Row],[Часов на заказчика  дежурство]]</f>
        <v>22</v>
      </c>
      <c r="O10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0" s="9">
        <v>170000</v>
      </c>
      <c r="R1090" s="9"/>
      <c r="S1090" s="5">
        <v>1</v>
      </c>
      <c r="T10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табеле]])*S1090,0)</f>
        <v>11333.333333333332</v>
      </c>
      <c r="U1090" s="5">
        <f>IF(Таблица1[[#This Row],[ТТН]]&gt;0,Таблица1[[#This Row],[Ставка за ТТН]]*Таблица1[[#This Row],[ТТН]],0)</f>
        <v>0</v>
      </c>
    </row>
    <row r="1091" spans="1:21" x14ac:dyDescent="0.25">
      <c r="A1091" t="s">
        <v>84</v>
      </c>
      <c r="B1091" s="24">
        <v>17</v>
      </c>
      <c r="C1091" t="s">
        <v>132</v>
      </c>
      <c r="D1091" t="s">
        <v>39</v>
      </c>
      <c r="E1091" t="s">
        <v>215</v>
      </c>
      <c r="F1091" t="s">
        <v>40</v>
      </c>
      <c r="H1091" t="s">
        <v>10</v>
      </c>
      <c r="I1091" t="s">
        <v>219</v>
      </c>
      <c r="J1091">
        <v>22</v>
      </c>
      <c r="L1091">
        <v>22</v>
      </c>
      <c r="N1091">
        <f>Таблица1[[#This Row],[Часов на заказчика  в работе]]+Таблица1[[#This Row],[Часов на заказчика  дежурство]]</f>
        <v>22</v>
      </c>
      <c r="O10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1" s="9">
        <v>170000</v>
      </c>
      <c r="R1091" s="9"/>
      <c r="S1091" s="5">
        <v>1</v>
      </c>
      <c r="T10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табеле]])*S1091,0)</f>
        <v>11333.333333333332</v>
      </c>
      <c r="U1091" s="5">
        <f>IF(Таблица1[[#This Row],[ТТН]]&gt;0,Таблица1[[#This Row],[Ставка за ТТН]]*Таблица1[[#This Row],[ТТН]],0)</f>
        <v>0</v>
      </c>
    </row>
    <row r="1092" spans="1:21" x14ac:dyDescent="0.25">
      <c r="A1092" t="s">
        <v>84</v>
      </c>
      <c r="B1092" s="24">
        <v>18</v>
      </c>
      <c r="C1092" t="s">
        <v>132</v>
      </c>
      <c r="D1092" t="s">
        <v>39</v>
      </c>
      <c r="E1092" t="s">
        <v>215</v>
      </c>
      <c r="F1092" t="s">
        <v>40</v>
      </c>
      <c r="H1092" t="s">
        <v>10</v>
      </c>
      <c r="I1092" t="s">
        <v>219</v>
      </c>
      <c r="J1092">
        <v>22</v>
      </c>
      <c r="L1092">
        <v>22</v>
      </c>
      <c r="N1092">
        <f>Таблица1[[#This Row],[Часов на заказчика  в работе]]+Таблица1[[#This Row],[Часов на заказчика  дежурство]]</f>
        <v>22</v>
      </c>
      <c r="O10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2" s="9">
        <v>170000</v>
      </c>
      <c r="R1092" s="9"/>
      <c r="S1092" s="5">
        <v>1</v>
      </c>
      <c r="T10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табеле]])*S1092,0)</f>
        <v>11333.333333333332</v>
      </c>
      <c r="U1092" s="5">
        <f>IF(Таблица1[[#This Row],[ТТН]]&gt;0,Таблица1[[#This Row],[Ставка за ТТН]]*Таблица1[[#This Row],[ТТН]],0)</f>
        <v>0</v>
      </c>
    </row>
    <row r="1093" spans="1:21" x14ac:dyDescent="0.25">
      <c r="A1093" t="s">
        <v>84</v>
      </c>
      <c r="B1093" s="24">
        <v>19</v>
      </c>
      <c r="C1093" t="s">
        <v>132</v>
      </c>
      <c r="D1093" t="s">
        <v>39</v>
      </c>
      <c r="E1093" t="s">
        <v>215</v>
      </c>
      <c r="F1093" t="s">
        <v>40</v>
      </c>
      <c r="H1093" t="s">
        <v>10</v>
      </c>
      <c r="I1093" t="s">
        <v>219</v>
      </c>
      <c r="J1093">
        <v>22</v>
      </c>
      <c r="L1093">
        <v>22</v>
      </c>
      <c r="N1093">
        <f>Таблица1[[#This Row],[Часов на заказчика  в работе]]+Таблица1[[#This Row],[Часов на заказчика  дежурство]]</f>
        <v>22</v>
      </c>
      <c r="O10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3" s="9">
        <v>170000</v>
      </c>
      <c r="R1093" s="9"/>
      <c r="S1093" s="5">
        <v>1</v>
      </c>
      <c r="T10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табеле]])*S1093,0)</f>
        <v>11333.333333333332</v>
      </c>
      <c r="U1093" s="5">
        <f>IF(Таблица1[[#This Row],[ТТН]]&gt;0,Таблица1[[#This Row],[Ставка за ТТН]]*Таблица1[[#This Row],[ТТН]],0)</f>
        <v>0</v>
      </c>
    </row>
    <row r="1094" spans="1:21" x14ac:dyDescent="0.25">
      <c r="A1094" t="s">
        <v>84</v>
      </c>
      <c r="B1094" s="24">
        <v>20</v>
      </c>
      <c r="C1094" t="s">
        <v>132</v>
      </c>
      <c r="D1094" t="s">
        <v>39</v>
      </c>
      <c r="E1094" t="s">
        <v>215</v>
      </c>
      <c r="F1094" t="s">
        <v>40</v>
      </c>
      <c r="H1094" t="s">
        <v>10</v>
      </c>
      <c r="I1094" t="s">
        <v>219</v>
      </c>
      <c r="J1094">
        <v>22</v>
      </c>
      <c r="L1094">
        <v>22</v>
      </c>
      <c r="N1094">
        <f>Таблица1[[#This Row],[Часов на заказчика  в работе]]+Таблица1[[#This Row],[Часов на заказчика  дежурство]]</f>
        <v>22</v>
      </c>
      <c r="O10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4" s="9">
        <v>170000</v>
      </c>
      <c r="R1094" s="9"/>
      <c r="S1094" s="5">
        <v>1</v>
      </c>
      <c r="T10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табеле]])*S1094,0)</f>
        <v>11333.333333333332</v>
      </c>
      <c r="U1094" s="5">
        <f>IF(Таблица1[[#This Row],[ТТН]]&gt;0,Таблица1[[#This Row],[Ставка за ТТН]]*Таблица1[[#This Row],[ТТН]],0)</f>
        <v>0</v>
      </c>
    </row>
    <row r="1095" spans="1:21" x14ac:dyDescent="0.25">
      <c r="A1095" t="s">
        <v>84</v>
      </c>
      <c r="B1095" s="24">
        <v>21</v>
      </c>
      <c r="C1095" t="s">
        <v>132</v>
      </c>
      <c r="D1095" t="s">
        <v>39</v>
      </c>
      <c r="E1095" t="s">
        <v>215</v>
      </c>
      <c r="F1095" t="s">
        <v>40</v>
      </c>
      <c r="H1095" t="s">
        <v>10</v>
      </c>
      <c r="I1095" t="s">
        <v>219</v>
      </c>
      <c r="J1095">
        <v>22</v>
      </c>
      <c r="L1095">
        <v>22</v>
      </c>
      <c r="N1095">
        <f>Таблица1[[#This Row],[Часов на заказчика  в работе]]+Таблица1[[#This Row],[Часов на заказчика  дежурство]]</f>
        <v>22</v>
      </c>
      <c r="O10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5" s="9">
        <v>170000</v>
      </c>
      <c r="R1095" s="9"/>
      <c r="S1095" s="5">
        <v>1</v>
      </c>
      <c r="T10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табеле]])*S1095,0)</f>
        <v>11333.333333333332</v>
      </c>
      <c r="U1095" s="5">
        <f>IF(Таблица1[[#This Row],[ТТН]]&gt;0,Таблица1[[#This Row],[Ставка за ТТН]]*Таблица1[[#This Row],[ТТН]],0)</f>
        <v>0</v>
      </c>
    </row>
    <row r="1096" spans="1:21" x14ac:dyDescent="0.25">
      <c r="A1096" t="s">
        <v>84</v>
      </c>
      <c r="B1096" s="24">
        <v>22</v>
      </c>
      <c r="C1096" t="s">
        <v>132</v>
      </c>
      <c r="D1096" t="s">
        <v>39</v>
      </c>
      <c r="E1096" t="s">
        <v>215</v>
      </c>
      <c r="F1096" t="s">
        <v>40</v>
      </c>
      <c r="H1096" t="s">
        <v>10</v>
      </c>
      <c r="I1096" t="s">
        <v>219</v>
      </c>
      <c r="J1096">
        <v>11</v>
      </c>
      <c r="L1096">
        <v>11</v>
      </c>
      <c r="N1096">
        <f>Таблица1[[#This Row],[Часов на заказчика  в работе]]+Таблица1[[#This Row],[Часов на заказчика  дежурство]]</f>
        <v>11</v>
      </c>
      <c r="O10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6" s="9">
        <v>170000</v>
      </c>
      <c r="R1096" s="9"/>
      <c r="S1096" s="5">
        <v>1</v>
      </c>
      <c r="T10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табеле]])*S1096,0)</f>
        <v>5666.6666666666661</v>
      </c>
      <c r="U1096" s="5">
        <f>IF(Таблица1[[#This Row],[ТТН]]&gt;0,Таблица1[[#This Row],[Ставка за ТТН]]*Таблица1[[#This Row],[ТТН]],0)</f>
        <v>0</v>
      </c>
    </row>
    <row r="1097" spans="1:21" x14ac:dyDescent="0.25">
      <c r="A1097" t="s">
        <v>84</v>
      </c>
      <c r="B1097" s="24">
        <v>23</v>
      </c>
      <c r="C1097" t="s">
        <v>132</v>
      </c>
      <c r="D1097" t="s">
        <v>39</v>
      </c>
      <c r="E1097" t="s">
        <v>215</v>
      </c>
      <c r="F1097" t="s">
        <v>40</v>
      </c>
      <c r="H1097" t="s">
        <v>38</v>
      </c>
      <c r="I1097" t="s">
        <v>219</v>
      </c>
      <c r="J1097">
        <v>11</v>
      </c>
      <c r="L1097">
        <v>11</v>
      </c>
      <c r="N1097">
        <f>Таблица1[[#This Row],[Часов на заказчика  в работе]]+Таблица1[[#This Row],[Часов на заказчика  дежурство]]</f>
        <v>11</v>
      </c>
      <c r="O10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7" s="9">
        <v>170000</v>
      </c>
      <c r="R1097" s="9"/>
      <c r="S1097" s="5">
        <v>1</v>
      </c>
      <c r="T10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табеле]])*S1097,0)</f>
        <v>5666.6666666666661</v>
      </c>
      <c r="U1097" s="5">
        <f>IF(Таблица1[[#This Row],[ТТН]]&gt;0,Таблица1[[#This Row],[Ставка за ТТН]]*Таблица1[[#This Row],[ТТН]],0)</f>
        <v>0</v>
      </c>
    </row>
    <row r="1098" spans="1:21" x14ac:dyDescent="0.25">
      <c r="A1098" t="s">
        <v>84</v>
      </c>
      <c r="B1098" s="24">
        <v>24</v>
      </c>
      <c r="C1098" t="s">
        <v>132</v>
      </c>
      <c r="D1098" t="s">
        <v>39</v>
      </c>
      <c r="E1098" t="s">
        <v>215</v>
      </c>
      <c r="F1098" t="s">
        <v>40</v>
      </c>
      <c r="H1098" t="s">
        <v>10</v>
      </c>
      <c r="I1098" t="s">
        <v>219</v>
      </c>
      <c r="J1098">
        <v>22</v>
      </c>
      <c r="L1098">
        <v>22</v>
      </c>
      <c r="N1098">
        <f>Таблица1[[#This Row],[Часов на заказчика  в работе]]+Таблица1[[#This Row],[Часов на заказчика  дежурство]]</f>
        <v>22</v>
      </c>
      <c r="O10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8" s="9">
        <v>170000</v>
      </c>
      <c r="R1098" s="9"/>
      <c r="S1098" s="5">
        <v>1</v>
      </c>
      <c r="T10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табеле]])*S1098,0)</f>
        <v>11333.333333333332</v>
      </c>
      <c r="U1098" s="5">
        <f>IF(Таблица1[[#This Row],[ТТН]]&gt;0,Таблица1[[#This Row],[Ставка за ТТН]]*Таблица1[[#This Row],[ТТН]],0)</f>
        <v>0</v>
      </c>
    </row>
    <row r="1099" spans="1:21" x14ac:dyDescent="0.25">
      <c r="A1099" t="s">
        <v>84</v>
      </c>
      <c r="B1099" s="24">
        <v>25</v>
      </c>
      <c r="C1099" t="s">
        <v>132</v>
      </c>
      <c r="D1099" t="s">
        <v>39</v>
      </c>
      <c r="E1099" t="s">
        <v>215</v>
      </c>
      <c r="F1099" t="s">
        <v>40</v>
      </c>
      <c r="H1099" t="s">
        <v>10</v>
      </c>
      <c r="I1099" t="s">
        <v>219</v>
      </c>
      <c r="J1099">
        <v>22</v>
      </c>
      <c r="L1099">
        <v>22</v>
      </c>
      <c r="N1099">
        <f>Таблица1[[#This Row],[Часов на заказчика  в работе]]+Таблица1[[#This Row],[Часов на заказчика  дежурство]]</f>
        <v>22</v>
      </c>
      <c r="O10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099" s="9">
        <v>170000</v>
      </c>
      <c r="R1099" s="9"/>
      <c r="S1099" s="5">
        <v>1</v>
      </c>
      <c r="T10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табеле]])*S1099,0)</f>
        <v>11333.333333333332</v>
      </c>
      <c r="U1099" s="5">
        <f>IF(Таблица1[[#This Row],[ТТН]]&gt;0,Таблица1[[#This Row],[Ставка за ТТН]]*Таблица1[[#This Row],[ТТН]],0)</f>
        <v>0</v>
      </c>
    </row>
    <row r="1100" spans="1:21" x14ac:dyDescent="0.25">
      <c r="A1100" t="s">
        <v>84</v>
      </c>
      <c r="B1100" s="24">
        <v>26</v>
      </c>
      <c r="C1100" t="s">
        <v>132</v>
      </c>
      <c r="D1100" t="s">
        <v>39</v>
      </c>
      <c r="E1100" t="s">
        <v>215</v>
      </c>
      <c r="F1100" t="s">
        <v>40</v>
      </c>
      <c r="H1100" t="s">
        <v>10</v>
      </c>
      <c r="I1100" t="s">
        <v>219</v>
      </c>
      <c r="J1100">
        <v>22</v>
      </c>
      <c r="L1100">
        <v>22</v>
      </c>
      <c r="N1100">
        <f>Таблица1[[#This Row],[Часов на заказчика  в работе]]+Таблица1[[#This Row],[Часов на заказчика  дежурство]]</f>
        <v>22</v>
      </c>
      <c r="O11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0" s="9">
        <v>170000</v>
      </c>
      <c r="R1100" s="9"/>
      <c r="S1100" s="5">
        <v>1</v>
      </c>
      <c r="T11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табеле]])*S1100,0)</f>
        <v>11333.333333333332</v>
      </c>
      <c r="U1100" s="5">
        <f>IF(Таблица1[[#This Row],[ТТН]]&gt;0,Таблица1[[#This Row],[Ставка за ТТН]]*Таблица1[[#This Row],[ТТН]],0)</f>
        <v>0</v>
      </c>
    </row>
    <row r="1101" spans="1:21" x14ac:dyDescent="0.25">
      <c r="A1101" t="s">
        <v>84</v>
      </c>
      <c r="B1101" s="24">
        <v>27</v>
      </c>
      <c r="C1101" t="s">
        <v>132</v>
      </c>
      <c r="D1101" t="s">
        <v>39</v>
      </c>
      <c r="E1101" t="s">
        <v>215</v>
      </c>
      <c r="F1101" t="s">
        <v>40</v>
      </c>
      <c r="H1101" t="s">
        <v>10</v>
      </c>
      <c r="I1101" t="s">
        <v>219</v>
      </c>
      <c r="J1101">
        <v>16</v>
      </c>
      <c r="L1101">
        <v>16</v>
      </c>
      <c r="N1101">
        <f>Таблица1[[#This Row],[Часов на заказчика  в работе]]+Таблица1[[#This Row],[Часов на заказчика  дежурство]]</f>
        <v>16</v>
      </c>
      <c r="O11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1" s="9">
        <v>170000</v>
      </c>
      <c r="R1101" s="9"/>
      <c r="S1101" s="5">
        <v>1</v>
      </c>
      <c r="T11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табеле]])*S1101,0)</f>
        <v>8242.424242424242</v>
      </c>
      <c r="U1101" s="5">
        <f>IF(Таблица1[[#This Row],[ТТН]]&gt;0,Таблица1[[#This Row],[Ставка за ТТН]]*Таблица1[[#This Row],[ТТН]],0)</f>
        <v>0</v>
      </c>
    </row>
    <row r="1102" spans="1:21" x14ac:dyDescent="0.25">
      <c r="A1102" t="s">
        <v>84</v>
      </c>
      <c r="B1102" s="24">
        <v>28</v>
      </c>
      <c r="C1102" t="s">
        <v>132</v>
      </c>
      <c r="D1102" t="s">
        <v>39</v>
      </c>
      <c r="E1102" t="s">
        <v>215</v>
      </c>
      <c r="F1102" t="s">
        <v>40</v>
      </c>
      <c r="H1102" t="s">
        <v>10</v>
      </c>
      <c r="I1102" t="s">
        <v>219</v>
      </c>
      <c r="J1102">
        <v>22</v>
      </c>
      <c r="L1102">
        <v>22</v>
      </c>
      <c r="N1102">
        <f>Таблица1[[#This Row],[Часов на заказчика  в работе]]+Таблица1[[#This Row],[Часов на заказчика  дежурство]]</f>
        <v>22</v>
      </c>
      <c r="O11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2" s="9">
        <v>170000</v>
      </c>
      <c r="R1102" s="9"/>
      <c r="S1102" s="5">
        <v>1</v>
      </c>
      <c r="T11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табеле]])*S1102,0)</f>
        <v>11333.333333333332</v>
      </c>
      <c r="U1102" s="5">
        <f>IF(Таблица1[[#This Row],[ТТН]]&gt;0,Таблица1[[#This Row],[Ставка за ТТН]]*Таблица1[[#This Row],[ТТН]],0)</f>
        <v>0</v>
      </c>
    </row>
    <row r="1103" spans="1:21" x14ac:dyDescent="0.25">
      <c r="A1103" t="s">
        <v>84</v>
      </c>
      <c r="B1103" s="24">
        <v>29</v>
      </c>
      <c r="C1103" t="s">
        <v>132</v>
      </c>
      <c r="D1103" t="s">
        <v>39</v>
      </c>
      <c r="E1103" t="s">
        <v>215</v>
      </c>
      <c r="F1103" t="s">
        <v>40</v>
      </c>
      <c r="H1103" t="s">
        <v>10</v>
      </c>
      <c r="I1103" t="s">
        <v>219</v>
      </c>
      <c r="J1103">
        <v>22</v>
      </c>
      <c r="L1103">
        <v>22</v>
      </c>
      <c r="N1103">
        <f>Таблица1[[#This Row],[Часов на заказчика  в работе]]+Таблица1[[#This Row],[Часов на заказчика  дежурство]]</f>
        <v>22</v>
      </c>
      <c r="O11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3" s="9">
        <v>170000</v>
      </c>
      <c r="R1103" s="9"/>
      <c r="S1103" s="5">
        <v>1</v>
      </c>
      <c r="T11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табеле]])*S1103,0)</f>
        <v>11333.333333333332</v>
      </c>
      <c r="U1103" s="5">
        <f>IF(Таблица1[[#This Row],[ТТН]]&gt;0,Таблица1[[#This Row],[Ставка за ТТН]]*Таблица1[[#This Row],[ТТН]],0)</f>
        <v>0</v>
      </c>
    </row>
    <row r="1104" spans="1:21" x14ac:dyDescent="0.25">
      <c r="A1104" t="s">
        <v>84</v>
      </c>
      <c r="B1104" s="24">
        <v>30</v>
      </c>
      <c r="C1104" t="s">
        <v>133</v>
      </c>
      <c r="D1104" t="s">
        <v>39</v>
      </c>
      <c r="E1104" t="s">
        <v>215</v>
      </c>
      <c r="F1104" t="s">
        <v>40</v>
      </c>
      <c r="H1104" t="s">
        <v>10</v>
      </c>
      <c r="I1104" t="s">
        <v>219</v>
      </c>
      <c r="J1104">
        <v>22</v>
      </c>
      <c r="L1104">
        <v>22</v>
      </c>
      <c r="N1104">
        <f>Таблица1[[#This Row],[Часов на заказчика  в работе]]+Таблица1[[#This Row],[Часов на заказчика  дежурство]]</f>
        <v>22</v>
      </c>
      <c r="O11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4" s="9">
        <v>170000</v>
      </c>
      <c r="R1104" s="9"/>
      <c r="S1104" s="5">
        <v>1</v>
      </c>
      <c r="T11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табеле]])*S1104,0)</f>
        <v>11333.333333333332</v>
      </c>
      <c r="U1104" s="5">
        <f>IF(Таблица1[[#This Row],[ТТН]]&gt;0,Таблица1[[#This Row],[Ставка за ТТН]]*Таблица1[[#This Row],[ТТН]],0)</f>
        <v>0</v>
      </c>
    </row>
    <row r="1105" spans="1:21" x14ac:dyDescent="0.25">
      <c r="A1105" t="s">
        <v>84</v>
      </c>
      <c r="B1105" s="24">
        <v>1</v>
      </c>
      <c r="C1105" t="s">
        <v>133</v>
      </c>
      <c r="D1105" t="s">
        <v>12</v>
      </c>
      <c r="E1105" t="s">
        <v>215</v>
      </c>
      <c r="F1105" t="s">
        <v>68</v>
      </c>
      <c r="H1105" t="s">
        <v>10</v>
      </c>
      <c r="I1105" t="s">
        <v>219</v>
      </c>
      <c r="J1105">
        <v>11</v>
      </c>
      <c r="L1105">
        <v>11</v>
      </c>
      <c r="N1105">
        <f>Таблица1[[#This Row],[Часов на заказчика  в работе]]+Таблица1[[#This Row],[Часов на заказчика  дежурство]]</f>
        <v>11</v>
      </c>
      <c r="O11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5" s="9">
        <v>170000</v>
      </c>
      <c r="R1105" s="9"/>
      <c r="S1105" s="5">
        <v>1</v>
      </c>
      <c r="T11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табеле]])*S1105,0)</f>
        <v>5666.6666666666661</v>
      </c>
      <c r="U1105" s="5">
        <f>IF(Таблица1[[#This Row],[ТТН]]&gt;0,Таблица1[[#This Row],[Ставка за ТТН]]*Таблица1[[#This Row],[ТТН]],0)</f>
        <v>0</v>
      </c>
    </row>
    <row r="1106" spans="1:21" x14ac:dyDescent="0.25">
      <c r="A1106" t="s">
        <v>84</v>
      </c>
      <c r="B1106" s="24">
        <v>2</v>
      </c>
      <c r="C1106" t="s">
        <v>133</v>
      </c>
      <c r="D1106" t="s">
        <v>12</v>
      </c>
      <c r="E1106" t="s">
        <v>215</v>
      </c>
      <c r="F1106" t="s">
        <v>68</v>
      </c>
      <c r="H1106" t="s">
        <v>10</v>
      </c>
      <c r="I1106" t="s">
        <v>219</v>
      </c>
      <c r="J1106">
        <v>11</v>
      </c>
      <c r="L1106">
        <v>11</v>
      </c>
      <c r="N1106">
        <f>Таблица1[[#This Row],[Часов на заказчика  в работе]]+Таблица1[[#This Row],[Часов на заказчика  дежурство]]</f>
        <v>11</v>
      </c>
      <c r="O11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6" s="9">
        <v>170000</v>
      </c>
      <c r="R1106" s="9"/>
      <c r="S1106" s="5">
        <v>1</v>
      </c>
      <c r="T11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табеле]])*S1106,0)</f>
        <v>5666.6666666666661</v>
      </c>
      <c r="U1106" s="5">
        <f>IF(Таблица1[[#This Row],[ТТН]]&gt;0,Таблица1[[#This Row],[Ставка за ТТН]]*Таблица1[[#This Row],[ТТН]],0)</f>
        <v>0</v>
      </c>
    </row>
    <row r="1107" spans="1:21" x14ac:dyDescent="0.25">
      <c r="A1107" t="s">
        <v>84</v>
      </c>
      <c r="B1107" s="24">
        <v>3</v>
      </c>
      <c r="C1107" t="s">
        <v>133</v>
      </c>
      <c r="D1107" t="s">
        <v>12</v>
      </c>
      <c r="E1107" t="s">
        <v>215</v>
      </c>
      <c r="F1107" t="s">
        <v>68</v>
      </c>
      <c r="H1107" t="s">
        <v>10</v>
      </c>
      <c r="I1107" t="s">
        <v>219</v>
      </c>
      <c r="J1107">
        <v>13</v>
      </c>
      <c r="L1107">
        <v>13</v>
      </c>
      <c r="N1107">
        <f>Таблица1[[#This Row],[Часов на заказчика  в работе]]+Таблица1[[#This Row],[Часов на заказчика  дежурство]]</f>
        <v>13</v>
      </c>
      <c r="O11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7" s="9">
        <v>170000</v>
      </c>
      <c r="R1107" s="9"/>
      <c r="S1107" s="5">
        <v>1</v>
      </c>
      <c r="T11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табеле]])*S1107,0)</f>
        <v>6696.969696969697</v>
      </c>
      <c r="U1107" s="5">
        <f>IF(Таблица1[[#This Row],[ТТН]]&gt;0,Таблица1[[#This Row],[Ставка за ТТН]]*Таблица1[[#This Row],[ТТН]],0)</f>
        <v>0</v>
      </c>
    </row>
    <row r="1108" spans="1:21" x14ac:dyDescent="0.25">
      <c r="A1108" t="s">
        <v>84</v>
      </c>
      <c r="B1108" s="24">
        <v>4</v>
      </c>
      <c r="C1108" t="s">
        <v>133</v>
      </c>
      <c r="D1108" t="s">
        <v>12</v>
      </c>
      <c r="E1108" t="s">
        <v>215</v>
      </c>
      <c r="F1108" t="s">
        <v>68</v>
      </c>
      <c r="H1108" t="s">
        <v>10</v>
      </c>
      <c r="I1108" t="s">
        <v>219</v>
      </c>
      <c r="J1108">
        <v>11</v>
      </c>
      <c r="L1108">
        <v>11</v>
      </c>
      <c r="N1108">
        <f>Таблица1[[#This Row],[Часов на заказчика  в работе]]+Таблица1[[#This Row],[Часов на заказчика  дежурство]]</f>
        <v>11</v>
      </c>
      <c r="O11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8" s="9">
        <v>170000</v>
      </c>
      <c r="R1108" s="9"/>
      <c r="S1108" s="5">
        <v>1</v>
      </c>
      <c r="T11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табеле]])*S1108,0)</f>
        <v>5666.6666666666661</v>
      </c>
      <c r="U1108" s="5">
        <f>IF(Таблица1[[#This Row],[ТТН]]&gt;0,Таблица1[[#This Row],[Ставка за ТТН]]*Таблица1[[#This Row],[ТТН]],0)</f>
        <v>0</v>
      </c>
    </row>
    <row r="1109" spans="1:21" x14ac:dyDescent="0.25">
      <c r="A1109" t="s">
        <v>84</v>
      </c>
      <c r="B1109" s="24">
        <v>5</v>
      </c>
      <c r="C1109" t="s">
        <v>133</v>
      </c>
      <c r="D1109" t="s">
        <v>12</v>
      </c>
      <c r="E1109" t="s">
        <v>215</v>
      </c>
      <c r="F1109" t="s">
        <v>68</v>
      </c>
      <c r="H1109" t="s">
        <v>10</v>
      </c>
      <c r="I1109" t="s">
        <v>219</v>
      </c>
      <c r="J1109">
        <v>11</v>
      </c>
      <c r="L1109">
        <v>11</v>
      </c>
      <c r="N1109">
        <f>Таблица1[[#This Row],[Часов на заказчика  в работе]]+Таблица1[[#This Row],[Часов на заказчика  дежурство]]</f>
        <v>11</v>
      </c>
      <c r="O11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09" s="9">
        <v>170000</v>
      </c>
      <c r="R1109" s="9"/>
      <c r="S1109" s="5">
        <v>1</v>
      </c>
      <c r="T11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табеле]])*S1109,0)</f>
        <v>5666.6666666666661</v>
      </c>
      <c r="U1109" s="5">
        <f>IF(Таблица1[[#This Row],[ТТН]]&gt;0,Таблица1[[#This Row],[Ставка за ТТН]]*Таблица1[[#This Row],[ТТН]],0)</f>
        <v>0</v>
      </c>
    </row>
    <row r="1110" spans="1:21" x14ac:dyDescent="0.25">
      <c r="A1110" t="s">
        <v>84</v>
      </c>
      <c r="B1110" s="24">
        <v>6</v>
      </c>
      <c r="C1110" t="s">
        <v>133</v>
      </c>
      <c r="D1110" t="s">
        <v>12</v>
      </c>
      <c r="E1110" t="s">
        <v>215</v>
      </c>
      <c r="F1110" t="s">
        <v>68</v>
      </c>
      <c r="H1110" t="s">
        <v>10</v>
      </c>
      <c r="I1110" t="s">
        <v>219</v>
      </c>
      <c r="J1110">
        <v>14</v>
      </c>
      <c r="L1110">
        <v>14</v>
      </c>
      <c r="N1110">
        <f>Таблица1[[#This Row],[Часов на заказчика  в работе]]+Таблица1[[#This Row],[Часов на заказчика  дежурство]]</f>
        <v>14</v>
      </c>
      <c r="O11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0" s="9">
        <v>170000</v>
      </c>
      <c r="R1110" s="9"/>
      <c r="S1110" s="5">
        <v>1</v>
      </c>
      <c r="T11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табеле]])*S1110,0)</f>
        <v>7212.121212121212</v>
      </c>
      <c r="U1110" s="5">
        <f>IF(Таблица1[[#This Row],[ТТН]]&gt;0,Таблица1[[#This Row],[Ставка за ТТН]]*Таблица1[[#This Row],[ТТН]],0)</f>
        <v>0</v>
      </c>
    </row>
    <row r="1111" spans="1:21" x14ac:dyDescent="0.25">
      <c r="A1111" t="s">
        <v>84</v>
      </c>
      <c r="B1111" s="24">
        <v>7</v>
      </c>
      <c r="C1111" t="s">
        <v>133</v>
      </c>
      <c r="D1111" t="s">
        <v>12</v>
      </c>
      <c r="E1111" t="s">
        <v>215</v>
      </c>
      <c r="F1111" t="s">
        <v>68</v>
      </c>
      <c r="H1111" t="s">
        <v>10</v>
      </c>
      <c r="I1111" t="s">
        <v>219</v>
      </c>
      <c r="J1111">
        <v>11</v>
      </c>
      <c r="L1111">
        <v>11</v>
      </c>
      <c r="N1111">
        <f>Таблица1[[#This Row],[Часов на заказчика  в работе]]+Таблица1[[#This Row],[Часов на заказчика  дежурство]]</f>
        <v>11</v>
      </c>
      <c r="O11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1" s="9">
        <v>170000</v>
      </c>
      <c r="R1111" s="9"/>
      <c r="S1111" s="5">
        <v>1</v>
      </c>
      <c r="T11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табеле]])*S1111,0)</f>
        <v>5666.6666666666661</v>
      </c>
      <c r="U1111" s="5">
        <f>IF(Таблица1[[#This Row],[ТТН]]&gt;0,Таблица1[[#This Row],[Ставка за ТТН]]*Таблица1[[#This Row],[ТТН]],0)</f>
        <v>0</v>
      </c>
    </row>
    <row r="1112" spans="1:21" x14ac:dyDescent="0.25">
      <c r="A1112" t="s">
        <v>84</v>
      </c>
      <c r="B1112" s="24">
        <v>8</v>
      </c>
      <c r="C1112" t="s">
        <v>133</v>
      </c>
      <c r="D1112" t="s">
        <v>12</v>
      </c>
      <c r="E1112" t="s">
        <v>215</v>
      </c>
      <c r="F1112" t="s">
        <v>68</v>
      </c>
      <c r="H1112" t="s">
        <v>10</v>
      </c>
      <c r="I1112" t="s">
        <v>219</v>
      </c>
      <c r="J1112">
        <v>20</v>
      </c>
      <c r="L1112">
        <v>20</v>
      </c>
      <c r="N1112">
        <f>Таблица1[[#This Row],[Часов на заказчика  в работе]]+Таблица1[[#This Row],[Часов на заказчика  дежурство]]</f>
        <v>20</v>
      </c>
      <c r="O11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2" s="9">
        <v>170000</v>
      </c>
      <c r="R1112" s="9"/>
      <c r="S1112" s="5">
        <v>1</v>
      </c>
      <c r="T11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табеле]])*S1112,0)</f>
        <v>10303.030303030302</v>
      </c>
      <c r="U1112" s="5">
        <f>IF(Таблица1[[#This Row],[ТТН]]&gt;0,Таблица1[[#This Row],[Ставка за ТТН]]*Таблица1[[#This Row],[ТТН]],0)</f>
        <v>0</v>
      </c>
    </row>
    <row r="1113" spans="1:21" x14ac:dyDescent="0.25">
      <c r="A1113" t="s">
        <v>84</v>
      </c>
      <c r="B1113" s="24">
        <v>9</v>
      </c>
      <c r="C1113" t="s">
        <v>133</v>
      </c>
      <c r="D1113" t="s">
        <v>12</v>
      </c>
      <c r="E1113" t="s">
        <v>215</v>
      </c>
      <c r="F1113" t="s">
        <v>68</v>
      </c>
      <c r="H1113" t="s">
        <v>10</v>
      </c>
      <c r="I1113" t="s">
        <v>219</v>
      </c>
      <c r="J1113">
        <v>16</v>
      </c>
      <c r="L1113">
        <v>16</v>
      </c>
      <c r="N1113">
        <f>Таблица1[[#This Row],[Часов на заказчика  в работе]]+Таблица1[[#This Row],[Часов на заказчика  дежурство]]</f>
        <v>16</v>
      </c>
      <c r="O11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3" s="9">
        <v>170000</v>
      </c>
      <c r="R1113" s="9"/>
      <c r="S1113" s="5">
        <v>1</v>
      </c>
      <c r="T11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табеле]])*S1113,0)</f>
        <v>8242.424242424242</v>
      </c>
      <c r="U1113" s="5">
        <f>IF(Таблица1[[#This Row],[ТТН]]&gt;0,Таблица1[[#This Row],[Ставка за ТТН]]*Таблица1[[#This Row],[ТТН]],0)</f>
        <v>0</v>
      </c>
    </row>
    <row r="1114" spans="1:21" x14ac:dyDescent="0.25">
      <c r="A1114" t="s">
        <v>84</v>
      </c>
      <c r="B1114" s="24">
        <v>10</v>
      </c>
      <c r="C1114" t="s">
        <v>133</v>
      </c>
      <c r="D1114" t="s">
        <v>12</v>
      </c>
      <c r="E1114" t="s">
        <v>215</v>
      </c>
      <c r="F1114" t="s">
        <v>68</v>
      </c>
      <c r="H1114" t="s">
        <v>10</v>
      </c>
      <c r="I1114" t="s">
        <v>219</v>
      </c>
      <c r="J1114">
        <v>11</v>
      </c>
      <c r="L1114">
        <v>11</v>
      </c>
      <c r="N1114">
        <f>Таблица1[[#This Row],[Часов на заказчика  в работе]]+Таблица1[[#This Row],[Часов на заказчика  дежурство]]</f>
        <v>11</v>
      </c>
      <c r="O11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4" s="9">
        <v>170000</v>
      </c>
      <c r="R1114" s="9"/>
      <c r="S1114" s="5">
        <v>1</v>
      </c>
      <c r="T11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табеле]])*S1114,0)</f>
        <v>5666.6666666666661</v>
      </c>
      <c r="U1114" s="5">
        <f>IF(Таблица1[[#This Row],[ТТН]]&gt;0,Таблица1[[#This Row],[Ставка за ТТН]]*Таблица1[[#This Row],[ТТН]],0)</f>
        <v>0</v>
      </c>
    </row>
    <row r="1115" spans="1:21" x14ac:dyDescent="0.25">
      <c r="A1115" t="s">
        <v>84</v>
      </c>
      <c r="B1115" s="24">
        <v>10</v>
      </c>
      <c r="C1115" t="s">
        <v>133</v>
      </c>
      <c r="D1115" t="s">
        <v>12</v>
      </c>
      <c r="E1115" t="s">
        <v>215</v>
      </c>
      <c r="F1115" t="s">
        <v>68</v>
      </c>
      <c r="H1115" t="s">
        <v>70</v>
      </c>
      <c r="I1115" t="s">
        <v>219</v>
      </c>
      <c r="J1115">
        <v>11</v>
      </c>
      <c r="L1115">
        <v>11</v>
      </c>
      <c r="N1115">
        <f>Таблица1[[#This Row],[Часов на заказчика  в работе]]+Таблица1[[#This Row],[Часов на заказчика  дежурство]]</f>
        <v>11</v>
      </c>
      <c r="O11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5" s="9">
        <v>170000</v>
      </c>
      <c r="R1115" s="9"/>
      <c r="S1115" s="5">
        <v>1</v>
      </c>
      <c r="T11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табеле]])*S1115,0)</f>
        <v>5666.6666666666661</v>
      </c>
      <c r="U1115" s="5">
        <f>IF(Таблица1[[#This Row],[ТТН]]&gt;0,Таблица1[[#This Row],[Ставка за ТТН]]*Таблица1[[#This Row],[ТТН]],0)</f>
        <v>0</v>
      </c>
    </row>
    <row r="1116" spans="1:21" x14ac:dyDescent="0.25">
      <c r="A1116" t="s">
        <v>84</v>
      </c>
      <c r="B1116" s="24">
        <v>11</v>
      </c>
      <c r="C1116" t="s">
        <v>133</v>
      </c>
      <c r="D1116" t="s">
        <v>12</v>
      </c>
      <c r="E1116" t="s">
        <v>215</v>
      </c>
      <c r="F1116" t="s">
        <v>68</v>
      </c>
      <c r="H1116" t="s">
        <v>10</v>
      </c>
      <c r="I1116" t="s">
        <v>219</v>
      </c>
      <c r="J1116">
        <v>11</v>
      </c>
      <c r="L1116">
        <v>11</v>
      </c>
      <c r="N1116">
        <f>Таблица1[[#This Row],[Часов на заказчика  в работе]]+Таблица1[[#This Row],[Часов на заказчика  дежурство]]</f>
        <v>11</v>
      </c>
      <c r="O11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6" s="9">
        <v>170000</v>
      </c>
      <c r="R1116" s="9"/>
      <c r="S1116" s="5">
        <v>1</v>
      </c>
      <c r="T11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табеле]])*S1116,0)</f>
        <v>5666.6666666666661</v>
      </c>
      <c r="U1116" s="5">
        <f>IF(Таблица1[[#This Row],[ТТН]]&gt;0,Таблица1[[#This Row],[Ставка за ТТН]]*Таблица1[[#This Row],[ТТН]],0)</f>
        <v>0</v>
      </c>
    </row>
    <row r="1117" spans="1:21" x14ac:dyDescent="0.25">
      <c r="A1117" t="s">
        <v>84</v>
      </c>
      <c r="B1117" s="24">
        <v>12</v>
      </c>
      <c r="C1117" t="s">
        <v>133</v>
      </c>
      <c r="D1117" t="s">
        <v>12</v>
      </c>
      <c r="E1117" t="s">
        <v>215</v>
      </c>
      <c r="F1117" t="s">
        <v>68</v>
      </c>
      <c r="H1117" t="s">
        <v>10</v>
      </c>
      <c r="I1117" t="s">
        <v>219</v>
      </c>
      <c r="J1117">
        <v>22</v>
      </c>
      <c r="L1117">
        <v>22</v>
      </c>
      <c r="N1117">
        <f>Таблица1[[#This Row],[Часов на заказчика  в работе]]+Таблица1[[#This Row],[Часов на заказчика  дежурство]]</f>
        <v>22</v>
      </c>
      <c r="O11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7" s="9">
        <v>170000</v>
      </c>
      <c r="R1117" s="9"/>
      <c r="S1117" s="5">
        <v>1</v>
      </c>
      <c r="T11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табеле]])*S1117,0)</f>
        <v>11333.333333333332</v>
      </c>
      <c r="U1117" s="5">
        <f>IF(Таблица1[[#This Row],[ТТН]]&gt;0,Таблица1[[#This Row],[Ставка за ТТН]]*Таблица1[[#This Row],[ТТН]],0)</f>
        <v>0</v>
      </c>
    </row>
    <row r="1118" spans="1:21" x14ac:dyDescent="0.25">
      <c r="A1118" t="s">
        <v>84</v>
      </c>
      <c r="B1118" s="24">
        <v>13</v>
      </c>
      <c r="C1118" t="s">
        <v>133</v>
      </c>
      <c r="D1118" t="s">
        <v>12</v>
      </c>
      <c r="E1118" t="s">
        <v>215</v>
      </c>
      <c r="F1118" t="s">
        <v>68</v>
      </c>
      <c r="H1118" t="s">
        <v>10</v>
      </c>
      <c r="I1118" t="s">
        <v>219</v>
      </c>
      <c r="J1118">
        <v>11</v>
      </c>
      <c r="L1118">
        <v>11</v>
      </c>
      <c r="N1118">
        <f>Таблица1[[#This Row],[Часов на заказчика  в работе]]+Таблица1[[#This Row],[Часов на заказчика  дежурство]]</f>
        <v>11</v>
      </c>
      <c r="O11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8" s="9">
        <v>170000</v>
      </c>
      <c r="R1118" s="9"/>
      <c r="S1118" s="5">
        <v>1</v>
      </c>
      <c r="T11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табеле]])*S1118,0)</f>
        <v>5666.6666666666661</v>
      </c>
      <c r="U1118" s="5">
        <f>IF(Таблица1[[#This Row],[ТТН]]&gt;0,Таблица1[[#This Row],[Ставка за ТТН]]*Таблица1[[#This Row],[ТТН]],0)</f>
        <v>0</v>
      </c>
    </row>
    <row r="1119" spans="1:21" x14ac:dyDescent="0.25">
      <c r="A1119" t="s">
        <v>84</v>
      </c>
      <c r="B1119" s="24">
        <v>14</v>
      </c>
      <c r="C1119" t="s">
        <v>133</v>
      </c>
      <c r="D1119" t="s">
        <v>12</v>
      </c>
      <c r="E1119" t="s">
        <v>215</v>
      </c>
      <c r="F1119" t="s">
        <v>68</v>
      </c>
      <c r="H1119" t="s">
        <v>10</v>
      </c>
      <c r="I1119" t="s">
        <v>219</v>
      </c>
      <c r="J1119">
        <v>11</v>
      </c>
      <c r="L1119">
        <v>11</v>
      </c>
      <c r="N1119">
        <f>Таблица1[[#This Row],[Часов на заказчика  в работе]]+Таблица1[[#This Row],[Часов на заказчика  дежурство]]</f>
        <v>11</v>
      </c>
      <c r="O11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19" s="9">
        <v>170000</v>
      </c>
      <c r="R1119" s="9"/>
      <c r="S1119" s="5">
        <v>1</v>
      </c>
      <c r="T11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табеле]])*S1119,0)</f>
        <v>5666.6666666666661</v>
      </c>
      <c r="U1119" s="5">
        <f>IF(Таблица1[[#This Row],[ТТН]]&gt;0,Таблица1[[#This Row],[Ставка за ТТН]]*Таблица1[[#This Row],[ТТН]],0)</f>
        <v>0</v>
      </c>
    </row>
    <row r="1120" spans="1:21" x14ac:dyDescent="0.25">
      <c r="A1120" t="s">
        <v>84</v>
      </c>
      <c r="B1120" s="24">
        <v>15</v>
      </c>
      <c r="C1120" t="s">
        <v>133</v>
      </c>
      <c r="D1120" t="s">
        <v>12</v>
      </c>
      <c r="E1120" t="s">
        <v>215</v>
      </c>
      <c r="F1120" t="s">
        <v>68</v>
      </c>
      <c r="H1120" t="s">
        <v>10</v>
      </c>
      <c r="I1120" t="s">
        <v>219</v>
      </c>
      <c r="J1120">
        <v>11</v>
      </c>
      <c r="L1120">
        <v>11</v>
      </c>
      <c r="N1120">
        <f>Таблица1[[#This Row],[Часов на заказчика  в работе]]+Таблица1[[#This Row],[Часов на заказчика  дежурство]]</f>
        <v>11</v>
      </c>
      <c r="O11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0" s="9">
        <v>170000</v>
      </c>
      <c r="R1120" s="9"/>
      <c r="S1120" s="5">
        <v>1</v>
      </c>
      <c r="T11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табеле]])*S1120,0)</f>
        <v>5666.6666666666661</v>
      </c>
      <c r="U1120" s="5">
        <f>IF(Таблица1[[#This Row],[ТТН]]&gt;0,Таблица1[[#This Row],[Ставка за ТТН]]*Таблица1[[#This Row],[ТТН]],0)</f>
        <v>0</v>
      </c>
    </row>
    <row r="1121" spans="1:21" x14ac:dyDescent="0.25">
      <c r="A1121" t="s">
        <v>84</v>
      </c>
      <c r="B1121" s="24">
        <v>16</v>
      </c>
      <c r="C1121" t="s">
        <v>133</v>
      </c>
      <c r="D1121" t="s">
        <v>12</v>
      </c>
      <c r="E1121" t="s">
        <v>215</v>
      </c>
      <c r="F1121" t="s">
        <v>68</v>
      </c>
      <c r="H1121" t="s">
        <v>10</v>
      </c>
      <c r="I1121" t="s">
        <v>219</v>
      </c>
      <c r="J1121">
        <v>11</v>
      </c>
      <c r="L1121">
        <v>11</v>
      </c>
      <c r="N1121">
        <f>Таблица1[[#This Row],[Часов на заказчика  в работе]]+Таблица1[[#This Row],[Часов на заказчика  дежурство]]</f>
        <v>11</v>
      </c>
      <c r="O11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1" s="9">
        <v>170000</v>
      </c>
      <c r="R1121" s="9"/>
      <c r="S1121" s="5">
        <v>1</v>
      </c>
      <c r="T11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табеле]])*S1121,0)</f>
        <v>5666.6666666666661</v>
      </c>
      <c r="U1121" s="5">
        <f>IF(Таблица1[[#This Row],[ТТН]]&gt;0,Таблица1[[#This Row],[Ставка за ТТН]]*Таблица1[[#This Row],[ТТН]],0)</f>
        <v>0</v>
      </c>
    </row>
    <row r="1122" spans="1:21" x14ac:dyDescent="0.25">
      <c r="A1122" t="s">
        <v>84</v>
      </c>
      <c r="B1122" s="24">
        <v>16</v>
      </c>
      <c r="C1122" t="s">
        <v>133</v>
      </c>
      <c r="D1122" t="s">
        <v>12</v>
      </c>
      <c r="E1122" t="s">
        <v>215</v>
      </c>
      <c r="F1122" t="s">
        <v>68</v>
      </c>
      <c r="H1122" t="s">
        <v>70</v>
      </c>
      <c r="I1122" t="s">
        <v>219</v>
      </c>
      <c r="J1122">
        <v>11</v>
      </c>
      <c r="L1122">
        <v>11</v>
      </c>
      <c r="N1122">
        <f>Таблица1[[#This Row],[Часов на заказчика  в работе]]+Таблица1[[#This Row],[Часов на заказчика  дежурство]]</f>
        <v>11</v>
      </c>
      <c r="O11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2" s="9">
        <v>170000</v>
      </c>
      <c r="R1122" s="9"/>
      <c r="S1122" s="5">
        <v>1</v>
      </c>
      <c r="T11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табеле]])*S1122,0)</f>
        <v>5666.6666666666661</v>
      </c>
      <c r="U1122" s="5">
        <f>IF(Таблица1[[#This Row],[ТТН]]&gt;0,Таблица1[[#This Row],[Ставка за ТТН]]*Таблица1[[#This Row],[ТТН]],0)</f>
        <v>0</v>
      </c>
    </row>
    <row r="1123" spans="1:21" x14ac:dyDescent="0.25">
      <c r="A1123" t="s">
        <v>84</v>
      </c>
      <c r="B1123" s="24">
        <v>17</v>
      </c>
      <c r="C1123" t="s">
        <v>133</v>
      </c>
      <c r="D1123" t="s">
        <v>12</v>
      </c>
      <c r="E1123" t="s">
        <v>215</v>
      </c>
      <c r="F1123" t="s">
        <v>68</v>
      </c>
      <c r="H1123" t="s">
        <v>10</v>
      </c>
      <c r="I1123" t="s">
        <v>219</v>
      </c>
      <c r="J1123">
        <v>11</v>
      </c>
      <c r="L1123">
        <v>11</v>
      </c>
      <c r="N1123">
        <f>Таблица1[[#This Row],[Часов на заказчика  в работе]]+Таблица1[[#This Row],[Часов на заказчика  дежурство]]</f>
        <v>11</v>
      </c>
      <c r="O11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3" s="9">
        <v>170000</v>
      </c>
      <c r="R1123" s="9"/>
      <c r="S1123" s="5">
        <v>1</v>
      </c>
      <c r="T11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табеле]])*S1123,0)</f>
        <v>5666.6666666666661</v>
      </c>
      <c r="U1123" s="5">
        <f>IF(Таблица1[[#This Row],[ТТН]]&gt;0,Таблица1[[#This Row],[Ставка за ТТН]]*Таблица1[[#This Row],[ТТН]],0)</f>
        <v>0</v>
      </c>
    </row>
    <row r="1124" spans="1:21" x14ac:dyDescent="0.25">
      <c r="A1124" t="s">
        <v>84</v>
      </c>
      <c r="B1124" s="24">
        <v>17</v>
      </c>
      <c r="C1124" t="s">
        <v>133</v>
      </c>
      <c r="D1124" t="s">
        <v>12</v>
      </c>
      <c r="E1124" t="s">
        <v>215</v>
      </c>
      <c r="F1124" t="s">
        <v>68</v>
      </c>
      <c r="H1124" t="s">
        <v>70</v>
      </c>
      <c r="I1124" t="s">
        <v>219</v>
      </c>
      <c r="J1124">
        <v>11</v>
      </c>
      <c r="L1124">
        <v>11</v>
      </c>
      <c r="N1124">
        <f>Таблица1[[#This Row],[Часов на заказчика  в работе]]+Таблица1[[#This Row],[Часов на заказчика  дежурство]]</f>
        <v>11</v>
      </c>
      <c r="O11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4" s="9">
        <v>170000</v>
      </c>
      <c r="R1124" s="9"/>
      <c r="S1124" s="5">
        <v>1</v>
      </c>
      <c r="T11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табеле]])*S1124,0)</f>
        <v>5666.6666666666661</v>
      </c>
      <c r="U1124" s="5">
        <f>IF(Таблица1[[#This Row],[ТТН]]&gt;0,Таблица1[[#This Row],[Ставка за ТТН]]*Таблица1[[#This Row],[ТТН]],0)</f>
        <v>0</v>
      </c>
    </row>
    <row r="1125" spans="1:21" x14ac:dyDescent="0.25">
      <c r="A1125" t="s">
        <v>84</v>
      </c>
      <c r="B1125" s="24">
        <v>18</v>
      </c>
      <c r="C1125" t="s">
        <v>133</v>
      </c>
      <c r="D1125" t="s">
        <v>12</v>
      </c>
      <c r="E1125" t="s">
        <v>215</v>
      </c>
      <c r="F1125" t="s">
        <v>68</v>
      </c>
      <c r="H1125" t="s">
        <v>10</v>
      </c>
      <c r="I1125" t="s">
        <v>219</v>
      </c>
      <c r="J1125">
        <v>11</v>
      </c>
      <c r="L1125">
        <v>11</v>
      </c>
      <c r="N1125">
        <f>Таблица1[[#This Row],[Часов на заказчика  в работе]]+Таблица1[[#This Row],[Часов на заказчика  дежурство]]</f>
        <v>11</v>
      </c>
      <c r="O11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5" s="9">
        <v>170000</v>
      </c>
      <c r="R1125" s="9"/>
      <c r="S1125" s="5">
        <v>1</v>
      </c>
      <c r="T11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табеле]])*S1125,0)</f>
        <v>5666.6666666666661</v>
      </c>
      <c r="U1125" s="5">
        <f>IF(Таблица1[[#This Row],[ТТН]]&gt;0,Таблица1[[#This Row],[Ставка за ТТН]]*Таблица1[[#This Row],[ТТН]],0)</f>
        <v>0</v>
      </c>
    </row>
    <row r="1126" spans="1:21" x14ac:dyDescent="0.25">
      <c r="A1126" t="s">
        <v>84</v>
      </c>
      <c r="B1126" s="24">
        <v>19</v>
      </c>
      <c r="C1126" t="s">
        <v>133</v>
      </c>
      <c r="D1126" t="s">
        <v>12</v>
      </c>
      <c r="E1126" t="s">
        <v>215</v>
      </c>
      <c r="F1126" t="s">
        <v>68</v>
      </c>
      <c r="H1126" t="s">
        <v>10</v>
      </c>
      <c r="I1126" t="s">
        <v>219</v>
      </c>
      <c r="J1126">
        <v>11</v>
      </c>
      <c r="L1126">
        <v>11</v>
      </c>
      <c r="N1126">
        <f>Таблица1[[#This Row],[Часов на заказчика  в работе]]+Таблица1[[#This Row],[Часов на заказчика  дежурство]]</f>
        <v>11</v>
      </c>
      <c r="O11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6" s="9">
        <v>170000</v>
      </c>
      <c r="R1126" s="9"/>
      <c r="S1126" s="5">
        <v>1</v>
      </c>
      <c r="T11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табеле]])*S1126,0)</f>
        <v>5666.6666666666661</v>
      </c>
      <c r="U1126" s="5">
        <f>IF(Таблица1[[#This Row],[ТТН]]&gt;0,Таблица1[[#This Row],[Ставка за ТТН]]*Таблица1[[#This Row],[ТТН]],0)</f>
        <v>0</v>
      </c>
    </row>
    <row r="1127" spans="1:21" x14ac:dyDescent="0.25">
      <c r="A1127" t="s">
        <v>84</v>
      </c>
      <c r="B1127" s="24">
        <v>20</v>
      </c>
      <c r="C1127" t="s">
        <v>133</v>
      </c>
      <c r="D1127" t="s">
        <v>12</v>
      </c>
      <c r="E1127" t="s">
        <v>215</v>
      </c>
      <c r="F1127" t="s">
        <v>68</v>
      </c>
      <c r="H1127" t="s">
        <v>10</v>
      </c>
      <c r="I1127" t="s">
        <v>219</v>
      </c>
      <c r="J1127">
        <v>16</v>
      </c>
      <c r="L1127">
        <v>16</v>
      </c>
      <c r="N1127">
        <f>Таблица1[[#This Row],[Часов на заказчика  в работе]]+Таблица1[[#This Row],[Часов на заказчика  дежурство]]</f>
        <v>16</v>
      </c>
      <c r="O11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7" s="9">
        <v>170000</v>
      </c>
      <c r="R1127" s="9"/>
      <c r="S1127" s="5">
        <v>1</v>
      </c>
      <c r="T11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табеле]])*S1127,0)</f>
        <v>8242.424242424242</v>
      </c>
      <c r="U1127" s="5">
        <f>IF(Таблица1[[#This Row],[ТТН]]&gt;0,Таблица1[[#This Row],[Ставка за ТТН]]*Таблица1[[#This Row],[ТТН]],0)</f>
        <v>0</v>
      </c>
    </row>
    <row r="1128" spans="1:21" x14ac:dyDescent="0.25">
      <c r="A1128" t="s">
        <v>84</v>
      </c>
      <c r="B1128" s="24">
        <v>21</v>
      </c>
      <c r="C1128" t="s">
        <v>133</v>
      </c>
      <c r="D1128" t="s">
        <v>12</v>
      </c>
      <c r="E1128" t="s">
        <v>215</v>
      </c>
      <c r="F1128" t="s">
        <v>68</v>
      </c>
      <c r="H1128" t="s">
        <v>10</v>
      </c>
      <c r="I1128" t="s">
        <v>219</v>
      </c>
      <c r="J1128">
        <v>11</v>
      </c>
      <c r="L1128">
        <v>11</v>
      </c>
      <c r="N1128">
        <f>Таблица1[[#This Row],[Часов на заказчика  в работе]]+Таблица1[[#This Row],[Часов на заказчика  дежурство]]</f>
        <v>11</v>
      </c>
      <c r="O11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8" s="9">
        <v>170000</v>
      </c>
      <c r="R1128" s="9"/>
      <c r="S1128" s="5">
        <v>1</v>
      </c>
      <c r="T11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табеле]])*S1128,0)</f>
        <v>5666.6666666666661</v>
      </c>
      <c r="U1128" s="5">
        <f>IF(Таблица1[[#This Row],[ТТН]]&gt;0,Таблица1[[#This Row],[Ставка за ТТН]]*Таблица1[[#This Row],[ТТН]],0)</f>
        <v>0</v>
      </c>
    </row>
    <row r="1129" spans="1:21" x14ac:dyDescent="0.25">
      <c r="A1129" t="s">
        <v>84</v>
      </c>
      <c r="B1129" s="24">
        <v>22</v>
      </c>
      <c r="C1129" t="s">
        <v>133</v>
      </c>
      <c r="D1129" t="s">
        <v>12</v>
      </c>
      <c r="E1129" t="s">
        <v>215</v>
      </c>
      <c r="F1129" t="s">
        <v>68</v>
      </c>
      <c r="H1129" t="s">
        <v>10</v>
      </c>
      <c r="I1129" t="s">
        <v>219</v>
      </c>
      <c r="J1129">
        <v>11</v>
      </c>
      <c r="L1129">
        <v>11</v>
      </c>
      <c r="N1129">
        <f>Таблица1[[#This Row],[Часов на заказчика  в работе]]+Таблица1[[#This Row],[Часов на заказчика  дежурство]]</f>
        <v>11</v>
      </c>
      <c r="O11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29" s="9">
        <v>170000</v>
      </c>
      <c r="R1129" s="9"/>
      <c r="S1129" s="5">
        <v>1</v>
      </c>
      <c r="T11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табеле]])*S1129,0)</f>
        <v>5666.6666666666661</v>
      </c>
      <c r="U1129" s="5">
        <f>IF(Таблица1[[#This Row],[ТТН]]&gt;0,Таблица1[[#This Row],[Ставка за ТТН]]*Таблица1[[#This Row],[ТТН]],0)</f>
        <v>0</v>
      </c>
    </row>
    <row r="1130" spans="1:21" x14ac:dyDescent="0.25">
      <c r="A1130" t="s">
        <v>84</v>
      </c>
      <c r="B1130" s="24">
        <v>22</v>
      </c>
      <c r="C1130" t="s">
        <v>133</v>
      </c>
      <c r="D1130" t="s">
        <v>12</v>
      </c>
      <c r="E1130" t="s">
        <v>215</v>
      </c>
      <c r="F1130" t="s">
        <v>68</v>
      </c>
      <c r="H1130" t="s">
        <v>70</v>
      </c>
      <c r="I1130" t="s">
        <v>219</v>
      </c>
      <c r="J1130">
        <v>11</v>
      </c>
      <c r="L1130">
        <v>11</v>
      </c>
      <c r="N1130">
        <f>Таблица1[[#This Row],[Часов на заказчика  в работе]]+Таблица1[[#This Row],[Часов на заказчика  дежурство]]</f>
        <v>11</v>
      </c>
      <c r="O11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0" s="9">
        <v>170000</v>
      </c>
      <c r="R1130" s="9"/>
      <c r="S1130" s="5">
        <v>1</v>
      </c>
      <c r="T11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табеле]])*S1130,0)</f>
        <v>5666.6666666666661</v>
      </c>
      <c r="U1130" s="5">
        <f>IF(Таблица1[[#This Row],[ТТН]]&gt;0,Таблица1[[#This Row],[Ставка за ТТН]]*Таблица1[[#This Row],[ТТН]],0)</f>
        <v>0</v>
      </c>
    </row>
    <row r="1131" spans="1:21" x14ac:dyDescent="0.25">
      <c r="A1131" t="s">
        <v>84</v>
      </c>
      <c r="B1131" s="24">
        <v>23</v>
      </c>
      <c r="C1131" t="s">
        <v>133</v>
      </c>
      <c r="D1131" t="s">
        <v>12</v>
      </c>
      <c r="E1131" t="s">
        <v>215</v>
      </c>
      <c r="F1131" t="s">
        <v>68</v>
      </c>
      <c r="H1131" t="s">
        <v>10</v>
      </c>
      <c r="I1131" t="s">
        <v>219</v>
      </c>
      <c r="J1131">
        <v>22</v>
      </c>
      <c r="L1131">
        <v>22</v>
      </c>
      <c r="N1131">
        <f>Таблица1[[#This Row],[Часов на заказчика  в работе]]+Таблица1[[#This Row],[Часов на заказчика  дежурство]]</f>
        <v>22</v>
      </c>
      <c r="O11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1" s="9">
        <v>170000</v>
      </c>
      <c r="R1131" s="9"/>
      <c r="S1131" s="5">
        <v>1</v>
      </c>
      <c r="T11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табеле]])*S1131,0)</f>
        <v>11333.333333333332</v>
      </c>
      <c r="U1131" s="5">
        <f>IF(Таблица1[[#This Row],[ТТН]]&gt;0,Таблица1[[#This Row],[Ставка за ТТН]]*Таблица1[[#This Row],[ТТН]],0)</f>
        <v>0</v>
      </c>
    </row>
    <row r="1132" spans="1:21" x14ac:dyDescent="0.25">
      <c r="A1132" t="s">
        <v>84</v>
      </c>
      <c r="B1132" s="24">
        <v>24</v>
      </c>
      <c r="C1132" t="s">
        <v>133</v>
      </c>
      <c r="D1132" t="s">
        <v>12</v>
      </c>
      <c r="E1132" t="s">
        <v>215</v>
      </c>
      <c r="F1132" t="s">
        <v>68</v>
      </c>
      <c r="H1132" t="s">
        <v>10</v>
      </c>
      <c r="I1132" t="s">
        <v>219</v>
      </c>
      <c r="J1132">
        <v>22</v>
      </c>
      <c r="L1132">
        <v>22</v>
      </c>
      <c r="N1132">
        <f>Таблица1[[#This Row],[Часов на заказчика  в работе]]+Таблица1[[#This Row],[Часов на заказчика  дежурство]]</f>
        <v>22</v>
      </c>
      <c r="O11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2" s="9">
        <v>170000</v>
      </c>
      <c r="R1132" s="9"/>
      <c r="S1132" s="5">
        <v>1</v>
      </c>
      <c r="T11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табеле]])*S1132,0)</f>
        <v>11333.333333333332</v>
      </c>
      <c r="U1132" s="5">
        <f>IF(Таблица1[[#This Row],[ТТН]]&gt;0,Таблица1[[#This Row],[Ставка за ТТН]]*Таблица1[[#This Row],[ТТН]],0)</f>
        <v>0</v>
      </c>
    </row>
    <row r="1133" spans="1:21" x14ac:dyDescent="0.25">
      <c r="A1133" t="s">
        <v>84</v>
      </c>
      <c r="B1133" s="24">
        <v>25</v>
      </c>
      <c r="C1133" t="s">
        <v>133</v>
      </c>
      <c r="D1133" t="s">
        <v>12</v>
      </c>
      <c r="E1133" t="s">
        <v>215</v>
      </c>
      <c r="F1133" t="s">
        <v>68</v>
      </c>
      <c r="H1133" t="s">
        <v>10</v>
      </c>
      <c r="I1133" t="s">
        <v>219</v>
      </c>
      <c r="J1133">
        <v>21</v>
      </c>
      <c r="L1133">
        <v>21</v>
      </c>
      <c r="N1133">
        <f>Таблица1[[#This Row],[Часов на заказчика  в работе]]+Таблица1[[#This Row],[Часов на заказчика  дежурство]]</f>
        <v>21</v>
      </c>
      <c r="O11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3" s="9">
        <v>170000</v>
      </c>
      <c r="R1133" s="9"/>
      <c r="S1133" s="5">
        <v>1</v>
      </c>
      <c r="T11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табеле]])*S1133,0)</f>
        <v>10818.181818181818</v>
      </c>
      <c r="U1133" s="5">
        <f>IF(Таблица1[[#This Row],[ТТН]]&gt;0,Таблица1[[#This Row],[Ставка за ТТН]]*Таблица1[[#This Row],[ТТН]],0)</f>
        <v>0</v>
      </c>
    </row>
    <row r="1134" spans="1:21" x14ac:dyDescent="0.25">
      <c r="A1134" t="s">
        <v>84</v>
      </c>
      <c r="B1134" s="24">
        <v>25</v>
      </c>
      <c r="C1134" t="s">
        <v>133</v>
      </c>
      <c r="D1134" t="s">
        <v>12</v>
      </c>
      <c r="E1134" t="s">
        <v>215</v>
      </c>
      <c r="F1134" t="s">
        <v>68</v>
      </c>
      <c r="H1134" t="s">
        <v>70</v>
      </c>
      <c r="I1134" t="s">
        <v>219</v>
      </c>
      <c r="J1134">
        <v>1</v>
      </c>
      <c r="L1134">
        <v>1</v>
      </c>
      <c r="N1134">
        <f>Таблица1[[#This Row],[Часов на заказчика  в работе]]+Таблица1[[#This Row],[Часов на заказчика  дежурство]]</f>
        <v>1</v>
      </c>
      <c r="O11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4" s="9">
        <v>170000</v>
      </c>
      <c r="R1134" s="9"/>
      <c r="S1134" s="5">
        <v>1</v>
      </c>
      <c r="T11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табеле]])*S1134,0)</f>
        <v>515.15151515151513</v>
      </c>
      <c r="U1134" s="5">
        <f>IF(Таблица1[[#This Row],[ТТН]]&gt;0,Таблица1[[#This Row],[Ставка за ТТН]]*Таблица1[[#This Row],[ТТН]],0)</f>
        <v>0</v>
      </c>
    </row>
    <row r="1135" spans="1:21" x14ac:dyDescent="0.25">
      <c r="A1135" t="s">
        <v>84</v>
      </c>
      <c r="B1135" s="24">
        <v>26</v>
      </c>
      <c r="C1135" t="s">
        <v>133</v>
      </c>
      <c r="D1135" t="s">
        <v>12</v>
      </c>
      <c r="E1135" t="s">
        <v>215</v>
      </c>
      <c r="F1135" t="s">
        <v>68</v>
      </c>
      <c r="H1135" t="s">
        <v>10</v>
      </c>
      <c r="I1135" t="s">
        <v>219</v>
      </c>
      <c r="J1135">
        <v>22</v>
      </c>
      <c r="L1135">
        <v>22</v>
      </c>
      <c r="N1135">
        <f>Таблица1[[#This Row],[Часов на заказчика  в работе]]+Таблица1[[#This Row],[Часов на заказчика  дежурство]]</f>
        <v>22</v>
      </c>
      <c r="O11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5" s="9">
        <v>170000</v>
      </c>
      <c r="R1135" s="9"/>
      <c r="S1135" s="5">
        <v>1</v>
      </c>
      <c r="T11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табеле]])*S1135,0)</f>
        <v>11333.333333333332</v>
      </c>
      <c r="U1135" s="5">
        <f>IF(Таблица1[[#This Row],[ТТН]]&gt;0,Таблица1[[#This Row],[Ставка за ТТН]]*Таблица1[[#This Row],[ТТН]],0)</f>
        <v>0</v>
      </c>
    </row>
    <row r="1136" spans="1:21" x14ac:dyDescent="0.25">
      <c r="A1136" t="s">
        <v>84</v>
      </c>
      <c r="B1136" s="24">
        <v>27</v>
      </c>
      <c r="C1136" t="s">
        <v>133</v>
      </c>
      <c r="D1136" t="s">
        <v>12</v>
      </c>
      <c r="E1136" t="s">
        <v>215</v>
      </c>
      <c r="F1136" t="s">
        <v>68</v>
      </c>
      <c r="H1136" t="s">
        <v>10</v>
      </c>
      <c r="I1136" t="s">
        <v>219</v>
      </c>
      <c r="J1136">
        <v>17</v>
      </c>
      <c r="L1136">
        <v>17</v>
      </c>
      <c r="N1136">
        <f>Таблица1[[#This Row],[Часов на заказчика  в работе]]+Таблица1[[#This Row],[Часов на заказчика  дежурство]]</f>
        <v>17</v>
      </c>
      <c r="O11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6" s="9">
        <v>170000</v>
      </c>
      <c r="R1136" s="9"/>
      <c r="S1136" s="5">
        <v>1</v>
      </c>
      <c r="T11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табеле]])*S1136,0)</f>
        <v>8757.575757575758</v>
      </c>
      <c r="U1136" s="5">
        <f>IF(Таблица1[[#This Row],[ТТН]]&gt;0,Таблица1[[#This Row],[Ставка за ТТН]]*Таблица1[[#This Row],[ТТН]],0)</f>
        <v>0</v>
      </c>
    </row>
    <row r="1137" spans="1:21" x14ac:dyDescent="0.25">
      <c r="A1137" t="s">
        <v>84</v>
      </c>
      <c r="B1137" s="24">
        <v>27</v>
      </c>
      <c r="C1137" t="s">
        <v>133</v>
      </c>
      <c r="D1137" t="s">
        <v>12</v>
      </c>
      <c r="E1137" t="s">
        <v>215</v>
      </c>
      <c r="F1137" t="s">
        <v>68</v>
      </c>
      <c r="H1137" t="s">
        <v>70</v>
      </c>
      <c r="I1137" t="s">
        <v>219</v>
      </c>
      <c r="J1137">
        <v>5</v>
      </c>
      <c r="L1137">
        <v>5</v>
      </c>
      <c r="N1137">
        <f>Таблица1[[#This Row],[Часов на заказчика  в работе]]+Таблица1[[#This Row],[Часов на заказчика  дежурство]]</f>
        <v>5</v>
      </c>
      <c r="O11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7" s="9">
        <v>170000</v>
      </c>
      <c r="R1137" s="9"/>
      <c r="S1137" s="5">
        <v>1</v>
      </c>
      <c r="T11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табеле]])*S1137,0)</f>
        <v>2575.7575757575755</v>
      </c>
      <c r="U1137" s="5">
        <f>IF(Таблица1[[#This Row],[ТТН]]&gt;0,Таблица1[[#This Row],[Ставка за ТТН]]*Таблица1[[#This Row],[ТТН]],0)</f>
        <v>0</v>
      </c>
    </row>
    <row r="1138" spans="1:21" x14ac:dyDescent="0.25">
      <c r="A1138" t="s">
        <v>84</v>
      </c>
      <c r="B1138" s="24">
        <v>28</v>
      </c>
      <c r="C1138" t="s">
        <v>133</v>
      </c>
      <c r="D1138" t="s">
        <v>12</v>
      </c>
      <c r="E1138" t="s">
        <v>215</v>
      </c>
      <c r="F1138" t="s">
        <v>68</v>
      </c>
      <c r="H1138" t="s">
        <v>10</v>
      </c>
      <c r="I1138" t="s">
        <v>219</v>
      </c>
      <c r="J1138">
        <v>22</v>
      </c>
      <c r="L1138">
        <v>22</v>
      </c>
      <c r="N1138">
        <f>Таблица1[[#This Row],[Часов на заказчика  в работе]]+Таблица1[[#This Row],[Часов на заказчика  дежурство]]</f>
        <v>22</v>
      </c>
      <c r="O11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8" s="9">
        <v>170000</v>
      </c>
      <c r="R1138" s="9"/>
      <c r="S1138" s="5">
        <v>1</v>
      </c>
      <c r="T11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табеле]])*S1138,0)</f>
        <v>11333.333333333332</v>
      </c>
      <c r="U1138" s="5">
        <f>IF(Таблица1[[#This Row],[ТТН]]&gt;0,Таблица1[[#This Row],[Ставка за ТТН]]*Таблица1[[#This Row],[ТТН]],0)</f>
        <v>0</v>
      </c>
    </row>
    <row r="1139" spans="1:21" x14ac:dyDescent="0.25">
      <c r="A1139" t="s">
        <v>84</v>
      </c>
      <c r="B1139" s="24">
        <v>29</v>
      </c>
      <c r="C1139" t="s">
        <v>133</v>
      </c>
      <c r="D1139" t="s">
        <v>12</v>
      </c>
      <c r="E1139" t="s">
        <v>215</v>
      </c>
      <c r="F1139" t="s">
        <v>68</v>
      </c>
      <c r="H1139" t="s">
        <v>10</v>
      </c>
      <c r="I1139" t="s">
        <v>219</v>
      </c>
      <c r="J1139">
        <v>22</v>
      </c>
      <c r="L1139">
        <v>22</v>
      </c>
      <c r="N1139">
        <f>Таблица1[[#This Row],[Часов на заказчика  в работе]]+Таблица1[[#This Row],[Часов на заказчика  дежурство]]</f>
        <v>22</v>
      </c>
      <c r="O11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39" s="9">
        <v>170000</v>
      </c>
      <c r="R1139" s="9"/>
      <c r="S1139" s="5">
        <v>1</v>
      </c>
      <c r="T11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табеле]])*S1139,0)</f>
        <v>11333.333333333332</v>
      </c>
      <c r="U1139" s="5">
        <f>IF(Таблица1[[#This Row],[ТТН]]&gt;0,Таблица1[[#This Row],[Ставка за ТТН]]*Таблица1[[#This Row],[ТТН]],0)</f>
        <v>0</v>
      </c>
    </row>
    <row r="1140" spans="1:21" x14ac:dyDescent="0.25">
      <c r="A1140" t="s">
        <v>84</v>
      </c>
      <c r="B1140" s="24">
        <v>30</v>
      </c>
      <c r="C1140" t="s">
        <v>134</v>
      </c>
      <c r="D1140" t="s">
        <v>12</v>
      </c>
      <c r="E1140" t="s">
        <v>215</v>
      </c>
      <c r="F1140" t="s">
        <v>68</v>
      </c>
      <c r="H1140" t="s">
        <v>10</v>
      </c>
      <c r="I1140" t="s">
        <v>219</v>
      </c>
      <c r="J1140">
        <v>22</v>
      </c>
      <c r="L1140">
        <v>22</v>
      </c>
      <c r="N1140">
        <f>Таблица1[[#This Row],[Часов на заказчика  в работе]]+Таблица1[[#This Row],[Часов на заказчика  дежурство]]</f>
        <v>22</v>
      </c>
      <c r="O11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0" s="9">
        <v>170000</v>
      </c>
      <c r="R1140" s="9"/>
      <c r="S1140" s="5">
        <v>1</v>
      </c>
      <c r="T11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табеле]])*S1140,0)</f>
        <v>11333.333333333332</v>
      </c>
      <c r="U1140" s="5">
        <f>IF(Таблица1[[#This Row],[ТТН]]&gt;0,Таблица1[[#This Row],[Ставка за ТТН]]*Таблица1[[#This Row],[ТТН]],0)</f>
        <v>0</v>
      </c>
    </row>
    <row r="1141" spans="1:21" x14ac:dyDescent="0.25">
      <c r="A1141" t="s">
        <v>84</v>
      </c>
      <c r="B1141" s="24">
        <v>1</v>
      </c>
      <c r="C1141" t="s">
        <v>134</v>
      </c>
      <c r="D1141" t="s">
        <v>12</v>
      </c>
      <c r="E1141" t="s">
        <v>215</v>
      </c>
      <c r="F1141" t="s">
        <v>68</v>
      </c>
      <c r="H1141" t="s">
        <v>29</v>
      </c>
      <c r="I1141" t="s">
        <v>217</v>
      </c>
      <c r="J1141">
        <v>8</v>
      </c>
      <c r="N1141">
        <f>Таблица1[[#This Row],[Часов на заказчика  в работе]]+Таблица1[[#This Row],[Часов на заказчика  дежурство]]</f>
        <v>0</v>
      </c>
      <c r="O11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1" s="9">
        <v>170000</v>
      </c>
      <c r="R1141" s="9"/>
      <c r="S1141" s="5">
        <v>1</v>
      </c>
      <c r="T11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табеле]])*S1141,0)</f>
        <v>0</v>
      </c>
      <c r="U1141" s="5">
        <f>IF(Таблица1[[#This Row],[ТТН]]&gt;0,Таблица1[[#This Row],[Ставка за ТТН]]*Таблица1[[#This Row],[ТТН]],0)</f>
        <v>0</v>
      </c>
    </row>
    <row r="1142" spans="1:21" x14ac:dyDescent="0.25">
      <c r="A1142" t="s">
        <v>84</v>
      </c>
      <c r="B1142" s="24">
        <v>2</v>
      </c>
      <c r="C1142" t="s">
        <v>134</v>
      </c>
      <c r="D1142" t="s">
        <v>12</v>
      </c>
      <c r="E1142" t="s">
        <v>215</v>
      </c>
      <c r="F1142" t="s">
        <v>68</v>
      </c>
      <c r="H1142" t="s">
        <v>29</v>
      </c>
      <c r="I1142" t="s">
        <v>217</v>
      </c>
      <c r="J1142">
        <v>8</v>
      </c>
      <c r="N1142">
        <f>Таблица1[[#This Row],[Часов на заказчика  в работе]]+Таблица1[[#This Row],[Часов на заказчика  дежурство]]</f>
        <v>0</v>
      </c>
      <c r="O11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2" s="9">
        <v>170000</v>
      </c>
      <c r="R1142" s="9"/>
      <c r="S1142" s="5">
        <v>1</v>
      </c>
      <c r="T11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табеле]])*S1142,0)</f>
        <v>0</v>
      </c>
      <c r="U1142" s="5">
        <f>IF(Таблица1[[#This Row],[ТТН]]&gt;0,Таблица1[[#This Row],[Ставка за ТТН]]*Таблица1[[#This Row],[ТТН]],0)</f>
        <v>0</v>
      </c>
    </row>
    <row r="1143" spans="1:21" x14ac:dyDescent="0.25">
      <c r="A1143" t="s">
        <v>84</v>
      </c>
      <c r="B1143" s="24">
        <v>3</v>
      </c>
      <c r="C1143" t="s">
        <v>134</v>
      </c>
      <c r="D1143" t="s">
        <v>12</v>
      </c>
      <c r="E1143" t="s">
        <v>215</v>
      </c>
      <c r="F1143" t="s">
        <v>68</v>
      </c>
      <c r="H1143" t="s">
        <v>29</v>
      </c>
      <c r="I1143" t="s">
        <v>217</v>
      </c>
      <c r="J1143">
        <v>8</v>
      </c>
      <c r="N1143">
        <f>Таблица1[[#This Row],[Часов на заказчика  в работе]]+Таблица1[[#This Row],[Часов на заказчика  дежурство]]</f>
        <v>0</v>
      </c>
      <c r="O11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3" s="9">
        <v>170000</v>
      </c>
      <c r="R1143" s="9"/>
      <c r="S1143" s="5">
        <v>1</v>
      </c>
      <c r="T11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табеле]])*S1143,0)</f>
        <v>0</v>
      </c>
      <c r="U1143" s="5">
        <f>IF(Таблица1[[#This Row],[ТТН]]&gt;0,Таблица1[[#This Row],[Ставка за ТТН]]*Таблица1[[#This Row],[ТТН]],0)</f>
        <v>0</v>
      </c>
    </row>
    <row r="1144" spans="1:21" x14ac:dyDescent="0.25">
      <c r="A1144" t="s">
        <v>84</v>
      </c>
      <c r="B1144" s="24">
        <v>4</v>
      </c>
      <c r="C1144" t="s">
        <v>134</v>
      </c>
      <c r="D1144" t="s">
        <v>12</v>
      </c>
      <c r="E1144" t="s">
        <v>215</v>
      </c>
      <c r="F1144" t="s">
        <v>68</v>
      </c>
      <c r="H1144" t="s">
        <v>29</v>
      </c>
      <c r="I1144" t="s">
        <v>217</v>
      </c>
      <c r="J1144">
        <v>8</v>
      </c>
      <c r="N1144">
        <f>Таблица1[[#This Row],[Часов на заказчика  в работе]]+Таблица1[[#This Row],[Часов на заказчика  дежурство]]</f>
        <v>0</v>
      </c>
      <c r="O11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4" s="9">
        <v>170000</v>
      </c>
      <c r="R1144" s="9"/>
      <c r="S1144" s="5">
        <v>1</v>
      </c>
      <c r="T11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табеле]])*S1144,0)</f>
        <v>0</v>
      </c>
      <c r="U1144" s="5">
        <f>IF(Таблица1[[#This Row],[ТТН]]&gt;0,Таблица1[[#This Row],[Ставка за ТТН]]*Таблица1[[#This Row],[ТТН]],0)</f>
        <v>0</v>
      </c>
    </row>
    <row r="1145" spans="1:21" x14ac:dyDescent="0.25">
      <c r="A1145" t="s">
        <v>84</v>
      </c>
      <c r="B1145" s="24">
        <v>5</v>
      </c>
      <c r="C1145" t="s">
        <v>134</v>
      </c>
      <c r="D1145" t="s">
        <v>12</v>
      </c>
      <c r="E1145" t="s">
        <v>215</v>
      </c>
      <c r="F1145" t="s">
        <v>68</v>
      </c>
      <c r="H1145" t="s">
        <v>29</v>
      </c>
      <c r="I1145" t="s">
        <v>217</v>
      </c>
      <c r="J1145">
        <v>8</v>
      </c>
      <c r="N1145">
        <f>Таблица1[[#This Row],[Часов на заказчика  в работе]]+Таблица1[[#This Row],[Часов на заказчика  дежурство]]</f>
        <v>0</v>
      </c>
      <c r="O11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5" s="9">
        <v>170000</v>
      </c>
      <c r="R1145" s="9"/>
      <c r="S1145" s="5">
        <v>1</v>
      </c>
      <c r="T11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табеле]])*S1145,0)</f>
        <v>0</v>
      </c>
      <c r="U1145" s="5">
        <f>IF(Таблица1[[#This Row],[ТТН]]&gt;0,Таблица1[[#This Row],[Ставка за ТТН]]*Таблица1[[#This Row],[ТТН]],0)</f>
        <v>0</v>
      </c>
    </row>
    <row r="1146" spans="1:21" x14ac:dyDescent="0.25">
      <c r="A1146" t="s">
        <v>84</v>
      </c>
      <c r="B1146" s="24">
        <v>6</v>
      </c>
      <c r="C1146" t="s">
        <v>134</v>
      </c>
      <c r="D1146" t="s">
        <v>12</v>
      </c>
      <c r="E1146" t="s">
        <v>215</v>
      </c>
      <c r="F1146" t="s">
        <v>68</v>
      </c>
      <c r="H1146" t="s">
        <v>30</v>
      </c>
      <c r="I1146" t="s">
        <v>217</v>
      </c>
      <c r="J1146">
        <v>1</v>
      </c>
      <c r="N1146">
        <f>Таблица1[[#This Row],[Часов на заказчика  в работе]]+Таблица1[[#This Row],[Часов на заказчика  дежурство]]</f>
        <v>0</v>
      </c>
      <c r="O11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6" s="9">
        <v>170000</v>
      </c>
      <c r="R1146" s="9"/>
      <c r="S1146" s="5">
        <v>1</v>
      </c>
      <c r="T11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табеле]])*S1146,0)</f>
        <v>0</v>
      </c>
      <c r="U1146" s="5">
        <f>IF(Таблица1[[#This Row],[ТТН]]&gt;0,Таблица1[[#This Row],[Ставка за ТТН]]*Таблица1[[#This Row],[ТТН]],0)</f>
        <v>0</v>
      </c>
    </row>
    <row r="1147" spans="1:21" x14ac:dyDescent="0.25">
      <c r="A1147" t="s">
        <v>84</v>
      </c>
      <c r="B1147" s="24">
        <v>7</v>
      </c>
      <c r="C1147" t="s">
        <v>134</v>
      </c>
      <c r="D1147" t="s">
        <v>12</v>
      </c>
      <c r="E1147" t="s">
        <v>215</v>
      </c>
      <c r="F1147" t="s">
        <v>68</v>
      </c>
      <c r="H1147" t="s">
        <v>30</v>
      </c>
      <c r="I1147" t="s">
        <v>217</v>
      </c>
      <c r="J1147">
        <v>1</v>
      </c>
      <c r="N1147">
        <f>Таблица1[[#This Row],[Часов на заказчика  в работе]]+Таблица1[[#This Row],[Часов на заказчика  дежурство]]</f>
        <v>0</v>
      </c>
      <c r="O11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7" s="9">
        <v>170000</v>
      </c>
      <c r="R1147" s="9"/>
      <c r="S1147" s="5">
        <v>1</v>
      </c>
      <c r="T11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табеле]])*S1147,0)</f>
        <v>0</v>
      </c>
      <c r="U1147" s="5">
        <f>IF(Таблица1[[#This Row],[ТТН]]&gt;0,Таблица1[[#This Row],[Ставка за ТТН]]*Таблица1[[#This Row],[ТТН]],0)</f>
        <v>0</v>
      </c>
    </row>
    <row r="1148" spans="1:21" x14ac:dyDescent="0.25">
      <c r="A1148" t="s">
        <v>84</v>
      </c>
      <c r="B1148" s="24">
        <v>8</v>
      </c>
      <c r="C1148" t="s">
        <v>134</v>
      </c>
      <c r="D1148" t="s">
        <v>12</v>
      </c>
      <c r="E1148" t="s">
        <v>215</v>
      </c>
      <c r="F1148" t="s">
        <v>68</v>
      </c>
      <c r="H1148" t="s">
        <v>29</v>
      </c>
      <c r="I1148" t="s">
        <v>217</v>
      </c>
      <c r="J1148">
        <v>8</v>
      </c>
      <c r="N1148">
        <f>Таблица1[[#This Row],[Часов на заказчика  в работе]]+Таблица1[[#This Row],[Часов на заказчика  дежурство]]</f>
        <v>0</v>
      </c>
      <c r="O11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8" s="9">
        <v>170000</v>
      </c>
      <c r="R1148" s="9"/>
      <c r="S1148" s="5">
        <v>1</v>
      </c>
      <c r="T11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табеле]])*S1148,0)</f>
        <v>0</v>
      </c>
      <c r="U1148" s="5">
        <f>IF(Таблица1[[#This Row],[ТТН]]&gt;0,Таблица1[[#This Row],[Ставка за ТТН]]*Таблица1[[#This Row],[ТТН]],0)</f>
        <v>0</v>
      </c>
    </row>
    <row r="1149" spans="1:21" x14ac:dyDescent="0.25">
      <c r="A1149" t="s">
        <v>84</v>
      </c>
      <c r="B1149" s="24">
        <v>9</v>
      </c>
      <c r="C1149" t="s">
        <v>134</v>
      </c>
      <c r="D1149" t="s">
        <v>12</v>
      </c>
      <c r="E1149" t="s">
        <v>215</v>
      </c>
      <c r="F1149" t="s">
        <v>68</v>
      </c>
      <c r="H1149" t="s">
        <v>29</v>
      </c>
      <c r="I1149" t="s">
        <v>217</v>
      </c>
      <c r="J1149">
        <v>8</v>
      </c>
      <c r="N1149">
        <f>Таблица1[[#This Row],[Часов на заказчика  в работе]]+Таблица1[[#This Row],[Часов на заказчика  дежурство]]</f>
        <v>0</v>
      </c>
      <c r="O11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49" s="9">
        <v>170000</v>
      </c>
      <c r="R1149" s="9"/>
      <c r="S1149" s="5">
        <v>1</v>
      </c>
      <c r="T11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табеле]])*S1149,0)</f>
        <v>0</v>
      </c>
      <c r="U1149" s="5">
        <f>IF(Таблица1[[#This Row],[ТТН]]&gt;0,Таблица1[[#This Row],[Ставка за ТТН]]*Таблица1[[#This Row],[ТТН]],0)</f>
        <v>0</v>
      </c>
    </row>
    <row r="1150" spans="1:21" x14ac:dyDescent="0.25">
      <c r="A1150" t="s">
        <v>84</v>
      </c>
      <c r="B1150" s="24">
        <v>10</v>
      </c>
      <c r="C1150" t="s">
        <v>134</v>
      </c>
      <c r="D1150" t="s">
        <v>12</v>
      </c>
      <c r="E1150" t="s">
        <v>215</v>
      </c>
      <c r="F1150" t="s">
        <v>68</v>
      </c>
      <c r="H1150" t="s">
        <v>29</v>
      </c>
      <c r="I1150" t="s">
        <v>217</v>
      </c>
      <c r="J1150">
        <v>8</v>
      </c>
      <c r="N1150">
        <f>Таблица1[[#This Row],[Часов на заказчика  в работе]]+Таблица1[[#This Row],[Часов на заказчика  дежурство]]</f>
        <v>0</v>
      </c>
      <c r="O11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0" s="9">
        <v>170000</v>
      </c>
      <c r="R1150" s="9"/>
      <c r="S1150" s="5">
        <v>1</v>
      </c>
      <c r="T11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табеле]])*S1150,0)</f>
        <v>0</v>
      </c>
      <c r="U1150" s="5">
        <f>IF(Таблица1[[#This Row],[ТТН]]&gt;0,Таблица1[[#This Row],[Ставка за ТТН]]*Таблица1[[#This Row],[ТТН]],0)</f>
        <v>0</v>
      </c>
    </row>
    <row r="1151" spans="1:21" x14ac:dyDescent="0.25">
      <c r="A1151" t="s">
        <v>84</v>
      </c>
      <c r="B1151" s="24">
        <v>11</v>
      </c>
      <c r="C1151" t="s">
        <v>134</v>
      </c>
      <c r="D1151" t="s">
        <v>12</v>
      </c>
      <c r="E1151" t="s">
        <v>215</v>
      </c>
      <c r="F1151" t="s">
        <v>68</v>
      </c>
      <c r="H1151" t="s">
        <v>29</v>
      </c>
      <c r="I1151" t="s">
        <v>217</v>
      </c>
      <c r="J1151">
        <v>8</v>
      </c>
      <c r="N1151">
        <f>Таблица1[[#This Row],[Часов на заказчика  в работе]]+Таблица1[[#This Row],[Часов на заказчика  дежурство]]</f>
        <v>0</v>
      </c>
      <c r="O11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1" s="9">
        <v>170000</v>
      </c>
      <c r="R1151" s="9"/>
      <c r="S1151" s="5">
        <v>1</v>
      </c>
      <c r="T11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табеле]])*S1151,0)</f>
        <v>0</v>
      </c>
      <c r="U1151" s="5">
        <f>IF(Таблица1[[#This Row],[ТТН]]&gt;0,Таблица1[[#This Row],[Ставка за ТТН]]*Таблица1[[#This Row],[ТТН]],0)</f>
        <v>0</v>
      </c>
    </row>
    <row r="1152" spans="1:21" x14ac:dyDescent="0.25">
      <c r="A1152" t="s">
        <v>84</v>
      </c>
      <c r="B1152" s="24">
        <v>12</v>
      </c>
      <c r="C1152" t="s">
        <v>134</v>
      </c>
      <c r="D1152" t="s">
        <v>12</v>
      </c>
      <c r="E1152" t="s">
        <v>215</v>
      </c>
      <c r="F1152" t="s">
        <v>68</v>
      </c>
      <c r="H1152" t="s">
        <v>29</v>
      </c>
      <c r="I1152" t="s">
        <v>217</v>
      </c>
      <c r="J1152">
        <v>8</v>
      </c>
      <c r="N1152">
        <f>Таблица1[[#This Row],[Часов на заказчика  в работе]]+Таблица1[[#This Row],[Часов на заказчика  дежурство]]</f>
        <v>0</v>
      </c>
      <c r="O11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2" s="9">
        <v>170000</v>
      </c>
      <c r="R1152" s="9"/>
      <c r="S1152" s="5">
        <v>1</v>
      </c>
      <c r="T11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табеле]])*S1152,0)</f>
        <v>0</v>
      </c>
      <c r="U1152" s="5">
        <f>IF(Таблица1[[#This Row],[ТТН]]&gt;0,Таблица1[[#This Row],[Ставка за ТТН]]*Таблица1[[#This Row],[ТТН]],0)</f>
        <v>0</v>
      </c>
    </row>
    <row r="1153" spans="1:21" x14ac:dyDescent="0.25">
      <c r="A1153" t="s">
        <v>84</v>
      </c>
      <c r="B1153" s="24">
        <v>13</v>
      </c>
      <c r="C1153" t="s">
        <v>134</v>
      </c>
      <c r="D1153" t="s">
        <v>12</v>
      </c>
      <c r="E1153" t="s">
        <v>215</v>
      </c>
      <c r="F1153" t="s">
        <v>68</v>
      </c>
      <c r="H1153" t="s">
        <v>30</v>
      </c>
      <c r="I1153" t="s">
        <v>217</v>
      </c>
      <c r="J1153">
        <v>1</v>
      </c>
      <c r="N1153">
        <f>Таблица1[[#This Row],[Часов на заказчика  в работе]]+Таблица1[[#This Row],[Часов на заказчика  дежурство]]</f>
        <v>0</v>
      </c>
      <c r="O11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3" s="9">
        <v>170000</v>
      </c>
      <c r="R1153" s="9"/>
      <c r="S1153" s="5">
        <v>1</v>
      </c>
      <c r="T11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табеле]])*S1153,0)</f>
        <v>0</v>
      </c>
      <c r="U1153" s="5">
        <f>IF(Таблица1[[#This Row],[ТТН]]&gt;0,Таблица1[[#This Row],[Ставка за ТТН]]*Таблица1[[#This Row],[ТТН]],0)</f>
        <v>0</v>
      </c>
    </row>
    <row r="1154" spans="1:21" x14ac:dyDescent="0.25">
      <c r="A1154" t="s">
        <v>84</v>
      </c>
      <c r="B1154" s="24">
        <v>14</v>
      </c>
      <c r="C1154" t="s">
        <v>134</v>
      </c>
      <c r="D1154" t="s">
        <v>12</v>
      </c>
      <c r="E1154" t="s">
        <v>215</v>
      </c>
      <c r="F1154" t="s">
        <v>68</v>
      </c>
      <c r="H1154" t="s">
        <v>30</v>
      </c>
      <c r="I1154" t="s">
        <v>217</v>
      </c>
      <c r="J1154">
        <v>1</v>
      </c>
      <c r="N1154">
        <f>Таблица1[[#This Row],[Часов на заказчика  в работе]]+Таблица1[[#This Row],[Часов на заказчика  дежурство]]</f>
        <v>0</v>
      </c>
      <c r="O11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4" s="9">
        <v>170000</v>
      </c>
      <c r="R1154" s="9"/>
      <c r="S1154" s="5">
        <v>1</v>
      </c>
      <c r="T11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табеле]])*S1154,0)</f>
        <v>0</v>
      </c>
      <c r="U1154" s="5">
        <f>IF(Таблица1[[#This Row],[ТТН]]&gt;0,Таблица1[[#This Row],[Ставка за ТТН]]*Таблица1[[#This Row],[ТТН]],0)</f>
        <v>0</v>
      </c>
    </row>
    <row r="1155" spans="1:21" x14ac:dyDescent="0.25">
      <c r="A1155" t="s">
        <v>84</v>
      </c>
      <c r="B1155" s="24">
        <v>15</v>
      </c>
      <c r="C1155" t="s">
        <v>134</v>
      </c>
      <c r="D1155" t="s">
        <v>12</v>
      </c>
      <c r="E1155" t="s">
        <v>215</v>
      </c>
      <c r="F1155" t="s">
        <v>68</v>
      </c>
      <c r="H1155" t="s">
        <v>29</v>
      </c>
      <c r="I1155" t="s">
        <v>217</v>
      </c>
      <c r="J1155">
        <v>8</v>
      </c>
      <c r="N1155">
        <f>Таблица1[[#This Row],[Часов на заказчика  в работе]]+Таблица1[[#This Row],[Часов на заказчика  дежурство]]</f>
        <v>0</v>
      </c>
      <c r="O11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5" s="9">
        <v>170000</v>
      </c>
      <c r="R1155" s="9"/>
      <c r="S1155" s="5">
        <v>1</v>
      </c>
      <c r="T11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табеле]])*S1155,0)</f>
        <v>0</v>
      </c>
      <c r="U1155" s="5">
        <f>IF(Таблица1[[#This Row],[ТТН]]&gt;0,Таблица1[[#This Row],[Ставка за ТТН]]*Таблица1[[#This Row],[ТТН]],0)</f>
        <v>0</v>
      </c>
    </row>
    <row r="1156" spans="1:21" x14ac:dyDescent="0.25">
      <c r="A1156" t="s">
        <v>84</v>
      </c>
      <c r="B1156" s="24">
        <v>16</v>
      </c>
      <c r="C1156" t="s">
        <v>134</v>
      </c>
      <c r="D1156" t="s">
        <v>12</v>
      </c>
      <c r="E1156" t="s">
        <v>215</v>
      </c>
      <c r="F1156" t="s">
        <v>68</v>
      </c>
      <c r="H1156" t="s">
        <v>29</v>
      </c>
      <c r="I1156" t="s">
        <v>217</v>
      </c>
      <c r="J1156">
        <v>8</v>
      </c>
      <c r="N1156">
        <f>Таблица1[[#This Row],[Часов на заказчика  в работе]]+Таблица1[[#This Row],[Часов на заказчика  дежурство]]</f>
        <v>0</v>
      </c>
      <c r="O11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6" s="9">
        <v>170000</v>
      </c>
      <c r="R1156" s="9"/>
      <c r="S1156" s="5">
        <v>1</v>
      </c>
      <c r="T11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табеле]])*S1156,0)</f>
        <v>0</v>
      </c>
      <c r="U1156" s="5">
        <f>IF(Таблица1[[#This Row],[ТТН]]&gt;0,Таблица1[[#This Row],[Ставка за ТТН]]*Таблица1[[#This Row],[ТТН]],0)</f>
        <v>0</v>
      </c>
    </row>
    <row r="1157" spans="1:21" x14ac:dyDescent="0.25">
      <c r="A1157" t="s">
        <v>84</v>
      </c>
      <c r="B1157" s="24">
        <v>17</v>
      </c>
      <c r="C1157" t="s">
        <v>134</v>
      </c>
      <c r="D1157" t="s">
        <v>12</v>
      </c>
      <c r="E1157" t="s">
        <v>215</v>
      </c>
      <c r="F1157" t="s">
        <v>68</v>
      </c>
      <c r="H1157" t="s">
        <v>29</v>
      </c>
      <c r="I1157" t="s">
        <v>217</v>
      </c>
      <c r="J1157">
        <v>8</v>
      </c>
      <c r="N1157">
        <f>Таблица1[[#This Row],[Часов на заказчика  в работе]]+Таблица1[[#This Row],[Часов на заказчика  дежурство]]</f>
        <v>0</v>
      </c>
      <c r="O11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7" s="9">
        <v>170000</v>
      </c>
      <c r="R1157" s="9"/>
      <c r="S1157" s="5">
        <v>1</v>
      </c>
      <c r="T11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табеле]])*S1157,0)</f>
        <v>0</v>
      </c>
      <c r="U1157" s="5">
        <f>IF(Таблица1[[#This Row],[ТТН]]&gt;0,Таблица1[[#This Row],[Ставка за ТТН]]*Таблица1[[#This Row],[ТТН]],0)</f>
        <v>0</v>
      </c>
    </row>
    <row r="1158" spans="1:21" x14ac:dyDescent="0.25">
      <c r="A1158" t="s">
        <v>84</v>
      </c>
      <c r="B1158" s="24">
        <v>18</v>
      </c>
      <c r="C1158" t="s">
        <v>134</v>
      </c>
      <c r="D1158" t="s">
        <v>12</v>
      </c>
      <c r="E1158" t="s">
        <v>215</v>
      </c>
      <c r="F1158" t="s">
        <v>68</v>
      </c>
      <c r="H1158" t="s">
        <v>29</v>
      </c>
      <c r="I1158" t="s">
        <v>217</v>
      </c>
      <c r="J1158">
        <v>8</v>
      </c>
      <c r="N1158">
        <f>Таблица1[[#This Row],[Часов на заказчика  в работе]]+Таблица1[[#This Row],[Часов на заказчика  дежурство]]</f>
        <v>0</v>
      </c>
      <c r="O11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8" s="9">
        <v>170000</v>
      </c>
      <c r="R1158" s="9"/>
      <c r="S1158" s="5">
        <v>1</v>
      </c>
      <c r="T11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табеле]])*S1158,0)</f>
        <v>0</v>
      </c>
      <c r="U1158" s="5">
        <f>IF(Таблица1[[#This Row],[ТТН]]&gt;0,Таблица1[[#This Row],[Ставка за ТТН]]*Таблица1[[#This Row],[ТТН]],0)</f>
        <v>0</v>
      </c>
    </row>
    <row r="1159" spans="1:21" x14ac:dyDescent="0.25">
      <c r="A1159" t="s">
        <v>84</v>
      </c>
      <c r="B1159" s="24">
        <v>19</v>
      </c>
      <c r="C1159" t="s">
        <v>134</v>
      </c>
      <c r="D1159" t="s">
        <v>12</v>
      </c>
      <c r="E1159" t="s">
        <v>215</v>
      </c>
      <c r="F1159" t="s">
        <v>68</v>
      </c>
      <c r="H1159" t="s">
        <v>29</v>
      </c>
      <c r="I1159" t="s">
        <v>217</v>
      </c>
      <c r="J1159">
        <v>8</v>
      </c>
      <c r="N1159">
        <f>Таблица1[[#This Row],[Часов на заказчика  в работе]]+Таблица1[[#This Row],[Часов на заказчика  дежурство]]</f>
        <v>0</v>
      </c>
      <c r="O11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59" s="9">
        <v>170000</v>
      </c>
      <c r="R1159" s="9"/>
      <c r="S1159" s="5">
        <v>1</v>
      </c>
      <c r="T11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табеле]])*S1159,0)</f>
        <v>0</v>
      </c>
      <c r="U1159" s="5">
        <f>IF(Таблица1[[#This Row],[ТТН]]&gt;0,Таблица1[[#This Row],[Ставка за ТТН]]*Таблица1[[#This Row],[ТТН]],0)</f>
        <v>0</v>
      </c>
    </row>
    <row r="1160" spans="1:21" x14ac:dyDescent="0.25">
      <c r="A1160" t="s">
        <v>84</v>
      </c>
      <c r="B1160" s="24">
        <v>20</v>
      </c>
      <c r="C1160" t="s">
        <v>134</v>
      </c>
      <c r="D1160" t="s">
        <v>12</v>
      </c>
      <c r="E1160" t="s">
        <v>215</v>
      </c>
      <c r="F1160" t="s">
        <v>68</v>
      </c>
      <c r="H1160" t="s">
        <v>30</v>
      </c>
      <c r="I1160" t="s">
        <v>217</v>
      </c>
      <c r="J1160">
        <v>1</v>
      </c>
      <c r="N1160">
        <f>Таблица1[[#This Row],[Часов на заказчика  в работе]]+Таблица1[[#This Row],[Часов на заказчика  дежурство]]</f>
        <v>0</v>
      </c>
      <c r="O11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0" s="9">
        <v>170000</v>
      </c>
      <c r="R1160" s="9"/>
      <c r="S1160" s="5">
        <v>1</v>
      </c>
      <c r="T11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табеле]])*S1160,0)</f>
        <v>0</v>
      </c>
      <c r="U1160" s="5">
        <f>IF(Таблица1[[#This Row],[ТТН]]&gt;0,Таблица1[[#This Row],[Ставка за ТТН]]*Таблица1[[#This Row],[ТТН]],0)</f>
        <v>0</v>
      </c>
    </row>
    <row r="1161" spans="1:21" x14ac:dyDescent="0.25">
      <c r="A1161" t="s">
        <v>84</v>
      </c>
      <c r="B1161" s="24">
        <v>21</v>
      </c>
      <c r="C1161" t="s">
        <v>134</v>
      </c>
      <c r="D1161" t="s">
        <v>12</v>
      </c>
      <c r="E1161" t="s">
        <v>215</v>
      </c>
      <c r="F1161" t="s">
        <v>68</v>
      </c>
      <c r="H1161" t="s">
        <v>30</v>
      </c>
      <c r="I1161" t="s">
        <v>217</v>
      </c>
      <c r="J1161">
        <v>1</v>
      </c>
      <c r="N1161">
        <f>Таблица1[[#This Row],[Часов на заказчика  в работе]]+Таблица1[[#This Row],[Часов на заказчика  дежурство]]</f>
        <v>0</v>
      </c>
      <c r="O11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1" s="9">
        <v>170000</v>
      </c>
      <c r="R1161" s="9"/>
      <c r="S1161" s="5">
        <v>1</v>
      </c>
      <c r="T11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табеле]])*S1161,0)</f>
        <v>0</v>
      </c>
      <c r="U1161" s="5">
        <f>IF(Таблица1[[#This Row],[ТТН]]&gt;0,Таблица1[[#This Row],[Ставка за ТТН]]*Таблица1[[#This Row],[ТТН]],0)</f>
        <v>0</v>
      </c>
    </row>
    <row r="1162" spans="1:21" x14ac:dyDescent="0.25">
      <c r="A1162" t="s">
        <v>84</v>
      </c>
      <c r="B1162" s="24">
        <v>22</v>
      </c>
      <c r="C1162" t="s">
        <v>134</v>
      </c>
      <c r="D1162" t="s">
        <v>12</v>
      </c>
      <c r="E1162" t="s">
        <v>215</v>
      </c>
      <c r="F1162" t="s">
        <v>68</v>
      </c>
      <c r="H1162" t="s">
        <v>29</v>
      </c>
      <c r="I1162" t="s">
        <v>217</v>
      </c>
      <c r="J1162">
        <v>8</v>
      </c>
      <c r="N1162">
        <f>Таблица1[[#This Row],[Часов на заказчика  в работе]]+Таблица1[[#This Row],[Часов на заказчика  дежурство]]</f>
        <v>0</v>
      </c>
      <c r="O11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2" s="9">
        <v>170000</v>
      </c>
      <c r="R1162" s="9"/>
      <c r="S1162" s="5">
        <v>1</v>
      </c>
      <c r="T11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табеле]])*S1162,0)</f>
        <v>0</v>
      </c>
      <c r="U1162" s="5">
        <f>IF(Таблица1[[#This Row],[ТТН]]&gt;0,Таблица1[[#This Row],[Ставка за ТТН]]*Таблица1[[#This Row],[ТТН]],0)</f>
        <v>0</v>
      </c>
    </row>
    <row r="1163" spans="1:21" x14ac:dyDescent="0.25">
      <c r="A1163" t="s">
        <v>84</v>
      </c>
      <c r="B1163" s="24">
        <v>23</v>
      </c>
      <c r="C1163" t="s">
        <v>134</v>
      </c>
      <c r="D1163" t="s">
        <v>12</v>
      </c>
      <c r="E1163" t="s">
        <v>215</v>
      </c>
      <c r="F1163" t="s">
        <v>68</v>
      </c>
      <c r="H1163" t="s">
        <v>29</v>
      </c>
      <c r="I1163" t="s">
        <v>217</v>
      </c>
      <c r="J1163">
        <v>8</v>
      </c>
      <c r="N1163">
        <f>Таблица1[[#This Row],[Часов на заказчика  в работе]]+Таблица1[[#This Row],[Часов на заказчика  дежурство]]</f>
        <v>0</v>
      </c>
      <c r="O11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3" s="9">
        <v>170000</v>
      </c>
      <c r="R1163" s="9"/>
      <c r="S1163" s="5">
        <v>1</v>
      </c>
      <c r="T11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табеле]])*S1163,0)</f>
        <v>0</v>
      </c>
      <c r="U1163" s="5">
        <f>IF(Таблица1[[#This Row],[ТТН]]&gt;0,Таблица1[[#This Row],[Ставка за ТТН]]*Таблица1[[#This Row],[ТТН]],0)</f>
        <v>0</v>
      </c>
    </row>
    <row r="1164" spans="1:21" x14ac:dyDescent="0.25">
      <c r="A1164" t="s">
        <v>84</v>
      </c>
      <c r="B1164" s="24">
        <v>24</v>
      </c>
      <c r="C1164" t="s">
        <v>134</v>
      </c>
      <c r="D1164" t="s">
        <v>12</v>
      </c>
      <c r="E1164" t="s">
        <v>215</v>
      </c>
      <c r="F1164" t="s">
        <v>68</v>
      </c>
      <c r="H1164" t="s">
        <v>29</v>
      </c>
      <c r="I1164" t="s">
        <v>217</v>
      </c>
      <c r="J1164">
        <v>8</v>
      </c>
      <c r="N1164">
        <f>Таблица1[[#This Row],[Часов на заказчика  в работе]]+Таблица1[[#This Row],[Часов на заказчика  дежурство]]</f>
        <v>0</v>
      </c>
      <c r="O11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4" s="9">
        <v>170000</v>
      </c>
      <c r="R1164" s="9"/>
      <c r="S1164" s="5">
        <v>1</v>
      </c>
      <c r="T11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табеле]])*S1164,0)</f>
        <v>0</v>
      </c>
      <c r="U1164" s="5">
        <f>IF(Таблица1[[#This Row],[ТТН]]&gt;0,Таблица1[[#This Row],[Ставка за ТТН]]*Таблица1[[#This Row],[ТТН]],0)</f>
        <v>0</v>
      </c>
    </row>
    <row r="1165" spans="1:21" x14ac:dyDescent="0.25">
      <c r="A1165" t="s">
        <v>84</v>
      </c>
      <c r="B1165" s="24">
        <v>25</v>
      </c>
      <c r="C1165" t="s">
        <v>134</v>
      </c>
      <c r="D1165" t="s">
        <v>12</v>
      </c>
      <c r="E1165" t="s">
        <v>215</v>
      </c>
      <c r="F1165" t="s">
        <v>68</v>
      </c>
      <c r="H1165" t="s">
        <v>24</v>
      </c>
      <c r="I1165" t="s">
        <v>217</v>
      </c>
      <c r="J1165">
        <v>8</v>
      </c>
      <c r="N1165">
        <f>Таблица1[[#This Row],[Часов на заказчика  в работе]]+Таблица1[[#This Row],[Часов на заказчика  дежурство]]</f>
        <v>0</v>
      </c>
      <c r="O11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5" s="9">
        <v>170000</v>
      </c>
      <c r="R1165" s="9"/>
      <c r="S1165" s="5">
        <v>1</v>
      </c>
      <c r="T11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табеле]])*S1165,0)</f>
        <v>0</v>
      </c>
      <c r="U1165" s="5">
        <f>IF(Таблица1[[#This Row],[ТТН]]&gt;0,Таблица1[[#This Row],[Ставка за ТТН]]*Таблица1[[#This Row],[ТТН]],0)</f>
        <v>0</v>
      </c>
    </row>
    <row r="1166" spans="1:21" x14ac:dyDescent="0.25">
      <c r="A1166" t="s">
        <v>84</v>
      </c>
      <c r="B1166" s="24">
        <v>26</v>
      </c>
      <c r="C1166" t="s">
        <v>134</v>
      </c>
      <c r="D1166" t="s">
        <v>12</v>
      </c>
      <c r="E1166" t="s">
        <v>215</v>
      </c>
      <c r="F1166" t="s">
        <v>68</v>
      </c>
      <c r="H1166" t="s">
        <v>24</v>
      </c>
      <c r="I1166" t="s">
        <v>217</v>
      </c>
      <c r="J1166">
        <v>8</v>
      </c>
      <c r="N1166">
        <f>Таблица1[[#This Row],[Часов на заказчика  в работе]]+Таблица1[[#This Row],[Часов на заказчика  дежурство]]</f>
        <v>0</v>
      </c>
      <c r="O11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6" s="9">
        <v>170000</v>
      </c>
      <c r="R1166" s="9"/>
      <c r="S1166" s="5">
        <v>1</v>
      </c>
      <c r="T11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табеле]])*S1166,0)</f>
        <v>0</v>
      </c>
      <c r="U1166" s="5">
        <f>IF(Таблица1[[#This Row],[ТТН]]&gt;0,Таблица1[[#This Row],[Ставка за ТТН]]*Таблица1[[#This Row],[ТТН]],0)</f>
        <v>0</v>
      </c>
    </row>
    <row r="1167" spans="1:21" x14ac:dyDescent="0.25">
      <c r="A1167" t="s">
        <v>84</v>
      </c>
      <c r="B1167" s="24">
        <v>27</v>
      </c>
      <c r="C1167" t="s">
        <v>134</v>
      </c>
      <c r="D1167" t="s">
        <v>12</v>
      </c>
      <c r="E1167" t="s">
        <v>215</v>
      </c>
      <c r="F1167" t="s">
        <v>68</v>
      </c>
      <c r="H1167" t="s">
        <v>24</v>
      </c>
      <c r="I1167" t="s">
        <v>217</v>
      </c>
      <c r="J1167">
        <v>8</v>
      </c>
      <c r="N1167">
        <f>Таблица1[[#This Row],[Часов на заказчика  в работе]]+Таблица1[[#This Row],[Часов на заказчика  дежурство]]</f>
        <v>0</v>
      </c>
      <c r="O11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7" s="9">
        <v>170000</v>
      </c>
      <c r="R1167" s="9"/>
      <c r="S1167" s="5">
        <v>1</v>
      </c>
      <c r="T11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табеле]])*S1167,0)</f>
        <v>0</v>
      </c>
      <c r="U1167" s="5">
        <f>IF(Таблица1[[#This Row],[ТТН]]&gt;0,Таблица1[[#This Row],[Ставка за ТТН]]*Таблица1[[#This Row],[ТТН]],0)</f>
        <v>0</v>
      </c>
    </row>
    <row r="1168" spans="1:21" x14ac:dyDescent="0.25">
      <c r="A1168" t="s">
        <v>84</v>
      </c>
      <c r="B1168" s="24">
        <v>28</v>
      </c>
      <c r="C1168" t="s">
        <v>134</v>
      </c>
      <c r="D1168" t="s">
        <v>12</v>
      </c>
      <c r="E1168" t="s">
        <v>215</v>
      </c>
      <c r="F1168" t="s">
        <v>68</v>
      </c>
      <c r="H1168" t="s">
        <v>24</v>
      </c>
      <c r="I1168" t="s">
        <v>217</v>
      </c>
      <c r="J1168">
        <v>8</v>
      </c>
      <c r="N1168">
        <f>Таблица1[[#This Row],[Часов на заказчика  в работе]]+Таблица1[[#This Row],[Часов на заказчика  дежурство]]</f>
        <v>0</v>
      </c>
      <c r="O11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8" s="9">
        <v>170000</v>
      </c>
      <c r="R1168" s="9"/>
      <c r="S1168" s="5">
        <v>1</v>
      </c>
      <c r="T11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табеле]])*S1168,0)</f>
        <v>0</v>
      </c>
      <c r="U1168" s="5">
        <f>IF(Таблица1[[#This Row],[ТТН]]&gt;0,Таблица1[[#This Row],[Ставка за ТТН]]*Таблица1[[#This Row],[ТТН]],0)</f>
        <v>0</v>
      </c>
    </row>
    <row r="1169" spans="1:21" x14ac:dyDescent="0.25">
      <c r="A1169" t="s">
        <v>84</v>
      </c>
      <c r="B1169" s="24">
        <v>29</v>
      </c>
      <c r="C1169" t="s">
        <v>134</v>
      </c>
      <c r="D1169" t="s">
        <v>12</v>
      </c>
      <c r="E1169" t="s">
        <v>216</v>
      </c>
      <c r="F1169" t="s">
        <v>68</v>
      </c>
      <c r="H1169" t="s">
        <v>10</v>
      </c>
      <c r="I1169" t="s">
        <v>221</v>
      </c>
      <c r="J1169">
        <v>11</v>
      </c>
      <c r="L1169">
        <v>11</v>
      </c>
      <c r="N1169">
        <f>Таблица1[[#This Row],[Часов на заказчика  в работе]]+Таблица1[[#This Row],[Часов на заказчика  дежурство]]</f>
        <v>11</v>
      </c>
      <c r="O11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69" s="9">
        <v>115000</v>
      </c>
      <c r="R1169" s="9"/>
      <c r="S1169" s="5">
        <v>1</v>
      </c>
      <c r="T11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табеле]])*S1169,0)</f>
        <v>3833.3333333333335</v>
      </c>
      <c r="U1169" s="5">
        <f>IF(Таблица1[[#This Row],[ТТН]]&gt;0,Таблица1[[#This Row],[Ставка за ТТН]]*Таблица1[[#This Row],[ТТН]],0)</f>
        <v>0</v>
      </c>
    </row>
    <row r="1170" spans="1:21" x14ac:dyDescent="0.25">
      <c r="A1170" t="s">
        <v>84</v>
      </c>
      <c r="B1170" s="24">
        <v>30</v>
      </c>
      <c r="C1170" t="s">
        <v>135</v>
      </c>
      <c r="D1170" t="s">
        <v>12</v>
      </c>
      <c r="E1170" t="s">
        <v>216</v>
      </c>
      <c r="F1170" t="s">
        <v>68</v>
      </c>
      <c r="H1170" t="s">
        <v>10</v>
      </c>
      <c r="I1170" t="s">
        <v>221</v>
      </c>
      <c r="J1170">
        <v>11</v>
      </c>
      <c r="L1170">
        <v>11</v>
      </c>
      <c r="N1170">
        <f>Таблица1[[#This Row],[Часов на заказчика  в работе]]+Таблица1[[#This Row],[Часов на заказчика  дежурство]]</f>
        <v>11</v>
      </c>
      <c r="O11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0" s="9">
        <v>115000</v>
      </c>
      <c r="R1170" s="9"/>
      <c r="S1170" s="5">
        <v>1</v>
      </c>
      <c r="T11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табеле]])*S1170,0)</f>
        <v>3833.3333333333335</v>
      </c>
      <c r="U1170" s="5">
        <f>IF(Таблица1[[#This Row],[ТТН]]&gt;0,Таблица1[[#This Row],[Ставка за ТТН]]*Таблица1[[#This Row],[ТТН]],0)</f>
        <v>0</v>
      </c>
    </row>
    <row r="1171" spans="1:21" x14ac:dyDescent="0.25">
      <c r="A1171" t="s">
        <v>84</v>
      </c>
      <c r="B1171" s="24">
        <v>1</v>
      </c>
      <c r="C1171" t="s">
        <v>135</v>
      </c>
      <c r="D1171" t="s">
        <v>26</v>
      </c>
      <c r="E1171" t="s">
        <v>215</v>
      </c>
      <c r="F1171" t="s">
        <v>26</v>
      </c>
      <c r="H1171" t="s">
        <v>10</v>
      </c>
      <c r="I1171" t="s">
        <v>217</v>
      </c>
      <c r="J1171">
        <v>11</v>
      </c>
      <c r="N1171">
        <f>Таблица1[[#This Row],[Часов на заказчика  в работе]]+Таблица1[[#This Row],[Часов на заказчика  дежурство]]</f>
        <v>0</v>
      </c>
      <c r="O11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1" s="9">
        <v>120000</v>
      </c>
      <c r="R1171" s="9"/>
      <c r="S1171" s="5">
        <v>1.2</v>
      </c>
      <c r="T11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табеле]])*S1171,0)</f>
        <v>4800</v>
      </c>
      <c r="U1171" s="5">
        <f>IF(Таблица1[[#This Row],[ТТН]]&gt;0,Таблица1[[#This Row],[Ставка за ТТН]]*Таблица1[[#This Row],[ТТН]],0)</f>
        <v>0</v>
      </c>
    </row>
    <row r="1172" spans="1:21" x14ac:dyDescent="0.25">
      <c r="A1172" t="s">
        <v>84</v>
      </c>
      <c r="B1172" s="24">
        <v>2</v>
      </c>
      <c r="C1172" t="s">
        <v>135</v>
      </c>
      <c r="D1172" t="s">
        <v>26</v>
      </c>
      <c r="E1172" t="s">
        <v>215</v>
      </c>
      <c r="F1172" t="s">
        <v>26</v>
      </c>
      <c r="H1172" t="s">
        <v>10</v>
      </c>
      <c r="I1172" t="s">
        <v>217</v>
      </c>
      <c r="J1172">
        <v>11</v>
      </c>
      <c r="N1172">
        <f>Таблица1[[#This Row],[Часов на заказчика  в работе]]+Таблица1[[#This Row],[Часов на заказчика  дежурство]]</f>
        <v>0</v>
      </c>
      <c r="O11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2" s="9">
        <v>120000</v>
      </c>
      <c r="R1172" s="9"/>
      <c r="S1172" s="5">
        <v>1.2</v>
      </c>
      <c r="T11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табеле]])*S1172,0)</f>
        <v>4800</v>
      </c>
      <c r="U1172" s="5">
        <f>IF(Таблица1[[#This Row],[ТТН]]&gt;0,Таблица1[[#This Row],[Ставка за ТТН]]*Таблица1[[#This Row],[ТТН]],0)</f>
        <v>0</v>
      </c>
    </row>
    <row r="1173" spans="1:21" x14ac:dyDescent="0.25">
      <c r="A1173" t="s">
        <v>84</v>
      </c>
      <c r="B1173" s="24">
        <v>3</v>
      </c>
      <c r="C1173" t="s">
        <v>135</v>
      </c>
      <c r="D1173" t="s">
        <v>26</v>
      </c>
      <c r="E1173" t="s">
        <v>215</v>
      </c>
      <c r="F1173" t="s">
        <v>26</v>
      </c>
      <c r="H1173" t="s">
        <v>10</v>
      </c>
      <c r="I1173" t="s">
        <v>217</v>
      </c>
      <c r="J1173">
        <v>11</v>
      </c>
      <c r="N1173">
        <f>Таблица1[[#This Row],[Часов на заказчика  в работе]]+Таблица1[[#This Row],[Часов на заказчика  дежурство]]</f>
        <v>0</v>
      </c>
      <c r="O11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3" s="9">
        <v>120000</v>
      </c>
      <c r="R1173" s="9"/>
      <c r="S1173" s="5">
        <v>1.2</v>
      </c>
      <c r="T11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табеле]])*S1173,0)</f>
        <v>4800</v>
      </c>
      <c r="U1173" s="5">
        <f>IF(Таблица1[[#This Row],[ТТН]]&gt;0,Таблица1[[#This Row],[Ставка за ТТН]]*Таблица1[[#This Row],[ТТН]],0)</f>
        <v>0</v>
      </c>
    </row>
    <row r="1174" spans="1:21" x14ac:dyDescent="0.25">
      <c r="A1174" t="s">
        <v>84</v>
      </c>
      <c r="B1174" s="24">
        <v>4</v>
      </c>
      <c r="C1174" t="s">
        <v>135</v>
      </c>
      <c r="D1174" t="s">
        <v>26</v>
      </c>
      <c r="E1174" t="s">
        <v>215</v>
      </c>
      <c r="F1174" t="s">
        <v>26</v>
      </c>
      <c r="H1174" t="s">
        <v>10</v>
      </c>
      <c r="I1174" t="s">
        <v>217</v>
      </c>
      <c r="J1174">
        <v>11</v>
      </c>
      <c r="N1174">
        <f>Таблица1[[#This Row],[Часов на заказчика  в работе]]+Таблица1[[#This Row],[Часов на заказчика  дежурство]]</f>
        <v>0</v>
      </c>
      <c r="O11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4" s="9">
        <v>120000</v>
      </c>
      <c r="R1174" s="9"/>
      <c r="S1174" s="5">
        <v>1.2</v>
      </c>
      <c r="T11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табеле]])*S1174,0)</f>
        <v>4800</v>
      </c>
      <c r="U1174" s="5">
        <f>IF(Таблица1[[#This Row],[ТТН]]&gt;0,Таблица1[[#This Row],[Ставка за ТТН]]*Таблица1[[#This Row],[ТТН]],0)</f>
        <v>0</v>
      </c>
    </row>
    <row r="1175" spans="1:21" x14ac:dyDescent="0.25">
      <c r="A1175" t="s">
        <v>84</v>
      </c>
      <c r="B1175" s="24">
        <v>5</v>
      </c>
      <c r="C1175" t="s">
        <v>135</v>
      </c>
      <c r="D1175" t="s">
        <v>26</v>
      </c>
      <c r="E1175" t="s">
        <v>215</v>
      </c>
      <c r="F1175" t="s">
        <v>26</v>
      </c>
      <c r="H1175" t="s">
        <v>10</v>
      </c>
      <c r="I1175" t="s">
        <v>217</v>
      </c>
      <c r="J1175">
        <v>11</v>
      </c>
      <c r="N1175">
        <f>Таблица1[[#This Row],[Часов на заказчика  в работе]]+Таблица1[[#This Row],[Часов на заказчика  дежурство]]</f>
        <v>0</v>
      </c>
      <c r="O11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5" s="9">
        <v>120000</v>
      </c>
      <c r="R1175" s="9"/>
      <c r="S1175" s="5">
        <v>1.2</v>
      </c>
      <c r="T11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табеле]])*S1175,0)</f>
        <v>4800</v>
      </c>
      <c r="U1175" s="5">
        <f>IF(Таблица1[[#This Row],[ТТН]]&gt;0,Таблица1[[#This Row],[Ставка за ТТН]]*Таблица1[[#This Row],[ТТН]],0)</f>
        <v>0</v>
      </c>
    </row>
    <row r="1176" spans="1:21" x14ac:dyDescent="0.25">
      <c r="A1176" t="s">
        <v>84</v>
      </c>
      <c r="B1176" s="24">
        <v>6</v>
      </c>
      <c r="C1176" t="s">
        <v>135</v>
      </c>
      <c r="D1176" t="s">
        <v>26</v>
      </c>
      <c r="E1176" t="s">
        <v>215</v>
      </c>
      <c r="F1176" t="s">
        <v>26</v>
      </c>
      <c r="H1176" t="s">
        <v>10</v>
      </c>
      <c r="I1176" t="s">
        <v>217</v>
      </c>
      <c r="J1176">
        <v>11</v>
      </c>
      <c r="N1176">
        <f>Таблица1[[#This Row],[Часов на заказчика  в работе]]+Таблица1[[#This Row],[Часов на заказчика  дежурство]]</f>
        <v>0</v>
      </c>
      <c r="O11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6" s="9">
        <v>120000</v>
      </c>
      <c r="R1176" s="9"/>
      <c r="S1176" s="5">
        <v>1.2</v>
      </c>
      <c r="T11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табеле]])*S1176,0)</f>
        <v>4800</v>
      </c>
      <c r="U1176" s="5">
        <f>IF(Таблица1[[#This Row],[ТТН]]&gt;0,Таблица1[[#This Row],[Ставка за ТТН]]*Таблица1[[#This Row],[ТТН]],0)</f>
        <v>0</v>
      </c>
    </row>
    <row r="1177" spans="1:21" x14ac:dyDescent="0.25">
      <c r="A1177" t="s">
        <v>84</v>
      </c>
      <c r="B1177" s="24">
        <v>7</v>
      </c>
      <c r="C1177" t="s">
        <v>135</v>
      </c>
      <c r="D1177" t="s">
        <v>26</v>
      </c>
      <c r="E1177" t="s">
        <v>215</v>
      </c>
      <c r="F1177" t="s">
        <v>26</v>
      </c>
      <c r="H1177" t="s">
        <v>10</v>
      </c>
      <c r="I1177" t="s">
        <v>217</v>
      </c>
      <c r="J1177">
        <v>11</v>
      </c>
      <c r="N1177">
        <f>Таблица1[[#This Row],[Часов на заказчика  в работе]]+Таблица1[[#This Row],[Часов на заказчика  дежурство]]</f>
        <v>0</v>
      </c>
      <c r="O11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7" s="9">
        <v>120000</v>
      </c>
      <c r="R1177" s="9"/>
      <c r="S1177" s="5">
        <v>1.2</v>
      </c>
      <c r="T11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табеле]])*S1177,0)</f>
        <v>4800</v>
      </c>
      <c r="U1177" s="5">
        <f>IF(Таблица1[[#This Row],[ТТН]]&gt;0,Таблица1[[#This Row],[Ставка за ТТН]]*Таблица1[[#This Row],[ТТН]],0)</f>
        <v>0</v>
      </c>
    </row>
    <row r="1178" spans="1:21" x14ac:dyDescent="0.25">
      <c r="A1178" t="s">
        <v>84</v>
      </c>
      <c r="B1178" s="24">
        <v>8</v>
      </c>
      <c r="C1178" t="s">
        <v>135</v>
      </c>
      <c r="D1178" t="s">
        <v>26</v>
      </c>
      <c r="E1178" t="s">
        <v>215</v>
      </c>
      <c r="F1178" t="s">
        <v>26</v>
      </c>
      <c r="H1178" t="s">
        <v>10</v>
      </c>
      <c r="I1178" t="s">
        <v>217</v>
      </c>
      <c r="J1178">
        <v>11</v>
      </c>
      <c r="N1178">
        <f>Таблица1[[#This Row],[Часов на заказчика  в работе]]+Таблица1[[#This Row],[Часов на заказчика  дежурство]]</f>
        <v>0</v>
      </c>
      <c r="O11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8" s="9">
        <v>120000</v>
      </c>
      <c r="R1178" s="9"/>
      <c r="S1178" s="5">
        <v>1.2</v>
      </c>
      <c r="T11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табеле]])*S1178,0)</f>
        <v>4800</v>
      </c>
      <c r="U1178" s="5">
        <f>IF(Таблица1[[#This Row],[ТТН]]&gt;0,Таблица1[[#This Row],[Ставка за ТТН]]*Таблица1[[#This Row],[ТТН]],0)</f>
        <v>0</v>
      </c>
    </row>
    <row r="1179" spans="1:21" x14ac:dyDescent="0.25">
      <c r="A1179" t="s">
        <v>84</v>
      </c>
      <c r="B1179" s="24">
        <v>9</v>
      </c>
      <c r="C1179" t="s">
        <v>135</v>
      </c>
      <c r="D1179" t="s">
        <v>26</v>
      </c>
      <c r="E1179" t="s">
        <v>215</v>
      </c>
      <c r="F1179" t="s">
        <v>26</v>
      </c>
      <c r="H1179" t="s">
        <v>10</v>
      </c>
      <c r="I1179" t="s">
        <v>217</v>
      </c>
      <c r="J1179">
        <v>11</v>
      </c>
      <c r="N1179">
        <f>Таблица1[[#This Row],[Часов на заказчика  в работе]]+Таблица1[[#This Row],[Часов на заказчика  дежурство]]</f>
        <v>0</v>
      </c>
      <c r="O11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79" s="9">
        <v>120000</v>
      </c>
      <c r="R1179" s="9"/>
      <c r="S1179" s="5">
        <v>1.2</v>
      </c>
      <c r="T11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табеле]])*S1179,0)</f>
        <v>4800</v>
      </c>
      <c r="U1179" s="5">
        <f>IF(Таблица1[[#This Row],[ТТН]]&gt;0,Таблица1[[#This Row],[Ставка за ТТН]]*Таблица1[[#This Row],[ТТН]],0)</f>
        <v>0</v>
      </c>
    </row>
    <row r="1180" spans="1:21" x14ac:dyDescent="0.25">
      <c r="A1180" t="s">
        <v>84</v>
      </c>
      <c r="B1180" s="24">
        <v>10</v>
      </c>
      <c r="C1180" t="s">
        <v>135</v>
      </c>
      <c r="D1180" t="s">
        <v>26</v>
      </c>
      <c r="E1180" t="s">
        <v>215</v>
      </c>
      <c r="F1180" t="s">
        <v>26</v>
      </c>
      <c r="H1180" t="s">
        <v>10</v>
      </c>
      <c r="I1180" t="s">
        <v>217</v>
      </c>
      <c r="J1180">
        <v>11</v>
      </c>
      <c r="N1180">
        <f>Таблица1[[#This Row],[Часов на заказчика  в работе]]+Таблица1[[#This Row],[Часов на заказчика  дежурство]]</f>
        <v>0</v>
      </c>
      <c r="O11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0" s="9">
        <v>120000</v>
      </c>
      <c r="R1180" s="9"/>
      <c r="S1180" s="5">
        <v>1.2</v>
      </c>
      <c r="T11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табеле]])*S1180,0)</f>
        <v>4800</v>
      </c>
      <c r="U1180" s="5">
        <f>IF(Таблица1[[#This Row],[ТТН]]&gt;0,Таблица1[[#This Row],[Ставка за ТТН]]*Таблица1[[#This Row],[ТТН]],0)</f>
        <v>0</v>
      </c>
    </row>
    <row r="1181" spans="1:21" x14ac:dyDescent="0.25">
      <c r="A1181" t="s">
        <v>84</v>
      </c>
      <c r="B1181" s="24">
        <v>11</v>
      </c>
      <c r="C1181" t="s">
        <v>135</v>
      </c>
      <c r="D1181" t="s">
        <v>26</v>
      </c>
      <c r="E1181" t="s">
        <v>215</v>
      </c>
      <c r="F1181" t="s">
        <v>26</v>
      </c>
      <c r="H1181" t="s">
        <v>10</v>
      </c>
      <c r="I1181" t="s">
        <v>217</v>
      </c>
      <c r="J1181">
        <v>11</v>
      </c>
      <c r="N1181">
        <f>Таблица1[[#This Row],[Часов на заказчика  в работе]]+Таблица1[[#This Row],[Часов на заказчика  дежурство]]</f>
        <v>0</v>
      </c>
      <c r="O11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1" s="9">
        <v>120000</v>
      </c>
      <c r="R1181" s="9"/>
      <c r="S1181" s="5">
        <v>1.2</v>
      </c>
      <c r="T11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табеле]])*S1181,0)</f>
        <v>4800</v>
      </c>
      <c r="U1181" s="5">
        <f>IF(Таблица1[[#This Row],[ТТН]]&gt;0,Таблица1[[#This Row],[Ставка за ТТН]]*Таблица1[[#This Row],[ТТН]],0)</f>
        <v>0</v>
      </c>
    </row>
    <row r="1182" spans="1:21" x14ac:dyDescent="0.25">
      <c r="A1182" t="s">
        <v>84</v>
      </c>
      <c r="B1182" s="24">
        <v>12</v>
      </c>
      <c r="C1182" t="s">
        <v>135</v>
      </c>
      <c r="D1182" t="s">
        <v>26</v>
      </c>
      <c r="E1182" t="s">
        <v>215</v>
      </c>
      <c r="F1182" t="s">
        <v>26</v>
      </c>
      <c r="H1182" t="s">
        <v>10</v>
      </c>
      <c r="I1182" t="s">
        <v>217</v>
      </c>
      <c r="J1182">
        <v>11</v>
      </c>
      <c r="N1182">
        <f>Таблица1[[#This Row],[Часов на заказчика  в работе]]+Таблица1[[#This Row],[Часов на заказчика  дежурство]]</f>
        <v>0</v>
      </c>
      <c r="O11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2" s="9">
        <v>120000</v>
      </c>
      <c r="R1182" s="9"/>
      <c r="S1182" s="5">
        <v>1.2</v>
      </c>
      <c r="T11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табеле]])*S1182,0)</f>
        <v>4800</v>
      </c>
      <c r="U1182" s="5">
        <f>IF(Таблица1[[#This Row],[ТТН]]&gt;0,Таблица1[[#This Row],[Ставка за ТТН]]*Таблица1[[#This Row],[ТТН]],0)</f>
        <v>0</v>
      </c>
    </row>
    <row r="1183" spans="1:21" x14ac:dyDescent="0.25">
      <c r="A1183" t="s">
        <v>84</v>
      </c>
      <c r="B1183" s="24">
        <v>13</v>
      </c>
      <c r="C1183" t="s">
        <v>135</v>
      </c>
      <c r="D1183" t="s">
        <v>26</v>
      </c>
      <c r="E1183" t="s">
        <v>215</v>
      </c>
      <c r="F1183" t="s">
        <v>26</v>
      </c>
      <c r="H1183" t="s">
        <v>10</v>
      </c>
      <c r="I1183" t="s">
        <v>217</v>
      </c>
      <c r="J1183">
        <v>11</v>
      </c>
      <c r="N1183">
        <f>Таблица1[[#This Row],[Часов на заказчика  в работе]]+Таблица1[[#This Row],[Часов на заказчика  дежурство]]</f>
        <v>0</v>
      </c>
      <c r="O11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3" s="9">
        <v>120000</v>
      </c>
      <c r="R1183" s="9"/>
      <c r="S1183" s="5">
        <v>1.2</v>
      </c>
      <c r="T11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табеле]])*S1183,0)</f>
        <v>4800</v>
      </c>
      <c r="U1183" s="5">
        <f>IF(Таблица1[[#This Row],[ТТН]]&gt;0,Таблица1[[#This Row],[Ставка за ТТН]]*Таблица1[[#This Row],[ТТН]],0)</f>
        <v>0</v>
      </c>
    </row>
    <row r="1184" spans="1:21" x14ac:dyDescent="0.25">
      <c r="A1184" t="s">
        <v>84</v>
      </c>
      <c r="B1184" s="24">
        <v>14</v>
      </c>
      <c r="C1184" t="s">
        <v>135</v>
      </c>
      <c r="D1184" t="s">
        <v>26</v>
      </c>
      <c r="E1184" t="s">
        <v>215</v>
      </c>
      <c r="F1184" t="s">
        <v>26</v>
      </c>
      <c r="H1184" t="s">
        <v>10</v>
      </c>
      <c r="I1184" t="s">
        <v>217</v>
      </c>
      <c r="J1184">
        <v>11</v>
      </c>
      <c r="N1184">
        <f>Таблица1[[#This Row],[Часов на заказчика  в работе]]+Таблица1[[#This Row],[Часов на заказчика  дежурство]]</f>
        <v>0</v>
      </c>
      <c r="O11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4" s="9">
        <v>120000</v>
      </c>
      <c r="R1184" s="9"/>
      <c r="S1184" s="5">
        <v>1.2</v>
      </c>
      <c r="T11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табеле]])*S1184,0)</f>
        <v>4800</v>
      </c>
      <c r="U1184" s="5">
        <f>IF(Таблица1[[#This Row],[ТТН]]&gt;0,Таблица1[[#This Row],[Ставка за ТТН]]*Таблица1[[#This Row],[ТТН]],0)</f>
        <v>0</v>
      </c>
    </row>
    <row r="1185" spans="1:21" x14ac:dyDescent="0.25">
      <c r="A1185" t="s">
        <v>84</v>
      </c>
      <c r="B1185" s="24">
        <v>15</v>
      </c>
      <c r="C1185" t="s">
        <v>135</v>
      </c>
      <c r="D1185" t="s">
        <v>26</v>
      </c>
      <c r="E1185" t="s">
        <v>215</v>
      </c>
      <c r="F1185" t="s">
        <v>26</v>
      </c>
      <c r="H1185" t="s">
        <v>10</v>
      </c>
      <c r="I1185" t="s">
        <v>217</v>
      </c>
      <c r="J1185">
        <v>11</v>
      </c>
      <c r="N1185">
        <f>Таблица1[[#This Row],[Часов на заказчика  в работе]]+Таблица1[[#This Row],[Часов на заказчика  дежурство]]</f>
        <v>0</v>
      </c>
      <c r="O11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5" s="9">
        <v>120000</v>
      </c>
      <c r="R1185" s="9"/>
      <c r="S1185" s="5">
        <v>1.2</v>
      </c>
      <c r="T11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табеле]])*S1185,0)</f>
        <v>4800</v>
      </c>
      <c r="U1185" s="5">
        <f>IF(Таблица1[[#This Row],[ТТН]]&gt;0,Таблица1[[#This Row],[Ставка за ТТН]]*Таблица1[[#This Row],[ТТН]],0)</f>
        <v>0</v>
      </c>
    </row>
    <row r="1186" spans="1:21" x14ac:dyDescent="0.25">
      <c r="A1186" t="s">
        <v>84</v>
      </c>
      <c r="B1186" s="24">
        <v>16</v>
      </c>
      <c r="C1186" t="s">
        <v>135</v>
      </c>
      <c r="D1186" t="s">
        <v>26</v>
      </c>
      <c r="E1186" t="s">
        <v>215</v>
      </c>
      <c r="F1186" t="s">
        <v>26</v>
      </c>
      <c r="H1186" t="s">
        <v>10</v>
      </c>
      <c r="I1186" t="s">
        <v>217</v>
      </c>
      <c r="J1186">
        <v>11</v>
      </c>
      <c r="N1186">
        <f>Таблица1[[#This Row],[Часов на заказчика  в работе]]+Таблица1[[#This Row],[Часов на заказчика  дежурство]]</f>
        <v>0</v>
      </c>
      <c r="O11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6" s="9">
        <v>120000</v>
      </c>
      <c r="R1186" s="9"/>
      <c r="S1186" s="5">
        <v>1.2</v>
      </c>
      <c r="T11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табеле]])*S1186,0)</f>
        <v>4800</v>
      </c>
      <c r="U1186" s="5">
        <f>IF(Таблица1[[#This Row],[ТТН]]&gt;0,Таблица1[[#This Row],[Ставка за ТТН]]*Таблица1[[#This Row],[ТТН]],0)</f>
        <v>0</v>
      </c>
    </row>
    <row r="1187" spans="1:21" x14ac:dyDescent="0.25">
      <c r="A1187" t="s">
        <v>84</v>
      </c>
      <c r="B1187" s="24">
        <v>17</v>
      </c>
      <c r="C1187" t="s">
        <v>135</v>
      </c>
      <c r="D1187" t="s">
        <v>26</v>
      </c>
      <c r="E1187" t="s">
        <v>215</v>
      </c>
      <c r="F1187" t="s">
        <v>26</v>
      </c>
      <c r="H1187" t="s">
        <v>10</v>
      </c>
      <c r="I1187" t="s">
        <v>217</v>
      </c>
      <c r="J1187">
        <v>11</v>
      </c>
      <c r="N1187">
        <f>Таблица1[[#This Row],[Часов на заказчика  в работе]]+Таблица1[[#This Row],[Часов на заказчика  дежурство]]</f>
        <v>0</v>
      </c>
      <c r="O11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7" s="9">
        <v>120000</v>
      </c>
      <c r="R1187" s="9"/>
      <c r="S1187" s="5">
        <v>1.2</v>
      </c>
      <c r="T11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табеле]])*S1187,0)</f>
        <v>4800</v>
      </c>
      <c r="U1187" s="5">
        <f>IF(Таблица1[[#This Row],[ТТН]]&gt;0,Таблица1[[#This Row],[Ставка за ТТН]]*Таблица1[[#This Row],[ТТН]],0)</f>
        <v>0</v>
      </c>
    </row>
    <row r="1188" spans="1:21" x14ac:dyDescent="0.25">
      <c r="A1188" t="s">
        <v>84</v>
      </c>
      <c r="B1188" s="24">
        <v>18</v>
      </c>
      <c r="C1188" t="s">
        <v>135</v>
      </c>
      <c r="D1188" t="s">
        <v>26</v>
      </c>
      <c r="E1188" t="s">
        <v>215</v>
      </c>
      <c r="F1188" t="s">
        <v>26</v>
      </c>
      <c r="H1188" t="s">
        <v>10</v>
      </c>
      <c r="I1188" t="s">
        <v>217</v>
      </c>
      <c r="J1188">
        <v>11</v>
      </c>
      <c r="N1188">
        <f>Таблица1[[#This Row],[Часов на заказчика  в работе]]+Таблица1[[#This Row],[Часов на заказчика  дежурство]]</f>
        <v>0</v>
      </c>
      <c r="O11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8" s="9">
        <v>120000</v>
      </c>
      <c r="R1188" s="9"/>
      <c r="S1188" s="5">
        <v>1.2</v>
      </c>
      <c r="T11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табеле]])*S1188,0)</f>
        <v>4800</v>
      </c>
      <c r="U1188" s="5">
        <f>IF(Таблица1[[#This Row],[ТТН]]&gt;0,Таблица1[[#This Row],[Ставка за ТТН]]*Таблица1[[#This Row],[ТТН]],0)</f>
        <v>0</v>
      </c>
    </row>
    <row r="1189" spans="1:21" x14ac:dyDescent="0.25">
      <c r="A1189" t="s">
        <v>84</v>
      </c>
      <c r="B1189" s="24">
        <v>19</v>
      </c>
      <c r="C1189" t="s">
        <v>135</v>
      </c>
      <c r="D1189" t="s">
        <v>26</v>
      </c>
      <c r="E1189" t="s">
        <v>215</v>
      </c>
      <c r="F1189" t="s">
        <v>26</v>
      </c>
      <c r="H1189" t="s">
        <v>10</v>
      </c>
      <c r="I1189" t="s">
        <v>217</v>
      </c>
      <c r="J1189">
        <v>11</v>
      </c>
      <c r="N1189">
        <f>Таблица1[[#This Row],[Часов на заказчика  в работе]]+Таблица1[[#This Row],[Часов на заказчика  дежурство]]</f>
        <v>0</v>
      </c>
      <c r="O11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89" s="9">
        <v>120000</v>
      </c>
      <c r="R1189" s="9"/>
      <c r="S1189" s="5">
        <v>1.2</v>
      </c>
      <c r="T11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табеле]])*S1189,0)</f>
        <v>4800</v>
      </c>
      <c r="U1189" s="5">
        <f>IF(Таблица1[[#This Row],[ТТН]]&gt;0,Таблица1[[#This Row],[Ставка за ТТН]]*Таблица1[[#This Row],[ТТН]],0)</f>
        <v>0</v>
      </c>
    </row>
    <row r="1190" spans="1:21" x14ac:dyDescent="0.25">
      <c r="A1190" t="s">
        <v>84</v>
      </c>
      <c r="B1190" s="24">
        <v>20</v>
      </c>
      <c r="C1190" t="s">
        <v>135</v>
      </c>
      <c r="D1190" t="s">
        <v>26</v>
      </c>
      <c r="E1190" t="s">
        <v>215</v>
      </c>
      <c r="F1190" t="s">
        <v>26</v>
      </c>
      <c r="H1190" t="s">
        <v>10</v>
      </c>
      <c r="I1190" t="s">
        <v>217</v>
      </c>
      <c r="J1190">
        <v>11</v>
      </c>
      <c r="N1190">
        <f>Таблица1[[#This Row],[Часов на заказчика  в работе]]+Таблица1[[#This Row],[Часов на заказчика  дежурство]]</f>
        <v>0</v>
      </c>
      <c r="O11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0" s="9">
        <v>120000</v>
      </c>
      <c r="R1190" s="9"/>
      <c r="S1190" s="5">
        <v>1.2</v>
      </c>
      <c r="T11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табеле]])*S1190,0)</f>
        <v>4800</v>
      </c>
      <c r="U1190" s="5">
        <f>IF(Таблица1[[#This Row],[ТТН]]&gt;0,Таблица1[[#This Row],[Ставка за ТТН]]*Таблица1[[#This Row],[ТТН]],0)</f>
        <v>0</v>
      </c>
    </row>
    <row r="1191" spans="1:21" x14ac:dyDescent="0.25">
      <c r="A1191" t="s">
        <v>84</v>
      </c>
      <c r="B1191" s="24">
        <v>21</v>
      </c>
      <c r="C1191" t="s">
        <v>135</v>
      </c>
      <c r="D1191" t="s">
        <v>26</v>
      </c>
      <c r="E1191" t="s">
        <v>215</v>
      </c>
      <c r="F1191" t="s">
        <v>26</v>
      </c>
      <c r="H1191" t="s">
        <v>10</v>
      </c>
      <c r="I1191" t="s">
        <v>217</v>
      </c>
      <c r="J1191">
        <v>11</v>
      </c>
      <c r="N1191">
        <f>Таблица1[[#This Row],[Часов на заказчика  в работе]]+Таблица1[[#This Row],[Часов на заказчика  дежурство]]</f>
        <v>0</v>
      </c>
      <c r="O11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1" s="9">
        <v>120000</v>
      </c>
      <c r="R1191" s="9"/>
      <c r="S1191" s="5">
        <v>1.2</v>
      </c>
      <c r="T11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табеле]])*S1191,0)</f>
        <v>4800</v>
      </c>
      <c r="U1191" s="5">
        <f>IF(Таблица1[[#This Row],[ТТН]]&gt;0,Таблица1[[#This Row],[Ставка за ТТН]]*Таблица1[[#This Row],[ТТН]],0)</f>
        <v>0</v>
      </c>
    </row>
    <row r="1192" spans="1:21" x14ac:dyDescent="0.25">
      <c r="A1192" t="s">
        <v>84</v>
      </c>
      <c r="B1192" s="24">
        <v>22</v>
      </c>
      <c r="C1192" t="s">
        <v>135</v>
      </c>
      <c r="D1192" t="s">
        <v>26</v>
      </c>
      <c r="E1192" t="s">
        <v>215</v>
      </c>
      <c r="F1192" t="s">
        <v>26</v>
      </c>
      <c r="H1192" t="s">
        <v>10</v>
      </c>
      <c r="I1192" t="s">
        <v>217</v>
      </c>
      <c r="J1192">
        <v>11</v>
      </c>
      <c r="N1192">
        <f>Таблица1[[#This Row],[Часов на заказчика  в работе]]+Таблица1[[#This Row],[Часов на заказчика  дежурство]]</f>
        <v>0</v>
      </c>
      <c r="O11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2" s="9">
        <v>120000</v>
      </c>
      <c r="R1192" s="9"/>
      <c r="S1192" s="5">
        <v>1.2</v>
      </c>
      <c r="T11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табеле]])*S1192,0)</f>
        <v>4800</v>
      </c>
      <c r="U1192" s="5">
        <f>IF(Таблица1[[#This Row],[ТТН]]&gt;0,Таблица1[[#This Row],[Ставка за ТТН]]*Таблица1[[#This Row],[ТТН]],0)</f>
        <v>0</v>
      </c>
    </row>
    <row r="1193" spans="1:21" x14ac:dyDescent="0.25">
      <c r="A1193" t="s">
        <v>84</v>
      </c>
      <c r="B1193" s="24">
        <v>23</v>
      </c>
      <c r="C1193" t="s">
        <v>135</v>
      </c>
      <c r="D1193" t="s">
        <v>26</v>
      </c>
      <c r="E1193" t="s">
        <v>215</v>
      </c>
      <c r="F1193" t="s">
        <v>26</v>
      </c>
      <c r="H1193" t="s">
        <v>10</v>
      </c>
      <c r="I1193" t="s">
        <v>217</v>
      </c>
      <c r="J1193">
        <v>11</v>
      </c>
      <c r="N1193">
        <f>Таблица1[[#This Row],[Часов на заказчика  в работе]]+Таблица1[[#This Row],[Часов на заказчика  дежурство]]</f>
        <v>0</v>
      </c>
      <c r="O11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3" s="9">
        <v>120000</v>
      </c>
      <c r="R1193" s="9"/>
      <c r="S1193" s="5">
        <v>1.2</v>
      </c>
      <c r="T11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табеле]])*S1193,0)</f>
        <v>4800</v>
      </c>
      <c r="U1193" s="5">
        <f>IF(Таблица1[[#This Row],[ТТН]]&gt;0,Таблица1[[#This Row],[Ставка за ТТН]]*Таблица1[[#This Row],[ТТН]],0)</f>
        <v>0</v>
      </c>
    </row>
    <row r="1194" spans="1:21" x14ac:dyDescent="0.25">
      <c r="A1194" t="s">
        <v>84</v>
      </c>
      <c r="B1194" s="24">
        <v>24</v>
      </c>
      <c r="C1194" t="s">
        <v>135</v>
      </c>
      <c r="D1194" t="s">
        <v>26</v>
      </c>
      <c r="E1194" t="s">
        <v>215</v>
      </c>
      <c r="F1194" t="s">
        <v>26</v>
      </c>
      <c r="H1194" t="s">
        <v>10</v>
      </c>
      <c r="I1194" t="s">
        <v>217</v>
      </c>
      <c r="J1194">
        <v>11</v>
      </c>
      <c r="N1194">
        <f>Таблица1[[#This Row],[Часов на заказчика  в работе]]+Таблица1[[#This Row],[Часов на заказчика  дежурство]]</f>
        <v>0</v>
      </c>
      <c r="O11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4" s="9">
        <v>120000</v>
      </c>
      <c r="R1194" s="9"/>
      <c r="S1194" s="5">
        <v>1.2</v>
      </c>
      <c r="T11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табеле]])*S1194,0)</f>
        <v>4800</v>
      </c>
      <c r="U1194" s="5">
        <f>IF(Таблица1[[#This Row],[ТТН]]&gt;0,Таблица1[[#This Row],[Ставка за ТТН]]*Таблица1[[#This Row],[ТТН]],0)</f>
        <v>0</v>
      </c>
    </row>
    <row r="1195" spans="1:21" x14ac:dyDescent="0.25">
      <c r="A1195" t="s">
        <v>84</v>
      </c>
      <c r="B1195" s="24">
        <v>25</v>
      </c>
      <c r="C1195" t="s">
        <v>135</v>
      </c>
      <c r="D1195" t="s">
        <v>26</v>
      </c>
      <c r="E1195" t="s">
        <v>215</v>
      </c>
      <c r="F1195" t="s">
        <v>26</v>
      </c>
      <c r="H1195" t="s">
        <v>10</v>
      </c>
      <c r="I1195" t="s">
        <v>217</v>
      </c>
      <c r="J1195">
        <v>11</v>
      </c>
      <c r="N1195">
        <f>Таблица1[[#This Row],[Часов на заказчика  в работе]]+Таблица1[[#This Row],[Часов на заказчика  дежурство]]</f>
        <v>0</v>
      </c>
      <c r="O11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5" s="9">
        <v>120000</v>
      </c>
      <c r="R1195" s="9"/>
      <c r="S1195" s="5">
        <v>1.2</v>
      </c>
      <c r="T11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табеле]])*S1195,0)</f>
        <v>4800</v>
      </c>
      <c r="U1195" s="5">
        <f>IF(Таблица1[[#This Row],[ТТН]]&gt;0,Таблица1[[#This Row],[Ставка за ТТН]]*Таблица1[[#This Row],[ТТН]],0)</f>
        <v>0</v>
      </c>
    </row>
    <row r="1196" spans="1:21" x14ac:dyDescent="0.25">
      <c r="A1196" t="s">
        <v>84</v>
      </c>
      <c r="B1196" s="24">
        <v>26</v>
      </c>
      <c r="C1196" t="s">
        <v>135</v>
      </c>
      <c r="D1196" t="s">
        <v>26</v>
      </c>
      <c r="E1196" t="s">
        <v>215</v>
      </c>
      <c r="F1196" t="s">
        <v>26</v>
      </c>
      <c r="H1196" t="s">
        <v>10</v>
      </c>
      <c r="I1196" t="s">
        <v>217</v>
      </c>
      <c r="J1196">
        <v>11</v>
      </c>
      <c r="N1196">
        <f>Таблица1[[#This Row],[Часов на заказчика  в работе]]+Таблица1[[#This Row],[Часов на заказчика  дежурство]]</f>
        <v>0</v>
      </c>
      <c r="O11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6" s="9">
        <v>120000</v>
      </c>
      <c r="R1196" s="9"/>
      <c r="S1196" s="5">
        <v>1.2</v>
      </c>
      <c r="T11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табеле]])*S1196,0)</f>
        <v>4800</v>
      </c>
      <c r="U1196" s="5">
        <f>IF(Таблица1[[#This Row],[ТТН]]&gt;0,Таблица1[[#This Row],[Ставка за ТТН]]*Таблица1[[#This Row],[ТТН]],0)</f>
        <v>0</v>
      </c>
    </row>
    <row r="1197" spans="1:21" x14ac:dyDescent="0.25">
      <c r="A1197" t="s">
        <v>84</v>
      </c>
      <c r="B1197" s="24">
        <v>27</v>
      </c>
      <c r="C1197" t="s">
        <v>135</v>
      </c>
      <c r="D1197" t="s">
        <v>26</v>
      </c>
      <c r="E1197" t="s">
        <v>215</v>
      </c>
      <c r="F1197" t="s">
        <v>26</v>
      </c>
      <c r="H1197" t="s">
        <v>10</v>
      </c>
      <c r="I1197" t="s">
        <v>217</v>
      </c>
      <c r="J1197">
        <v>11</v>
      </c>
      <c r="N1197">
        <f>Таблица1[[#This Row],[Часов на заказчика  в работе]]+Таблица1[[#This Row],[Часов на заказчика  дежурство]]</f>
        <v>0</v>
      </c>
      <c r="O11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7" s="9">
        <v>120000</v>
      </c>
      <c r="R1197" s="9"/>
      <c r="S1197" s="5">
        <v>1.2</v>
      </c>
      <c r="T11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табеле]])*S1197,0)</f>
        <v>4800</v>
      </c>
      <c r="U1197" s="5">
        <f>IF(Таблица1[[#This Row],[ТТН]]&gt;0,Таблица1[[#This Row],[Ставка за ТТН]]*Таблица1[[#This Row],[ТТН]],0)</f>
        <v>0</v>
      </c>
    </row>
    <row r="1198" spans="1:21" x14ac:dyDescent="0.25">
      <c r="A1198" t="s">
        <v>84</v>
      </c>
      <c r="B1198" s="24">
        <v>28</v>
      </c>
      <c r="C1198" t="s">
        <v>135</v>
      </c>
      <c r="D1198" t="s">
        <v>26</v>
      </c>
      <c r="E1198" t="s">
        <v>215</v>
      </c>
      <c r="F1198" t="s">
        <v>26</v>
      </c>
      <c r="H1198" t="s">
        <v>10</v>
      </c>
      <c r="I1198" t="s">
        <v>217</v>
      </c>
      <c r="J1198">
        <v>11</v>
      </c>
      <c r="N1198">
        <f>Таблица1[[#This Row],[Часов на заказчика  в работе]]+Таблица1[[#This Row],[Часов на заказчика  дежурство]]</f>
        <v>0</v>
      </c>
      <c r="O11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8" s="9">
        <v>120000</v>
      </c>
      <c r="R1198" s="9"/>
      <c r="S1198" s="5">
        <v>1.2</v>
      </c>
      <c r="T11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табеле]])*S1198,0)</f>
        <v>4800</v>
      </c>
      <c r="U1198" s="5">
        <f>IF(Таблица1[[#This Row],[ТТН]]&gt;0,Таблица1[[#This Row],[Ставка за ТТН]]*Таблица1[[#This Row],[ТТН]],0)</f>
        <v>0</v>
      </c>
    </row>
    <row r="1199" spans="1:21" x14ac:dyDescent="0.25">
      <c r="A1199" t="s">
        <v>84</v>
      </c>
      <c r="B1199" s="24">
        <v>29</v>
      </c>
      <c r="C1199" t="s">
        <v>135</v>
      </c>
      <c r="D1199" t="s">
        <v>26</v>
      </c>
      <c r="E1199" t="s">
        <v>215</v>
      </c>
      <c r="F1199" t="s">
        <v>26</v>
      </c>
      <c r="H1199" t="s">
        <v>10</v>
      </c>
      <c r="I1199" t="s">
        <v>217</v>
      </c>
      <c r="J1199">
        <v>11</v>
      </c>
      <c r="N1199">
        <f>Таблица1[[#This Row],[Часов на заказчика  в работе]]+Таблица1[[#This Row],[Часов на заказчика  дежурство]]</f>
        <v>0</v>
      </c>
      <c r="O11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199" s="9">
        <v>120000</v>
      </c>
      <c r="R1199" s="9"/>
      <c r="S1199" s="5">
        <v>1.2</v>
      </c>
      <c r="T11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табеле]])*S1199,0)</f>
        <v>4800</v>
      </c>
      <c r="U1199" s="5">
        <f>IF(Таблица1[[#This Row],[ТТН]]&gt;0,Таблица1[[#This Row],[Ставка за ТТН]]*Таблица1[[#This Row],[ТТН]],0)</f>
        <v>0</v>
      </c>
    </row>
    <row r="1200" spans="1:21" x14ac:dyDescent="0.25">
      <c r="A1200" t="s">
        <v>84</v>
      </c>
      <c r="B1200" s="24">
        <v>30</v>
      </c>
      <c r="C1200" t="s">
        <v>136</v>
      </c>
      <c r="D1200" t="s">
        <v>26</v>
      </c>
      <c r="E1200" t="s">
        <v>215</v>
      </c>
      <c r="F1200" t="s">
        <v>26</v>
      </c>
      <c r="H1200" t="s">
        <v>10</v>
      </c>
      <c r="I1200" t="s">
        <v>217</v>
      </c>
      <c r="J1200">
        <v>11</v>
      </c>
      <c r="N1200">
        <f>Таблица1[[#This Row],[Часов на заказчика  в работе]]+Таблица1[[#This Row],[Часов на заказчика  дежурство]]</f>
        <v>0</v>
      </c>
      <c r="O12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0" s="9">
        <v>120000</v>
      </c>
      <c r="R1200" s="9"/>
      <c r="S1200" s="5">
        <v>1.2</v>
      </c>
      <c r="T12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табеле]])*S1200,0)</f>
        <v>4800</v>
      </c>
      <c r="U1200" s="5">
        <f>IF(Таблица1[[#This Row],[ТТН]]&gt;0,Таблица1[[#This Row],[Ставка за ТТН]]*Таблица1[[#This Row],[ТТН]],0)</f>
        <v>0</v>
      </c>
    </row>
    <row r="1201" spans="1:21" x14ac:dyDescent="0.25">
      <c r="A1201" t="s">
        <v>84</v>
      </c>
      <c r="B1201" s="24">
        <v>1</v>
      </c>
      <c r="C1201" t="s">
        <v>136</v>
      </c>
      <c r="D1201" t="s">
        <v>49</v>
      </c>
      <c r="E1201" t="s">
        <v>215</v>
      </c>
      <c r="F1201" t="s">
        <v>51</v>
      </c>
      <c r="H1201" t="s">
        <v>10</v>
      </c>
      <c r="I1201" t="s">
        <v>219</v>
      </c>
      <c r="J1201">
        <v>11</v>
      </c>
      <c r="L1201">
        <v>11</v>
      </c>
      <c r="N1201">
        <f>Таблица1[[#This Row],[Часов на заказчика  в работе]]+Таблица1[[#This Row],[Часов на заказчика  дежурство]]</f>
        <v>11</v>
      </c>
      <c r="O12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1" s="9">
        <v>180000</v>
      </c>
      <c r="R1201" s="9"/>
      <c r="S1201" s="5">
        <v>1</v>
      </c>
      <c r="T12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табеле]])*S1201,0)</f>
        <v>6000</v>
      </c>
      <c r="U1201" s="5">
        <f>IF(Таблица1[[#This Row],[ТТН]]&gt;0,Таблица1[[#This Row],[Ставка за ТТН]]*Таблица1[[#This Row],[ТТН]],0)</f>
        <v>0</v>
      </c>
    </row>
    <row r="1202" spans="1:21" x14ac:dyDescent="0.25">
      <c r="A1202" t="s">
        <v>84</v>
      </c>
      <c r="B1202" s="24">
        <v>2</v>
      </c>
      <c r="C1202" t="s">
        <v>136</v>
      </c>
      <c r="D1202" t="s">
        <v>49</v>
      </c>
      <c r="E1202" t="s">
        <v>215</v>
      </c>
      <c r="F1202" t="s">
        <v>51</v>
      </c>
      <c r="H1202" t="s">
        <v>10</v>
      </c>
      <c r="I1202" t="s">
        <v>219</v>
      </c>
      <c r="J1202">
        <v>11</v>
      </c>
      <c r="L1202">
        <v>11</v>
      </c>
      <c r="N1202">
        <f>Таблица1[[#This Row],[Часов на заказчика  в работе]]+Таблица1[[#This Row],[Часов на заказчика  дежурство]]</f>
        <v>11</v>
      </c>
      <c r="O12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2" s="9">
        <v>180000</v>
      </c>
      <c r="R1202" s="9"/>
      <c r="S1202" s="5">
        <v>1</v>
      </c>
      <c r="T12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табеле]])*S1202,0)</f>
        <v>6000</v>
      </c>
      <c r="U1202" s="5">
        <f>IF(Таблица1[[#This Row],[ТТН]]&gt;0,Таблица1[[#This Row],[Ставка за ТТН]]*Таблица1[[#This Row],[ТТН]],0)</f>
        <v>0</v>
      </c>
    </row>
    <row r="1203" spans="1:21" x14ac:dyDescent="0.25">
      <c r="A1203" t="s">
        <v>84</v>
      </c>
      <c r="B1203" s="24">
        <v>3</v>
      </c>
      <c r="C1203" t="s">
        <v>136</v>
      </c>
      <c r="D1203" t="s">
        <v>49</v>
      </c>
      <c r="E1203" t="s">
        <v>215</v>
      </c>
      <c r="F1203" t="s">
        <v>51</v>
      </c>
      <c r="H1203" t="s">
        <v>10</v>
      </c>
      <c r="I1203" t="s">
        <v>219</v>
      </c>
      <c r="J1203">
        <v>11</v>
      </c>
      <c r="L1203">
        <v>11</v>
      </c>
      <c r="N1203">
        <f>Таблица1[[#This Row],[Часов на заказчика  в работе]]+Таблица1[[#This Row],[Часов на заказчика  дежурство]]</f>
        <v>11</v>
      </c>
      <c r="O12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3" s="9">
        <v>180000</v>
      </c>
      <c r="R1203" s="9"/>
      <c r="S1203" s="5">
        <v>1</v>
      </c>
      <c r="T12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табеле]])*S1203,0)</f>
        <v>6000</v>
      </c>
      <c r="U1203" s="5">
        <f>IF(Таблица1[[#This Row],[ТТН]]&gt;0,Таблица1[[#This Row],[Ставка за ТТН]]*Таблица1[[#This Row],[ТТН]],0)</f>
        <v>0</v>
      </c>
    </row>
    <row r="1204" spans="1:21" x14ac:dyDescent="0.25">
      <c r="A1204" t="s">
        <v>84</v>
      </c>
      <c r="B1204" s="24">
        <v>4</v>
      </c>
      <c r="C1204" t="s">
        <v>136</v>
      </c>
      <c r="D1204" t="s">
        <v>49</v>
      </c>
      <c r="E1204" t="s">
        <v>215</v>
      </c>
      <c r="F1204" t="s">
        <v>51</v>
      </c>
      <c r="H1204" t="s">
        <v>10</v>
      </c>
      <c r="I1204" t="s">
        <v>219</v>
      </c>
      <c r="J1204">
        <v>11</v>
      </c>
      <c r="L1204">
        <v>11</v>
      </c>
      <c r="N1204">
        <f>Таблица1[[#This Row],[Часов на заказчика  в работе]]+Таблица1[[#This Row],[Часов на заказчика  дежурство]]</f>
        <v>11</v>
      </c>
      <c r="O12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4" s="9">
        <v>180000</v>
      </c>
      <c r="R1204" s="9"/>
      <c r="S1204" s="5">
        <v>1</v>
      </c>
      <c r="T12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табеле]])*S1204,0)</f>
        <v>6000</v>
      </c>
      <c r="U1204" s="5">
        <f>IF(Таблица1[[#This Row],[ТТН]]&gt;0,Таблица1[[#This Row],[Ставка за ТТН]]*Таблица1[[#This Row],[ТТН]],0)</f>
        <v>0</v>
      </c>
    </row>
    <row r="1205" spans="1:21" x14ac:dyDescent="0.25">
      <c r="A1205" t="s">
        <v>84</v>
      </c>
      <c r="B1205" s="24">
        <v>5</v>
      </c>
      <c r="C1205" t="s">
        <v>136</v>
      </c>
      <c r="D1205" t="s">
        <v>49</v>
      </c>
      <c r="E1205" t="s">
        <v>215</v>
      </c>
      <c r="F1205" t="s">
        <v>51</v>
      </c>
      <c r="H1205" t="s">
        <v>10</v>
      </c>
      <c r="I1205" t="s">
        <v>219</v>
      </c>
      <c r="J1205">
        <v>11</v>
      </c>
      <c r="L1205">
        <v>11</v>
      </c>
      <c r="N1205">
        <f>Таблица1[[#This Row],[Часов на заказчика  в работе]]+Таблица1[[#This Row],[Часов на заказчика  дежурство]]</f>
        <v>11</v>
      </c>
      <c r="O12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5" s="9">
        <v>180000</v>
      </c>
      <c r="R1205" s="9"/>
      <c r="S1205" s="5">
        <v>1</v>
      </c>
      <c r="T12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табеле]])*S1205,0)</f>
        <v>6000</v>
      </c>
      <c r="U1205" s="5">
        <f>IF(Таблица1[[#This Row],[ТТН]]&gt;0,Таблица1[[#This Row],[Ставка за ТТН]]*Таблица1[[#This Row],[ТТН]],0)</f>
        <v>0</v>
      </c>
    </row>
    <row r="1206" spans="1:21" x14ac:dyDescent="0.25">
      <c r="A1206" t="s">
        <v>84</v>
      </c>
      <c r="B1206" s="24">
        <v>6</v>
      </c>
      <c r="C1206" t="s">
        <v>136</v>
      </c>
      <c r="D1206" t="s">
        <v>49</v>
      </c>
      <c r="E1206" t="s">
        <v>215</v>
      </c>
      <c r="F1206" t="s">
        <v>51</v>
      </c>
      <c r="H1206" t="s">
        <v>10</v>
      </c>
      <c r="I1206" t="s">
        <v>219</v>
      </c>
      <c r="J1206">
        <v>11</v>
      </c>
      <c r="L1206">
        <v>11</v>
      </c>
      <c r="N1206">
        <f>Таблица1[[#This Row],[Часов на заказчика  в работе]]+Таблица1[[#This Row],[Часов на заказчика  дежурство]]</f>
        <v>11</v>
      </c>
      <c r="O12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6" s="9">
        <v>180000</v>
      </c>
      <c r="R1206" s="9"/>
      <c r="S1206" s="5">
        <v>1</v>
      </c>
      <c r="T12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табеле]])*S1206,0)</f>
        <v>6000</v>
      </c>
      <c r="U1206" s="5">
        <f>IF(Таблица1[[#This Row],[ТТН]]&gt;0,Таблица1[[#This Row],[Ставка за ТТН]]*Таблица1[[#This Row],[ТТН]],0)</f>
        <v>0</v>
      </c>
    </row>
    <row r="1207" spans="1:21" x14ac:dyDescent="0.25">
      <c r="A1207" t="s">
        <v>84</v>
      </c>
      <c r="B1207" s="24">
        <v>7</v>
      </c>
      <c r="C1207" t="s">
        <v>136</v>
      </c>
      <c r="D1207" t="s">
        <v>49</v>
      </c>
      <c r="E1207" t="s">
        <v>215</v>
      </c>
      <c r="F1207" t="s">
        <v>51</v>
      </c>
      <c r="H1207" t="s">
        <v>10</v>
      </c>
      <c r="I1207" t="s">
        <v>219</v>
      </c>
      <c r="J1207">
        <v>11</v>
      </c>
      <c r="L1207">
        <v>11</v>
      </c>
      <c r="N1207">
        <f>Таблица1[[#This Row],[Часов на заказчика  в работе]]+Таблица1[[#This Row],[Часов на заказчика  дежурство]]</f>
        <v>11</v>
      </c>
      <c r="O12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7" s="9">
        <v>180000</v>
      </c>
      <c r="R1207" s="9"/>
      <c r="S1207" s="5">
        <v>1</v>
      </c>
      <c r="T12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табеле]])*S1207,0)</f>
        <v>6000</v>
      </c>
      <c r="U1207" s="5">
        <f>IF(Таблица1[[#This Row],[ТТН]]&gt;0,Таблица1[[#This Row],[Ставка за ТТН]]*Таблица1[[#This Row],[ТТН]],0)</f>
        <v>0</v>
      </c>
    </row>
    <row r="1208" spans="1:21" x14ac:dyDescent="0.25">
      <c r="A1208" t="s">
        <v>84</v>
      </c>
      <c r="B1208" s="24">
        <v>8</v>
      </c>
      <c r="C1208" t="s">
        <v>136</v>
      </c>
      <c r="D1208" t="s">
        <v>49</v>
      </c>
      <c r="E1208" t="s">
        <v>215</v>
      </c>
      <c r="F1208" t="s">
        <v>51</v>
      </c>
      <c r="H1208" t="s">
        <v>10</v>
      </c>
      <c r="I1208" t="s">
        <v>219</v>
      </c>
      <c r="J1208">
        <v>11</v>
      </c>
      <c r="L1208">
        <v>11</v>
      </c>
      <c r="N1208">
        <f>Таблица1[[#This Row],[Часов на заказчика  в работе]]+Таблица1[[#This Row],[Часов на заказчика  дежурство]]</f>
        <v>11</v>
      </c>
      <c r="O12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8" s="9">
        <v>180000</v>
      </c>
      <c r="R1208" s="9"/>
      <c r="S1208" s="5">
        <v>1</v>
      </c>
      <c r="T12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табеле]])*S1208,0)</f>
        <v>6000</v>
      </c>
      <c r="U1208" s="5">
        <f>IF(Таблица1[[#This Row],[ТТН]]&gt;0,Таблица1[[#This Row],[Ставка за ТТН]]*Таблица1[[#This Row],[ТТН]],0)</f>
        <v>0</v>
      </c>
    </row>
    <row r="1209" spans="1:21" x14ac:dyDescent="0.25">
      <c r="A1209" t="s">
        <v>84</v>
      </c>
      <c r="B1209" s="24">
        <v>9</v>
      </c>
      <c r="C1209" t="s">
        <v>136</v>
      </c>
      <c r="D1209" t="s">
        <v>49</v>
      </c>
      <c r="E1209" t="s">
        <v>215</v>
      </c>
      <c r="F1209" t="s">
        <v>51</v>
      </c>
      <c r="H1209" t="s">
        <v>10</v>
      </c>
      <c r="I1209" t="s">
        <v>219</v>
      </c>
      <c r="J1209">
        <v>11</v>
      </c>
      <c r="L1209">
        <v>11</v>
      </c>
      <c r="N1209">
        <f>Таблица1[[#This Row],[Часов на заказчика  в работе]]+Таблица1[[#This Row],[Часов на заказчика  дежурство]]</f>
        <v>11</v>
      </c>
      <c r="O12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09" s="9">
        <v>180000</v>
      </c>
      <c r="R1209" s="9"/>
      <c r="S1209" s="5">
        <v>1</v>
      </c>
      <c r="T12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табеле]])*S1209,0)</f>
        <v>6000</v>
      </c>
      <c r="U1209" s="5">
        <f>IF(Таблица1[[#This Row],[ТТН]]&gt;0,Таблица1[[#This Row],[Ставка за ТТН]]*Таблица1[[#This Row],[ТТН]],0)</f>
        <v>0</v>
      </c>
    </row>
    <row r="1210" spans="1:21" x14ac:dyDescent="0.25">
      <c r="A1210" t="s">
        <v>84</v>
      </c>
      <c r="B1210" s="24">
        <v>10</v>
      </c>
      <c r="C1210" t="s">
        <v>136</v>
      </c>
      <c r="D1210" t="s">
        <v>49</v>
      </c>
      <c r="E1210" t="s">
        <v>215</v>
      </c>
      <c r="F1210" t="s">
        <v>51</v>
      </c>
      <c r="H1210" t="s">
        <v>24</v>
      </c>
      <c r="I1210" t="s">
        <v>217</v>
      </c>
      <c r="J1210">
        <v>8</v>
      </c>
      <c r="N1210">
        <f>Таблица1[[#This Row],[Часов на заказчика  в работе]]+Таблица1[[#This Row],[Часов на заказчика  дежурство]]</f>
        <v>0</v>
      </c>
      <c r="O12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0" s="9">
        <v>180000</v>
      </c>
      <c r="R1210" s="9"/>
      <c r="S1210" s="5">
        <v>1</v>
      </c>
      <c r="T12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табеле]])*S1210,0)</f>
        <v>0</v>
      </c>
      <c r="U1210" s="5">
        <f>IF(Таблица1[[#This Row],[ТТН]]&gt;0,Таблица1[[#This Row],[Ставка за ТТН]]*Таблица1[[#This Row],[ТТН]],0)</f>
        <v>0</v>
      </c>
    </row>
    <row r="1211" spans="1:21" x14ac:dyDescent="0.25">
      <c r="A1211" t="s">
        <v>84</v>
      </c>
      <c r="B1211" s="24">
        <v>11</v>
      </c>
      <c r="C1211" t="s">
        <v>136</v>
      </c>
      <c r="D1211" t="s">
        <v>49</v>
      </c>
      <c r="E1211" t="s">
        <v>215</v>
      </c>
      <c r="F1211" t="s">
        <v>51</v>
      </c>
      <c r="H1211" t="s">
        <v>24</v>
      </c>
      <c r="I1211" t="s">
        <v>217</v>
      </c>
      <c r="J1211">
        <v>8</v>
      </c>
      <c r="N1211">
        <f>Таблица1[[#This Row],[Часов на заказчика  в работе]]+Таблица1[[#This Row],[Часов на заказчика  дежурство]]</f>
        <v>0</v>
      </c>
      <c r="O12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1" s="9">
        <v>180000</v>
      </c>
      <c r="R1211" s="9"/>
      <c r="S1211" s="5">
        <v>1</v>
      </c>
      <c r="T12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табеле]])*S1211,0)</f>
        <v>0</v>
      </c>
      <c r="U1211" s="5">
        <f>IF(Таблица1[[#This Row],[ТТН]]&gt;0,Таблица1[[#This Row],[Ставка за ТТН]]*Таблица1[[#This Row],[ТТН]],0)</f>
        <v>0</v>
      </c>
    </row>
    <row r="1212" spans="1:21" x14ac:dyDescent="0.25">
      <c r="A1212" t="s">
        <v>84</v>
      </c>
      <c r="B1212" s="24">
        <v>12</v>
      </c>
      <c r="C1212" t="s">
        <v>136</v>
      </c>
      <c r="D1212" t="s">
        <v>49</v>
      </c>
      <c r="E1212" t="s">
        <v>215</v>
      </c>
      <c r="F1212" t="s">
        <v>51</v>
      </c>
      <c r="H1212" t="s">
        <v>24</v>
      </c>
      <c r="I1212" t="s">
        <v>217</v>
      </c>
      <c r="J1212">
        <v>8</v>
      </c>
      <c r="N1212">
        <f>Таблица1[[#This Row],[Часов на заказчика  в работе]]+Таблица1[[#This Row],[Часов на заказчика  дежурство]]</f>
        <v>0</v>
      </c>
      <c r="O12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2" s="9">
        <v>180000</v>
      </c>
      <c r="R1212" s="9"/>
      <c r="S1212" s="5">
        <v>1</v>
      </c>
      <c r="T12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табеле]])*S1212,0)</f>
        <v>0</v>
      </c>
      <c r="U1212" s="5">
        <f>IF(Таблица1[[#This Row],[ТТН]]&gt;0,Таблица1[[#This Row],[Ставка за ТТН]]*Таблица1[[#This Row],[ТТН]],0)</f>
        <v>0</v>
      </c>
    </row>
    <row r="1213" spans="1:21" x14ac:dyDescent="0.25">
      <c r="A1213" t="s">
        <v>84</v>
      </c>
      <c r="B1213" s="24">
        <v>13</v>
      </c>
      <c r="C1213" t="s">
        <v>136</v>
      </c>
      <c r="D1213" t="s">
        <v>49</v>
      </c>
      <c r="E1213" t="s">
        <v>215</v>
      </c>
      <c r="F1213" t="s">
        <v>51</v>
      </c>
      <c r="H1213" t="s">
        <v>30</v>
      </c>
      <c r="I1213" t="s">
        <v>217</v>
      </c>
      <c r="J1213">
        <v>1</v>
      </c>
      <c r="N1213">
        <f>Таблица1[[#This Row],[Часов на заказчика  в работе]]+Таблица1[[#This Row],[Часов на заказчика  дежурство]]</f>
        <v>0</v>
      </c>
      <c r="O12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3" s="9">
        <v>180000</v>
      </c>
      <c r="R1213" s="9"/>
      <c r="S1213" s="5">
        <v>1</v>
      </c>
      <c r="T12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табеле]])*S1213,0)</f>
        <v>0</v>
      </c>
      <c r="U1213" s="5">
        <f>IF(Таблица1[[#This Row],[ТТН]]&gt;0,Таблица1[[#This Row],[Ставка за ТТН]]*Таблица1[[#This Row],[ТТН]],0)</f>
        <v>0</v>
      </c>
    </row>
    <row r="1214" spans="1:21" x14ac:dyDescent="0.25">
      <c r="A1214" t="s">
        <v>84</v>
      </c>
      <c r="B1214" s="24">
        <v>14</v>
      </c>
      <c r="C1214" t="s">
        <v>136</v>
      </c>
      <c r="D1214" t="s">
        <v>49</v>
      </c>
      <c r="E1214" t="s">
        <v>215</v>
      </c>
      <c r="F1214" t="s">
        <v>51</v>
      </c>
      <c r="H1214" t="s">
        <v>30</v>
      </c>
      <c r="I1214" t="s">
        <v>217</v>
      </c>
      <c r="J1214">
        <v>1</v>
      </c>
      <c r="N1214">
        <f>Таблица1[[#This Row],[Часов на заказчика  в работе]]+Таблица1[[#This Row],[Часов на заказчика  дежурство]]</f>
        <v>0</v>
      </c>
      <c r="O12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4" s="9">
        <v>180000</v>
      </c>
      <c r="R1214" s="9"/>
      <c r="S1214" s="5">
        <v>1</v>
      </c>
      <c r="T12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табеле]])*S1214,0)</f>
        <v>0</v>
      </c>
      <c r="U1214" s="5">
        <f>IF(Таблица1[[#This Row],[ТТН]]&gt;0,Таблица1[[#This Row],[Ставка за ТТН]]*Таблица1[[#This Row],[ТТН]],0)</f>
        <v>0</v>
      </c>
    </row>
    <row r="1215" spans="1:21" x14ac:dyDescent="0.25">
      <c r="A1215" t="s">
        <v>84</v>
      </c>
      <c r="B1215" s="24">
        <v>15</v>
      </c>
      <c r="C1215" t="s">
        <v>136</v>
      </c>
      <c r="D1215" t="s">
        <v>49</v>
      </c>
      <c r="E1215" t="s">
        <v>215</v>
      </c>
      <c r="F1215" t="s">
        <v>51</v>
      </c>
      <c r="H1215" t="s">
        <v>29</v>
      </c>
      <c r="I1215" t="s">
        <v>217</v>
      </c>
      <c r="J1215">
        <v>8</v>
      </c>
      <c r="N1215">
        <f>Таблица1[[#This Row],[Часов на заказчика  в работе]]+Таблица1[[#This Row],[Часов на заказчика  дежурство]]</f>
        <v>0</v>
      </c>
      <c r="O12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5" s="9">
        <v>180000</v>
      </c>
      <c r="R1215" s="9"/>
      <c r="S1215" s="5">
        <v>1</v>
      </c>
      <c r="T12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табеле]])*S1215,0)</f>
        <v>0</v>
      </c>
      <c r="U1215" s="5">
        <f>IF(Таблица1[[#This Row],[ТТН]]&gt;0,Таблица1[[#This Row],[Ставка за ТТН]]*Таблица1[[#This Row],[ТТН]],0)</f>
        <v>0</v>
      </c>
    </row>
    <row r="1216" spans="1:21" x14ac:dyDescent="0.25">
      <c r="A1216" t="s">
        <v>84</v>
      </c>
      <c r="B1216" s="24">
        <v>16</v>
      </c>
      <c r="C1216" t="s">
        <v>136</v>
      </c>
      <c r="D1216" t="s">
        <v>49</v>
      </c>
      <c r="E1216" t="s">
        <v>215</v>
      </c>
      <c r="F1216" t="s">
        <v>51</v>
      </c>
      <c r="H1216" t="s">
        <v>29</v>
      </c>
      <c r="I1216" t="s">
        <v>217</v>
      </c>
      <c r="J1216">
        <v>8</v>
      </c>
      <c r="N1216">
        <f>Таблица1[[#This Row],[Часов на заказчика  в работе]]+Таблица1[[#This Row],[Часов на заказчика  дежурство]]</f>
        <v>0</v>
      </c>
      <c r="O12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6" s="9">
        <v>180000</v>
      </c>
      <c r="R1216" s="9"/>
      <c r="S1216" s="5">
        <v>1</v>
      </c>
      <c r="T12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табеле]])*S1216,0)</f>
        <v>0</v>
      </c>
      <c r="U1216" s="5">
        <f>IF(Таблица1[[#This Row],[ТТН]]&gt;0,Таблица1[[#This Row],[Ставка за ТТН]]*Таблица1[[#This Row],[ТТН]],0)</f>
        <v>0</v>
      </c>
    </row>
    <row r="1217" spans="1:21" x14ac:dyDescent="0.25">
      <c r="A1217" t="s">
        <v>84</v>
      </c>
      <c r="B1217" s="24">
        <v>17</v>
      </c>
      <c r="C1217" t="s">
        <v>136</v>
      </c>
      <c r="D1217" t="s">
        <v>49</v>
      </c>
      <c r="E1217" t="s">
        <v>215</v>
      </c>
      <c r="F1217" t="s">
        <v>51</v>
      </c>
      <c r="H1217" t="s">
        <v>29</v>
      </c>
      <c r="I1217" t="s">
        <v>217</v>
      </c>
      <c r="J1217">
        <v>8</v>
      </c>
      <c r="N1217">
        <f>Таблица1[[#This Row],[Часов на заказчика  в работе]]+Таблица1[[#This Row],[Часов на заказчика  дежурство]]</f>
        <v>0</v>
      </c>
      <c r="O12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7" s="9">
        <v>180000</v>
      </c>
      <c r="R1217" s="9"/>
      <c r="S1217" s="5">
        <v>1</v>
      </c>
      <c r="T12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табеле]])*S1217,0)</f>
        <v>0</v>
      </c>
      <c r="U1217" s="5">
        <f>IF(Таблица1[[#This Row],[ТТН]]&gt;0,Таблица1[[#This Row],[Ставка за ТТН]]*Таблица1[[#This Row],[ТТН]],0)</f>
        <v>0</v>
      </c>
    </row>
    <row r="1218" spans="1:21" x14ac:dyDescent="0.25">
      <c r="A1218" t="s">
        <v>84</v>
      </c>
      <c r="B1218" s="24">
        <v>18</v>
      </c>
      <c r="C1218" t="s">
        <v>136</v>
      </c>
      <c r="D1218" t="s">
        <v>49</v>
      </c>
      <c r="E1218" t="s">
        <v>215</v>
      </c>
      <c r="F1218" t="s">
        <v>51</v>
      </c>
      <c r="H1218" t="s">
        <v>29</v>
      </c>
      <c r="I1218" t="s">
        <v>217</v>
      </c>
      <c r="J1218">
        <v>8</v>
      </c>
      <c r="N1218">
        <f>Таблица1[[#This Row],[Часов на заказчика  в работе]]+Таблица1[[#This Row],[Часов на заказчика  дежурство]]</f>
        <v>0</v>
      </c>
      <c r="O12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8" s="9">
        <v>180000</v>
      </c>
      <c r="R1218" s="9"/>
      <c r="S1218" s="5">
        <v>1</v>
      </c>
      <c r="T12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табеле]])*S1218,0)</f>
        <v>0</v>
      </c>
      <c r="U1218" s="5">
        <f>IF(Таблица1[[#This Row],[ТТН]]&gt;0,Таблица1[[#This Row],[Ставка за ТТН]]*Таблица1[[#This Row],[ТТН]],0)</f>
        <v>0</v>
      </c>
    </row>
    <row r="1219" spans="1:21" x14ac:dyDescent="0.25">
      <c r="A1219" t="s">
        <v>84</v>
      </c>
      <c r="B1219" s="24">
        <v>19</v>
      </c>
      <c r="C1219" t="s">
        <v>136</v>
      </c>
      <c r="D1219" t="s">
        <v>49</v>
      </c>
      <c r="E1219" t="s">
        <v>215</v>
      </c>
      <c r="F1219" t="s">
        <v>51</v>
      </c>
      <c r="H1219" t="s">
        <v>29</v>
      </c>
      <c r="I1219" t="s">
        <v>217</v>
      </c>
      <c r="J1219">
        <v>8</v>
      </c>
      <c r="N1219">
        <f>Таблица1[[#This Row],[Часов на заказчика  в работе]]+Таблица1[[#This Row],[Часов на заказчика  дежурство]]</f>
        <v>0</v>
      </c>
      <c r="O12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19" s="9">
        <v>180000</v>
      </c>
      <c r="R1219" s="9"/>
      <c r="S1219" s="5">
        <v>1</v>
      </c>
      <c r="T12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табеле]])*S1219,0)</f>
        <v>0</v>
      </c>
      <c r="U1219" s="5">
        <f>IF(Таблица1[[#This Row],[ТТН]]&gt;0,Таблица1[[#This Row],[Ставка за ТТН]]*Таблица1[[#This Row],[ТТН]],0)</f>
        <v>0</v>
      </c>
    </row>
    <row r="1220" spans="1:21" x14ac:dyDescent="0.25">
      <c r="A1220" t="s">
        <v>84</v>
      </c>
      <c r="B1220" s="24">
        <v>20</v>
      </c>
      <c r="C1220" t="s">
        <v>136</v>
      </c>
      <c r="D1220" t="s">
        <v>49</v>
      </c>
      <c r="E1220" t="s">
        <v>215</v>
      </c>
      <c r="F1220" t="s">
        <v>51</v>
      </c>
      <c r="H1220" t="s">
        <v>30</v>
      </c>
      <c r="I1220" t="s">
        <v>217</v>
      </c>
      <c r="J1220">
        <v>1</v>
      </c>
      <c r="N1220">
        <f>Таблица1[[#This Row],[Часов на заказчика  в работе]]+Таблица1[[#This Row],[Часов на заказчика  дежурство]]</f>
        <v>0</v>
      </c>
      <c r="O12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0" s="9">
        <v>180000</v>
      </c>
      <c r="R1220" s="9"/>
      <c r="S1220" s="5">
        <v>1</v>
      </c>
      <c r="T12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табеле]])*S1220,0)</f>
        <v>0</v>
      </c>
      <c r="U1220" s="5">
        <f>IF(Таблица1[[#This Row],[ТТН]]&gt;0,Таблица1[[#This Row],[Ставка за ТТН]]*Таблица1[[#This Row],[ТТН]],0)</f>
        <v>0</v>
      </c>
    </row>
    <row r="1221" spans="1:21" x14ac:dyDescent="0.25">
      <c r="A1221" t="s">
        <v>84</v>
      </c>
      <c r="B1221" s="24">
        <v>21</v>
      </c>
      <c r="C1221" t="s">
        <v>136</v>
      </c>
      <c r="D1221" t="s">
        <v>49</v>
      </c>
      <c r="E1221" t="s">
        <v>215</v>
      </c>
      <c r="F1221" t="s">
        <v>51</v>
      </c>
      <c r="H1221" t="s">
        <v>30</v>
      </c>
      <c r="I1221" t="s">
        <v>217</v>
      </c>
      <c r="J1221">
        <v>1</v>
      </c>
      <c r="N1221">
        <f>Таблица1[[#This Row],[Часов на заказчика  в работе]]+Таблица1[[#This Row],[Часов на заказчика  дежурство]]</f>
        <v>0</v>
      </c>
      <c r="O12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1" s="9">
        <v>180000</v>
      </c>
      <c r="R1221" s="9"/>
      <c r="S1221" s="5">
        <v>1</v>
      </c>
      <c r="T12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табеле]])*S1221,0)</f>
        <v>0</v>
      </c>
      <c r="U1221" s="5">
        <f>IF(Таблица1[[#This Row],[ТТН]]&gt;0,Таблица1[[#This Row],[Ставка за ТТН]]*Таблица1[[#This Row],[ТТН]],0)</f>
        <v>0</v>
      </c>
    </row>
    <row r="1222" spans="1:21" x14ac:dyDescent="0.25">
      <c r="A1222" t="s">
        <v>84</v>
      </c>
      <c r="B1222" s="24">
        <v>22</v>
      </c>
      <c r="C1222" t="s">
        <v>136</v>
      </c>
      <c r="D1222" t="s">
        <v>49</v>
      </c>
      <c r="E1222" t="s">
        <v>215</v>
      </c>
      <c r="F1222" t="s">
        <v>51</v>
      </c>
      <c r="H1222" t="s">
        <v>29</v>
      </c>
      <c r="I1222" t="s">
        <v>217</v>
      </c>
      <c r="J1222">
        <v>8</v>
      </c>
      <c r="N1222">
        <f>Таблица1[[#This Row],[Часов на заказчика  в работе]]+Таблица1[[#This Row],[Часов на заказчика  дежурство]]</f>
        <v>0</v>
      </c>
      <c r="O12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2" s="9">
        <v>180000</v>
      </c>
      <c r="R1222" s="9"/>
      <c r="S1222" s="5">
        <v>1</v>
      </c>
      <c r="T12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табеле]])*S1222,0)</f>
        <v>0</v>
      </c>
      <c r="U1222" s="5">
        <f>IF(Таблица1[[#This Row],[ТТН]]&gt;0,Таблица1[[#This Row],[Ставка за ТТН]]*Таблица1[[#This Row],[ТТН]],0)</f>
        <v>0</v>
      </c>
    </row>
    <row r="1223" spans="1:21" x14ac:dyDescent="0.25">
      <c r="A1223" t="s">
        <v>84</v>
      </c>
      <c r="B1223" s="24">
        <v>23</v>
      </c>
      <c r="C1223" t="s">
        <v>136</v>
      </c>
      <c r="D1223" t="s">
        <v>49</v>
      </c>
      <c r="E1223" t="s">
        <v>215</v>
      </c>
      <c r="F1223" t="s">
        <v>51</v>
      </c>
      <c r="H1223" t="s">
        <v>29</v>
      </c>
      <c r="I1223" t="s">
        <v>217</v>
      </c>
      <c r="J1223">
        <v>8</v>
      </c>
      <c r="N1223">
        <f>Таблица1[[#This Row],[Часов на заказчика  в работе]]+Таблица1[[#This Row],[Часов на заказчика  дежурство]]</f>
        <v>0</v>
      </c>
      <c r="O12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3" s="9">
        <v>180000</v>
      </c>
      <c r="R1223" s="9"/>
      <c r="S1223" s="5">
        <v>1</v>
      </c>
      <c r="T12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табеле]])*S1223,0)</f>
        <v>0</v>
      </c>
      <c r="U1223" s="5">
        <f>IF(Таблица1[[#This Row],[ТТН]]&gt;0,Таблица1[[#This Row],[Ставка за ТТН]]*Таблица1[[#This Row],[ТТН]],0)</f>
        <v>0</v>
      </c>
    </row>
    <row r="1224" spans="1:21" x14ac:dyDescent="0.25">
      <c r="A1224" t="s">
        <v>84</v>
      </c>
      <c r="B1224" s="24">
        <v>24</v>
      </c>
      <c r="C1224" t="s">
        <v>136</v>
      </c>
      <c r="D1224" t="s">
        <v>49</v>
      </c>
      <c r="E1224" t="s">
        <v>215</v>
      </c>
      <c r="F1224" t="s">
        <v>51</v>
      </c>
      <c r="H1224" t="s">
        <v>29</v>
      </c>
      <c r="I1224" t="s">
        <v>217</v>
      </c>
      <c r="J1224">
        <v>8</v>
      </c>
      <c r="N1224">
        <f>Таблица1[[#This Row],[Часов на заказчика  в работе]]+Таблица1[[#This Row],[Часов на заказчика  дежурство]]</f>
        <v>0</v>
      </c>
      <c r="O12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4" s="9">
        <v>180000</v>
      </c>
      <c r="R1224" s="9"/>
      <c r="S1224" s="5">
        <v>1</v>
      </c>
      <c r="T12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табеле]])*S1224,0)</f>
        <v>0</v>
      </c>
      <c r="U1224" s="5">
        <f>IF(Таблица1[[#This Row],[ТТН]]&gt;0,Таблица1[[#This Row],[Ставка за ТТН]]*Таблица1[[#This Row],[ТТН]],0)</f>
        <v>0</v>
      </c>
    </row>
    <row r="1225" spans="1:21" x14ac:dyDescent="0.25">
      <c r="A1225" t="s">
        <v>84</v>
      </c>
      <c r="B1225" s="24">
        <v>25</v>
      </c>
      <c r="C1225" t="s">
        <v>136</v>
      </c>
      <c r="D1225" t="s">
        <v>49</v>
      </c>
      <c r="E1225" t="s">
        <v>215</v>
      </c>
      <c r="F1225" t="s">
        <v>51</v>
      </c>
      <c r="H1225" t="s">
        <v>29</v>
      </c>
      <c r="I1225" t="s">
        <v>217</v>
      </c>
      <c r="J1225">
        <v>8</v>
      </c>
      <c r="N1225">
        <f>Таблица1[[#This Row],[Часов на заказчика  в работе]]+Таблица1[[#This Row],[Часов на заказчика  дежурство]]</f>
        <v>0</v>
      </c>
      <c r="O12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5" s="9">
        <v>180000</v>
      </c>
      <c r="R1225" s="9"/>
      <c r="S1225" s="5">
        <v>1</v>
      </c>
      <c r="T12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табеле]])*S1225,0)</f>
        <v>0</v>
      </c>
      <c r="U1225" s="5">
        <f>IF(Таблица1[[#This Row],[ТТН]]&gt;0,Таблица1[[#This Row],[Ставка за ТТН]]*Таблица1[[#This Row],[ТТН]],0)</f>
        <v>0</v>
      </c>
    </row>
    <row r="1226" spans="1:21" x14ac:dyDescent="0.25">
      <c r="A1226" t="s">
        <v>84</v>
      </c>
      <c r="B1226" s="24">
        <v>26</v>
      </c>
      <c r="C1226" t="s">
        <v>136</v>
      </c>
      <c r="D1226" t="s">
        <v>49</v>
      </c>
      <c r="E1226" t="s">
        <v>215</v>
      </c>
      <c r="F1226" t="s">
        <v>51</v>
      </c>
      <c r="H1226" t="s">
        <v>29</v>
      </c>
      <c r="I1226" t="s">
        <v>217</v>
      </c>
      <c r="J1226">
        <v>8</v>
      </c>
      <c r="N1226">
        <f>Таблица1[[#This Row],[Часов на заказчика  в работе]]+Таблица1[[#This Row],[Часов на заказчика  дежурство]]</f>
        <v>0</v>
      </c>
      <c r="O12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6" s="9">
        <v>180000</v>
      </c>
      <c r="R1226" s="9"/>
      <c r="S1226" s="5">
        <v>1</v>
      </c>
      <c r="T12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табеле]])*S1226,0)</f>
        <v>0</v>
      </c>
      <c r="U1226" s="5">
        <f>IF(Таблица1[[#This Row],[ТТН]]&gt;0,Таблица1[[#This Row],[Ставка за ТТН]]*Таблица1[[#This Row],[ТТН]],0)</f>
        <v>0</v>
      </c>
    </row>
    <row r="1227" spans="1:21" x14ac:dyDescent="0.25">
      <c r="A1227" t="s">
        <v>84</v>
      </c>
      <c r="B1227" s="24">
        <v>27</v>
      </c>
      <c r="C1227" t="s">
        <v>136</v>
      </c>
      <c r="D1227" t="s">
        <v>49</v>
      </c>
      <c r="E1227" t="s">
        <v>215</v>
      </c>
      <c r="F1227" t="s">
        <v>51</v>
      </c>
      <c r="H1227" t="s">
        <v>30</v>
      </c>
      <c r="I1227" t="s">
        <v>217</v>
      </c>
      <c r="J1227">
        <v>1</v>
      </c>
      <c r="N1227">
        <f>Таблица1[[#This Row],[Часов на заказчика  в работе]]+Таблица1[[#This Row],[Часов на заказчика  дежурство]]</f>
        <v>0</v>
      </c>
      <c r="O12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7" s="9">
        <v>180000</v>
      </c>
      <c r="R1227" s="9"/>
      <c r="S1227" s="5">
        <v>1</v>
      </c>
      <c r="T12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табеле]])*S1227,0)</f>
        <v>0</v>
      </c>
      <c r="U1227" s="5">
        <f>IF(Таблица1[[#This Row],[ТТН]]&gt;0,Таблица1[[#This Row],[Ставка за ТТН]]*Таблица1[[#This Row],[ТТН]],0)</f>
        <v>0</v>
      </c>
    </row>
    <row r="1228" spans="1:21" x14ac:dyDescent="0.25">
      <c r="A1228" t="s">
        <v>84</v>
      </c>
      <c r="B1228" s="24">
        <v>28</v>
      </c>
      <c r="C1228" t="s">
        <v>136</v>
      </c>
      <c r="D1228" t="s">
        <v>49</v>
      </c>
      <c r="E1228" t="s">
        <v>215</v>
      </c>
      <c r="F1228" t="s">
        <v>51</v>
      </c>
      <c r="H1228" t="s">
        <v>30</v>
      </c>
      <c r="I1228" t="s">
        <v>217</v>
      </c>
      <c r="J1228">
        <v>1</v>
      </c>
      <c r="N1228">
        <f>Таблица1[[#This Row],[Часов на заказчика  в работе]]+Таблица1[[#This Row],[Часов на заказчика  дежурство]]</f>
        <v>0</v>
      </c>
      <c r="O12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8" s="9">
        <v>180000</v>
      </c>
      <c r="R1228" s="9"/>
      <c r="S1228" s="5">
        <v>1</v>
      </c>
      <c r="T12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табеле]])*S1228,0)</f>
        <v>0</v>
      </c>
      <c r="U1228" s="5">
        <f>IF(Таблица1[[#This Row],[ТТН]]&gt;0,Таблица1[[#This Row],[Ставка за ТТН]]*Таблица1[[#This Row],[ТТН]],0)</f>
        <v>0</v>
      </c>
    </row>
    <row r="1229" spans="1:21" x14ac:dyDescent="0.25">
      <c r="A1229" t="s">
        <v>84</v>
      </c>
      <c r="B1229" s="24">
        <v>29</v>
      </c>
      <c r="C1229" t="s">
        <v>136</v>
      </c>
      <c r="D1229" t="s">
        <v>49</v>
      </c>
      <c r="E1229" t="s">
        <v>215</v>
      </c>
      <c r="F1229" t="s">
        <v>51</v>
      </c>
      <c r="H1229" t="s">
        <v>29</v>
      </c>
      <c r="I1229" t="s">
        <v>217</v>
      </c>
      <c r="J1229">
        <v>8</v>
      </c>
      <c r="N1229">
        <f>Таблица1[[#This Row],[Часов на заказчика  в работе]]+Таблица1[[#This Row],[Часов на заказчика  дежурство]]</f>
        <v>0</v>
      </c>
      <c r="O12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29" s="9">
        <v>180000</v>
      </c>
      <c r="R1229" s="9"/>
      <c r="S1229" s="5">
        <v>1</v>
      </c>
      <c r="T12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табеле]])*S1229,0)</f>
        <v>0</v>
      </c>
      <c r="U1229" s="5">
        <f>IF(Таблица1[[#This Row],[ТТН]]&gt;0,Таблица1[[#This Row],[Ставка за ТТН]]*Таблица1[[#This Row],[ТТН]],0)</f>
        <v>0</v>
      </c>
    </row>
    <row r="1230" spans="1:21" x14ac:dyDescent="0.25">
      <c r="A1230" t="s">
        <v>84</v>
      </c>
      <c r="B1230" s="24">
        <v>30</v>
      </c>
      <c r="C1230" t="s">
        <v>137</v>
      </c>
      <c r="D1230" t="s">
        <v>49</v>
      </c>
      <c r="E1230" t="s">
        <v>215</v>
      </c>
      <c r="F1230" t="s">
        <v>51</v>
      </c>
      <c r="H1230" t="s">
        <v>29</v>
      </c>
      <c r="I1230" t="s">
        <v>217</v>
      </c>
      <c r="J1230">
        <v>8</v>
      </c>
      <c r="N1230">
        <f>Таблица1[[#This Row],[Часов на заказчика  в работе]]+Таблица1[[#This Row],[Часов на заказчика  дежурство]]</f>
        <v>0</v>
      </c>
      <c r="O12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0" s="9">
        <v>180000</v>
      </c>
      <c r="R1230" s="9"/>
      <c r="S1230" s="5">
        <v>1</v>
      </c>
      <c r="T12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табеле]])*S1230,0)</f>
        <v>0</v>
      </c>
      <c r="U1230" s="5">
        <f>IF(Таблица1[[#This Row],[ТТН]]&gt;0,Таблица1[[#This Row],[Ставка за ТТН]]*Таблица1[[#This Row],[ТТН]],0)</f>
        <v>0</v>
      </c>
    </row>
    <row r="1231" spans="1:21" x14ac:dyDescent="0.25">
      <c r="A1231" t="s">
        <v>84</v>
      </c>
      <c r="B1231" s="24">
        <v>1</v>
      </c>
      <c r="C1231" t="s">
        <v>137</v>
      </c>
      <c r="D1231" t="s">
        <v>28</v>
      </c>
      <c r="E1231" t="s">
        <v>215</v>
      </c>
      <c r="F1231" t="s">
        <v>28</v>
      </c>
      <c r="H1231" t="s">
        <v>10</v>
      </c>
      <c r="I1231" t="s">
        <v>219</v>
      </c>
      <c r="J1231">
        <v>11</v>
      </c>
      <c r="N1231">
        <f>Таблица1[[#This Row],[Часов на заказчика  в работе]]+Таблица1[[#This Row],[Часов на заказчика  дежурство]]</f>
        <v>0</v>
      </c>
      <c r="O12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1" s="9">
        <v>110000</v>
      </c>
      <c r="R1231" s="9"/>
      <c r="S1231" s="5">
        <v>1</v>
      </c>
      <c r="T12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табеле]])*S1231,0)</f>
        <v>3666.6666666666665</v>
      </c>
      <c r="U1231" s="5">
        <f>IF(Таблица1[[#This Row],[ТТН]]&gt;0,Таблица1[[#This Row],[Ставка за ТТН]]*Таблица1[[#This Row],[ТТН]],0)</f>
        <v>0</v>
      </c>
    </row>
    <row r="1232" spans="1:21" x14ac:dyDescent="0.25">
      <c r="A1232" t="s">
        <v>84</v>
      </c>
      <c r="B1232" s="24">
        <v>2</v>
      </c>
      <c r="C1232" t="s">
        <v>137</v>
      </c>
      <c r="D1232" t="s">
        <v>28</v>
      </c>
      <c r="E1232" t="s">
        <v>215</v>
      </c>
      <c r="F1232" t="s">
        <v>28</v>
      </c>
      <c r="H1232" t="s">
        <v>10</v>
      </c>
      <c r="I1232" t="s">
        <v>219</v>
      </c>
      <c r="J1232">
        <v>11</v>
      </c>
      <c r="N1232">
        <f>Таблица1[[#This Row],[Часов на заказчика  в работе]]+Таблица1[[#This Row],[Часов на заказчика  дежурство]]</f>
        <v>0</v>
      </c>
      <c r="O12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2" s="9">
        <v>110000</v>
      </c>
      <c r="R1232" s="9"/>
      <c r="S1232" s="5">
        <v>1</v>
      </c>
      <c r="T12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табеле]])*S1232,0)</f>
        <v>3666.6666666666665</v>
      </c>
      <c r="U1232" s="5">
        <f>IF(Таблица1[[#This Row],[ТТН]]&gt;0,Таблица1[[#This Row],[Ставка за ТТН]]*Таблица1[[#This Row],[ТТН]],0)</f>
        <v>0</v>
      </c>
    </row>
    <row r="1233" spans="1:21" x14ac:dyDescent="0.25">
      <c r="A1233" t="s">
        <v>84</v>
      </c>
      <c r="B1233" s="24">
        <v>3</v>
      </c>
      <c r="C1233" t="s">
        <v>137</v>
      </c>
      <c r="D1233" t="s">
        <v>28</v>
      </c>
      <c r="E1233" t="s">
        <v>215</v>
      </c>
      <c r="F1233" t="s">
        <v>28</v>
      </c>
      <c r="H1233" t="s">
        <v>10</v>
      </c>
      <c r="I1233" t="s">
        <v>219</v>
      </c>
      <c r="J1233">
        <v>11</v>
      </c>
      <c r="N1233">
        <f>Таблица1[[#This Row],[Часов на заказчика  в работе]]+Таблица1[[#This Row],[Часов на заказчика  дежурство]]</f>
        <v>0</v>
      </c>
      <c r="O12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3" s="9">
        <v>110000</v>
      </c>
      <c r="R1233" s="9"/>
      <c r="S1233" s="5">
        <v>1</v>
      </c>
      <c r="T12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табеле]])*S1233,0)</f>
        <v>3666.6666666666665</v>
      </c>
      <c r="U1233" s="5">
        <f>IF(Таблица1[[#This Row],[ТТН]]&gt;0,Таблица1[[#This Row],[Ставка за ТТН]]*Таблица1[[#This Row],[ТТН]],0)</f>
        <v>0</v>
      </c>
    </row>
    <row r="1234" spans="1:21" x14ac:dyDescent="0.25">
      <c r="A1234" t="s">
        <v>84</v>
      </c>
      <c r="B1234" s="24">
        <v>4</v>
      </c>
      <c r="C1234" t="s">
        <v>137</v>
      </c>
      <c r="D1234" t="s">
        <v>28</v>
      </c>
      <c r="E1234" t="s">
        <v>215</v>
      </c>
      <c r="F1234" t="s">
        <v>28</v>
      </c>
      <c r="H1234" t="s">
        <v>10</v>
      </c>
      <c r="I1234" t="s">
        <v>219</v>
      </c>
      <c r="J1234">
        <v>11</v>
      </c>
      <c r="N1234">
        <f>Таблица1[[#This Row],[Часов на заказчика  в работе]]+Таблица1[[#This Row],[Часов на заказчика  дежурство]]</f>
        <v>0</v>
      </c>
      <c r="O12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4" s="9">
        <v>110000</v>
      </c>
      <c r="R1234" s="9"/>
      <c r="S1234" s="5">
        <v>1</v>
      </c>
      <c r="T12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табеле]])*S1234,0)</f>
        <v>3666.6666666666665</v>
      </c>
      <c r="U1234" s="5">
        <f>IF(Таблица1[[#This Row],[ТТН]]&gt;0,Таблица1[[#This Row],[Ставка за ТТН]]*Таблица1[[#This Row],[ТТН]],0)</f>
        <v>0</v>
      </c>
    </row>
    <row r="1235" spans="1:21" x14ac:dyDescent="0.25">
      <c r="A1235" t="s">
        <v>84</v>
      </c>
      <c r="B1235" s="24">
        <v>5</v>
      </c>
      <c r="C1235" t="s">
        <v>137</v>
      </c>
      <c r="D1235" t="s">
        <v>28</v>
      </c>
      <c r="E1235" t="s">
        <v>215</v>
      </c>
      <c r="F1235" t="s">
        <v>28</v>
      </c>
      <c r="H1235" t="s">
        <v>38</v>
      </c>
      <c r="I1235" t="s">
        <v>219</v>
      </c>
      <c r="J1235">
        <v>11</v>
      </c>
      <c r="N1235">
        <f>Таблица1[[#This Row],[Часов на заказчика  в работе]]+Таблица1[[#This Row],[Часов на заказчика  дежурство]]</f>
        <v>0</v>
      </c>
      <c r="O12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5" s="9">
        <v>110000</v>
      </c>
      <c r="R1235" s="9"/>
      <c r="S1235" s="5">
        <v>1</v>
      </c>
      <c r="T12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табеле]])*S1235,0)</f>
        <v>3666.6666666666665</v>
      </c>
      <c r="U1235" s="5">
        <f>IF(Таблица1[[#This Row],[ТТН]]&gt;0,Таблица1[[#This Row],[Ставка за ТТН]]*Таблица1[[#This Row],[ТТН]],0)</f>
        <v>0</v>
      </c>
    </row>
    <row r="1236" spans="1:21" x14ac:dyDescent="0.25">
      <c r="A1236" t="s">
        <v>84</v>
      </c>
      <c r="B1236" s="24">
        <v>6</v>
      </c>
      <c r="C1236" t="s">
        <v>137</v>
      </c>
      <c r="D1236" t="s">
        <v>28</v>
      </c>
      <c r="E1236" t="s">
        <v>215</v>
      </c>
      <c r="F1236" t="s">
        <v>28</v>
      </c>
      <c r="H1236" t="s">
        <v>38</v>
      </c>
      <c r="I1236" t="s">
        <v>219</v>
      </c>
      <c r="J1236">
        <v>11</v>
      </c>
      <c r="N1236">
        <f>Таблица1[[#This Row],[Часов на заказчика  в работе]]+Таблица1[[#This Row],[Часов на заказчика  дежурство]]</f>
        <v>0</v>
      </c>
      <c r="O12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6" s="9">
        <v>110000</v>
      </c>
      <c r="R1236" s="9"/>
      <c r="S1236" s="5">
        <v>1</v>
      </c>
      <c r="T12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табеле]])*S1236,0)</f>
        <v>3666.6666666666665</v>
      </c>
      <c r="U1236" s="5">
        <f>IF(Таблица1[[#This Row],[ТТН]]&gt;0,Таблица1[[#This Row],[Ставка за ТТН]]*Таблица1[[#This Row],[ТТН]],0)</f>
        <v>0</v>
      </c>
    </row>
    <row r="1237" spans="1:21" x14ac:dyDescent="0.25">
      <c r="A1237" t="s">
        <v>84</v>
      </c>
      <c r="B1237" s="24">
        <v>7</v>
      </c>
      <c r="C1237" t="s">
        <v>137</v>
      </c>
      <c r="D1237" t="s">
        <v>28</v>
      </c>
      <c r="E1237" t="s">
        <v>215</v>
      </c>
      <c r="F1237" t="s">
        <v>28</v>
      </c>
      <c r="H1237" t="s">
        <v>38</v>
      </c>
      <c r="I1237" t="s">
        <v>219</v>
      </c>
      <c r="J1237">
        <v>11</v>
      </c>
      <c r="N1237">
        <f>Таблица1[[#This Row],[Часов на заказчика  в работе]]+Таблица1[[#This Row],[Часов на заказчика  дежурство]]</f>
        <v>0</v>
      </c>
      <c r="O12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7" s="9">
        <v>110000</v>
      </c>
      <c r="R1237" s="9"/>
      <c r="S1237" s="5">
        <v>1</v>
      </c>
      <c r="T12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табеле]])*S1237,0)</f>
        <v>3666.6666666666665</v>
      </c>
      <c r="U1237" s="5">
        <f>IF(Таблица1[[#This Row],[ТТН]]&gt;0,Таблица1[[#This Row],[Ставка за ТТН]]*Таблица1[[#This Row],[ТТН]],0)</f>
        <v>0</v>
      </c>
    </row>
    <row r="1238" spans="1:21" x14ac:dyDescent="0.25">
      <c r="A1238" t="s">
        <v>84</v>
      </c>
      <c r="B1238" s="24">
        <v>8</v>
      </c>
      <c r="C1238" t="s">
        <v>137</v>
      </c>
      <c r="D1238" t="s">
        <v>28</v>
      </c>
      <c r="E1238" t="s">
        <v>215</v>
      </c>
      <c r="F1238" t="s">
        <v>28</v>
      </c>
      <c r="H1238" t="s">
        <v>10</v>
      </c>
      <c r="I1238" t="s">
        <v>219</v>
      </c>
      <c r="J1238">
        <v>11</v>
      </c>
      <c r="N1238">
        <f>Таблица1[[#This Row],[Часов на заказчика  в работе]]+Таблица1[[#This Row],[Часов на заказчика  дежурство]]</f>
        <v>0</v>
      </c>
      <c r="O12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8" s="9">
        <v>110000</v>
      </c>
      <c r="R1238" s="9"/>
      <c r="S1238" s="5">
        <v>1</v>
      </c>
      <c r="T12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табеле]])*S1238,0)</f>
        <v>3666.6666666666665</v>
      </c>
      <c r="U1238" s="5">
        <f>IF(Таблица1[[#This Row],[ТТН]]&gt;0,Таблица1[[#This Row],[Ставка за ТТН]]*Таблица1[[#This Row],[ТТН]],0)</f>
        <v>0</v>
      </c>
    </row>
    <row r="1239" spans="1:21" x14ac:dyDescent="0.25">
      <c r="A1239" t="s">
        <v>84</v>
      </c>
      <c r="B1239" s="24">
        <v>9</v>
      </c>
      <c r="C1239" t="s">
        <v>137</v>
      </c>
      <c r="D1239" t="s">
        <v>28</v>
      </c>
      <c r="E1239" t="s">
        <v>215</v>
      </c>
      <c r="F1239" t="s">
        <v>28</v>
      </c>
      <c r="H1239" t="s">
        <v>10</v>
      </c>
      <c r="I1239" t="s">
        <v>219</v>
      </c>
      <c r="J1239">
        <v>11</v>
      </c>
      <c r="N1239">
        <f>Таблица1[[#This Row],[Часов на заказчика  в работе]]+Таблица1[[#This Row],[Часов на заказчика  дежурство]]</f>
        <v>0</v>
      </c>
      <c r="O12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39" s="9">
        <v>110000</v>
      </c>
      <c r="R1239" s="9"/>
      <c r="S1239" s="5">
        <v>1</v>
      </c>
      <c r="T12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табеле]])*S1239,0)</f>
        <v>3666.6666666666665</v>
      </c>
      <c r="U1239" s="5">
        <f>IF(Таблица1[[#This Row],[ТТН]]&gt;0,Таблица1[[#This Row],[Ставка за ТТН]]*Таблица1[[#This Row],[ТТН]],0)</f>
        <v>0</v>
      </c>
    </row>
    <row r="1240" spans="1:21" x14ac:dyDescent="0.25">
      <c r="A1240" t="s">
        <v>84</v>
      </c>
      <c r="B1240" s="24">
        <v>10</v>
      </c>
      <c r="C1240" t="s">
        <v>137</v>
      </c>
      <c r="D1240" t="s">
        <v>28</v>
      </c>
      <c r="E1240" t="s">
        <v>215</v>
      </c>
      <c r="F1240" t="s">
        <v>28</v>
      </c>
      <c r="H1240" t="s">
        <v>10</v>
      </c>
      <c r="I1240" t="s">
        <v>219</v>
      </c>
      <c r="J1240">
        <v>11</v>
      </c>
      <c r="N1240">
        <f>Таблица1[[#This Row],[Часов на заказчика  в работе]]+Таблица1[[#This Row],[Часов на заказчика  дежурство]]</f>
        <v>0</v>
      </c>
      <c r="O12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0" s="9">
        <v>110000</v>
      </c>
      <c r="R1240" s="9"/>
      <c r="S1240" s="5">
        <v>1</v>
      </c>
      <c r="T12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табеле]])*S1240,0)</f>
        <v>3666.6666666666665</v>
      </c>
      <c r="U1240" s="5">
        <f>IF(Таблица1[[#This Row],[ТТН]]&gt;0,Таблица1[[#This Row],[Ставка за ТТН]]*Таблица1[[#This Row],[ТТН]],0)</f>
        <v>0</v>
      </c>
    </row>
    <row r="1241" spans="1:21" x14ac:dyDescent="0.25">
      <c r="A1241" t="s">
        <v>84</v>
      </c>
      <c r="B1241" s="24">
        <v>11</v>
      </c>
      <c r="C1241" t="s">
        <v>137</v>
      </c>
      <c r="D1241" t="s">
        <v>28</v>
      </c>
      <c r="E1241" t="s">
        <v>215</v>
      </c>
      <c r="F1241" t="s">
        <v>28</v>
      </c>
      <c r="H1241" t="s">
        <v>10</v>
      </c>
      <c r="I1241" t="s">
        <v>219</v>
      </c>
      <c r="J1241">
        <v>11</v>
      </c>
      <c r="N1241">
        <f>Таблица1[[#This Row],[Часов на заказчика  в работе]]+Таблица1[[#This Row],[Часов на заказчика  дежурство]]</f>
        <v>0</v>
      </c>
      <c r="O12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1" s="9">
        <v>110000</v>
      </c>
      <c r="R1241" s="9"/>
      <c r="S1241" s="5">
        <v>1</v>
      </c>
      <c r="T12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табеле]])*S1241,0)</f>
        <v>3666.6666666666665</v>
      </c>
      <c r="U1241" s="5">
        <f>IF(Таблица1[[#This Row],[ТТН]]&gt;0,Таблица1[[#This Row],[Ставка за ТТН]]*Таблица1[[#This Row],[ТТН]],0)</f>
        <v>0</v>
      </c>
    </row>
    <row r="1242" spans="1:21" x14ac:dyDescent="0.25">
      <c r="A1242" t="s">
        <v>84</v>
      </c>
      <c r="B1242" s="24">
        <v>12</v>
      </c>
      <c r="C1242" t="s">
        <v>137</v>
      </c>
      <c r="D1242" t="s">
        <v>28</v>
      </c>
      <c r="E1242" t="s">
        <v>215</v>
      </c>
      <c r="F1242" t="s">
        <v>28</v>
      </c>
      <c r="H1242" t="s">
        <v>10</v>
      </c>
      <c r="I1242" t="s">
        <v>219</v>
      </c>
      <c r="J1242">
        <v>11</v>
      </c>
      <c r="N1242">
        <f>Таблица1[[#This Row],[Часов на заказчика  в работе]]+Таблица1[[#This Row],[Часов на заказчика  дежурство]]</f>
        <v>0</v>
      </c>
      <c r="O12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2" s="9">
        <v>110000</v>
      </c>
      <c r="R1242" s="9"/>
      <c r="S1242" s="5">
        <v>1</v>
      </c>
      <c r="T12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табеле]])*S1242,0)</f>
        <v>3666.6666666666665</v>
      </c>
      <c r="U1242" s="5">
        <f>IF(Таблица1[[#This Row],[ТТН]]&gt;0,Таблица1[[#This Row],[Ставка за ТТН]]*Таблица1[[#This Row],[ТТН]],0)</f>
        <v>0</v>
      </c>
    </row>
    <row r="1243" spans="1:21" x14ac:dyDescent="0.25">
      <c r="A1243" t="s">
        <v>84</v>
      </c>
      <c r="B1243" s="24">
        <v>13</v>
      </c>
      <c r="C1243" t="s">
        <v>137</v>
      </c>
      <c r="D1243" t="s">
        <v>28</v>
      </c>
      <c r="E1243" t="s">
        <v>215</v>
      </c>
      <c r="F1243" t="s">
        <v>28</v>
      </c>
      <c r="H1243" t="s">
        <v>10</v>
      </c>
      <c r="I1243" t="s">
        <v>219</v>
      </c>
      <c r="J1243">
        <v>11</v>
      </c>
      <c r="N1243">
        <f>Таблица1[[#This Row],[Часов на заказчика  в работе]]+Таблица1[[#This Row],[Часов на заказчика  дежурство]]</f>
        <v>0</v>
      </c>
      <c r="O12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3" s="9">
        <v>110000</v>
      </c>
      <c r="R1243" s="9"/>
      <c r="S1243" s="5">
        <v>1</v>
      </c>
      <c r="T12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табеле]])*S1243,0)</f>
        <v>3666.6666666666665</v>
      </c>
      <c r="U1243" s="5">
        <f>IF(Таблица1[[#This Row],[ТТН]]&gt;0,Таблица1[[#This Row],[Ставка за ТТН]]*Таблица1[[#This Row],[ТТН]],0)</f>
        <v>0</v>
      </c>
    </row>
    <row r="1244" spans="1:21" x14ac:dyDescent="0.25">
      <c r="A1244" t="s">
        <v>84</v>
      </c>
      <c r="B1244" s="24">
        <v>14</v>
      </c>
      <c r="C1244" t="s">
        <v>137</v>
      </c>
      <c r="D1244" t="s">
        <v>28</v>
      </c>
      <c r="E1244" t="s">
        <v>215</v>
      </c>
      <c r="F1244" t="s">
        <v>28</v>
      </c>
      <c r="H1244" t="s">
        <v>10</v>
      </c>
      <c r="I1244" t="s">
        <v>219</v>
      </c>
      <c r="J1244">
        <v>11</v>
      </c>
      <c r="N1244">
        <f>Таблица1[[#This Row],[Часов на заказчика  в работе]]+Таблица1[[#This Row],[Часов на заказчика  дежурство]]</f>
        <v>0</v>
      </c>
      <c r="O12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4" s="9">
        <v>110000</v>
      </c>
      <c r="R1244" s="9"/>
      <c r="S1244" s="5">
        <v>1</v>
      </c>
      <c r="T12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табеле]])*S1244,0)</f>
        <v>3666.6666666666665</v>
      </c>
      <c r="U1244" s="5">
        <f>IF(Таблица1[[#This Row],[ТТН]]&gt;0,Таблица1[[#This Row],[Ставка за ТТН]]*Таблица1[[#This Row],[ТТН]],0)</f>
        <v>0</v>
      </c>
    </row>
    <row r="1245" spans="1:21" x14ac:dyDescent="0.25">
      <c r="A1245" t="s">
        <v>84</v>
      </c>
      <c r="B1245" s="24">
        <v>15</v>
      </c>
      <c r="C1245" t="s">
        <v>137</v>
      </c>
      <c r="D1245" t="s">
        <v>28</v>
      </c>
      <c r="E1245" t="s">
        <v>215</v>
      </c>
      <c r="F1245" t="s">
        <v>28</v>
      </c>
      <c r="H1245" t="s">
        <v>10</v>
      </c>
      <c r="I1245" t="s">
        <v>219</v>
      </c>
      <c r="J1245">
        <v>11</v>
      </c>
      <c r="N1245">
        <f>Таблица1[[#This Row],[Часов на заказчика  в работе]]+Таблица1[[#This Row],[Часов на заказчика  дежурство]]</f>
        <v>0</v>
      </c>
      <c r="O12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5" s="9">
        <v>110000</v>
      </c>
      <c r="R1245" s="9"/>
      <c r="S1245" s="5">
        <v>1</v>
      </c>
      <c r="T12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табеле]])*S1245,0)</f>
        <v>3666.6666666666665</v>
      </c>
      <c r="U1245" s="5">
        <f>IF(Таблица1[[#This Row],[ТТН]]&gt;0,Таблица1[[#This Row],[Ставка за ТТН]]*Таблица1[[#This Row],[ТТН]],0)</f>
        <v>0</v>
      </c>
    </row>
    <row r="1246" spans="1:21" x14ac:dyDescent="0.25">
      <c r="A1246" t="s">
        <v>84</v>
      </c>
      <c r="B1246" s="24">
        <v>16</v>
      </c>
      <c r="C1246" t="s">
        <v>137</v>
      </c>
      <c r="D1246" t="s">
        <v>28</v>
      </c>
      <c r="E1246" t="s">
        <v>215</v>
      </c>
      <c r="F1246" t="s">
        <v>28</v>
      </c>
      <c r="H1246" t="s">
        <v>10</v>
      </c>
      <c r="I1246" t="s">
        <v>219</v>
      </c>
      <c r="J1246">
        <v>12</v>
      </c>
      <c r="N1246">
        <f>Таблица1[[#This Row],[Часов на заказчика  в работе]]+Таблица1[[#This Row],[Часов на заказчика  дежурство]]</f>
        <v>0</v>
      </c>
      <c r="O12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6" s="9">
        <v>110000</v>
      </c>
      <c r="R1246" s="9"/>
      <c r="S1246" s="5">
        <v>1</v>
      </c>
      <c r="T12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табеле]])*S1246,0)</f>
        <v>4000</v>
      </c>
      <c r="U1246" s="5">
        <f>IF(Таблица1[[#This Row],[ТТН]]&gt;0,Таблица1[[#This Row],[Ставка за ТТН]]*Таблица1[[#This Row],[ТТН]],0)</f>
        <v>0</v>
      </c>
    </row>
    <row r="1247" spans="1:21" x14ac:dyDescent="0.25">
      <c r="A1247" t="s">
        <v>84</v>
      </c>
      <c r="B1247" s="24">
        <v>17</v>
      </c>
      <c r="C1247" t="s">
        <v>137</v>
      </c>
      <c r="D1247" t="s">
        <v>28</v>
      </c>
      <c r="E1247" t="s">
        <v>215</v>
      </c>
      <c r="F1247" t="s">
        <v>28</v>
      </c>
      <c r="H1247" t="s">
        <v>10</v>
      </c>
      <c r="I1247" t="s">
        <v>219</v>
      </c>
      <c r="J1247">
        <v>12</v>
      </c>
      <c r="N1247">
        <f>Таблица1[[#This Row],[Часов на заказчика  в работе]]+Таблица1[[#This Row],[Часов на заказчика  дежурство]]</f>
        <v>0</v>
      </c>
      <c r="O12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7" s="9">
        <v>110000</v>
      </c>
      <c r="R1247" s="9"/>
      <c r="S1247" s="5">
        <v>1</v>
      </c>
      <c r="T12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табеле]])*S1247,0)</f>
        <v>4000</v>
      </c>
      <c r="U1247" s="5">
        <f>IF(Таблица1[[#This Row],[ТТН]]&gt;0,Таблица1[[#This Row],[Ставка за ТТН]]*Таблица1[[#This Row],[ТТН]],0)</f>
        <v>0</v>
      </c>
    </row>
    <row r="1248" spans="1:21" x14ac:dyDescent="0.25">
      <c r="A1248" t="s">
        <v>84</v>
      </c>
      <c r="B1248" s="24">
        <v>18</v>
      </c>
      <c r="C1248" t="s">
        <v>137</v>
      </c>
      <c r="D1248" t="s">
        <v>28</v>
      </c>
      <c r="E1248" t="s">
        <v>215</v>
      </c>
      <c r="F1248" t="s">
        <v>28</v>
      </c>
      <c r="H1248" t="s">
        <v>10</v>
      </c>
      <c r="I1248" t="s">
        <v>219</v>
      </c>
      <c r="J1248">
        <v>12</v>
      </c>
      <c r="N1248">
        <f>Таблица1[[#This Row],[Часов на заказчика  в работе]]+Таблица1[[#This Row],[Часов на заказчика  дежурство]]</f>
        <v>0</v>
      </c>
      <c r="O12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8" s="9">
        <v>110000</v>
      </c>
      <c r="R1248" s="9"/>
      <c r="S1248" s="5">
        <v>1</v>
      </c>
      <c r="T12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табеле]])*S1248,0)</f>
        <v>4000</v>
      </c>
      <c r="U1248" s="5">
        <f>IF(Таблица1[[#This Row],[ТТН]]&gt;0,Таблица1[[#This Row],[Ставка за ТТН]]*Таблица1[[#This Row],[ТТН]],0)</f>
        <v>0</v>
      </c>
    </row>
    <row r="1249" spans="1:21" x14ac:dyDescent="0.25">
      <c r="A1249" t="s">
        <v>84</v>
      </c>
      <c r="B1249" s="24">
        <v>19</v>
      </c>
      <c r="C1249" t="s">
        <v>137</v>
      </c>
      <c r="D1249" t="s">
        <v>28</v>
      </c>
      <c r="E1249" t="s">
        <v>215</v>
      </c>
      <c r="F1249" t="s">
        <v>28</v>
      </c>
      <c r="H1249" t="s">
        <v>10</v>
      </c>
      <c r="I1249" t="s">
        <v>219</v>
      </c>
      <c r="J1249">
        <v>12</v>
      </c>
      <c r="N1249">
        <f>Таблица1[[#This Row],[Часов на заказчика  в работе]]+Таблица1[[#This Row],[Часов на заказчика  дежурство]]</f>
        <v>0</v>
      </c>
      <c r="O12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49" s="9">
        <v>110000</v>
      </c>
      <c r="R1249" s="9"/>
      <c r="S1249" s="5">
        <v>1</v>
      </c>
      <c r="T12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табеле]])*S1249,0)</f>
        <v>4000</v>
      </c>
      <c r="U1249" s="5">
        <f>IF(Таблица1[[#This Row],[ТТН]]&gt;0,Таблица1[[#This Row],[Ставка за ТТН]]*Таблица1[[#This Row],[ТТН]],0)</f>
        <v>0</v>
      </c>
    </row>
    <row r="1250" spans="1:21" x14ac:dyDescent="0.25">
      <c r="A1250" t="s">
        <v>84</v>
      </c>
      <c r="B1250" s="24">
        <v>20</v>
      </c>
      <c r="C1250" t="s">
        <v>137</v>
      </c>
      <c r="D1250" t="s">
        <v>28</v>
      </c>
      <c r="E1250" t="s">
        <v>215</v>
      </c>
      <c r="F1250" t="s">
        <v>28</v>
      </c>
      <c r="H1250" t="s">
        <v>10</v>
      </c>
      <c r="I1250" t="s">
        <v>219</v>
      </c>
      <c r="J1250">
        <v>12</v>
      </c>
      <c r="N1250">
        <f>Таблица1[[#This Row],[Часов на заказчика  в работе]]+Таблица1[[#This Row],[Часов на заказчика  дежурство]]</f>
        <v>0</v>
      </c>
      <c r="O12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0" s="9">
        <v>110000</v>
      </c>
      <c r="R1250" s="9"/>
      <c r="S1250" s="5">
        <v>1</v>
      </c>
      <c r="T12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табеле]])*S1250,0)</f>
        <v>4000</v>
      </c>
      <c r="U1250" s="5">
        <f>IF(Таблица1[[#This Row],[ТТН]]&gt;0,Таблица1[[#This Row],[Ставка за ТТН]]*Таблица1[[#This Row],[ТТН]],0)</f>
        <v>0</v>
      </c>
    </row>
    <row r="1251" spans="1:21" x14ac:dyDescent="0.25">
      <c r="A1251" t="s">
        <v>84</v>
      </c>
      <c r="B1251" s="24">
        <v>21</v>
      </c>
      <c r="C1251" t="s">
        <v>137</v>
      </c>
      <c r="D1251" t="s">
        <v>28</v>
      </c>
      <c r="E1251" t="s">
        <v>215</v>
      </c>
      <c r="F1251" t="s">
        <v>28</v>
      </c>
      <c r="H1251" t="s">
        <v>10</v>
      </c>
      <c r="I1251" t="s">
        <v>219</v>
      </c>
      <c r="J1251">
        <v>11</v>
      </c>
      <c r="N1251">
        <f>Таблица1[[#This Row],[Часов на заказчика  в работе]]+Таблица1[[#This Row],[Часов на заказчика  дежурство]]</f>
        <v>0</v>
      </c>
      <c r="O12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1" s="9">
        <v>110000</v>
      </c>
      <c r="R1251" s="9"/>
      <c r="S1251" s="5">
        <v>1</v>
      </c>
      <c r="T12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табеле]])*S1251,0)</f>
        <v>3666.6666666666665</v>
      </c>
      <c r="U1251" s="5">
        <f>IF(Таблица1[[#This Row],[ТТН]]&gt;0,Таблица1[[#This Row],[Ставка за ТТН]]*Таблица1[[#This Row],[ТТН]],0)</f>
        <v>0</v>
      </c>
    </row>
    <row r="1252" spans="1:21" x14ac:dyDescent="0.25">
      <c r="A1252" t="s">
        <v>84</v>
      </c>
      <c r="B1252" s="24">
        <v>22</v>
      </c>
      <c r="C1252" t="s">
        <v>137</v>
      </c>
      <c r="D1252" t="s">
        <v>28</v>
      </c>
      <c r="E1252" t="s">
        <v>215</v>
      </c>
      <c r="F1252" t="s">
        <v>28</v>
      </c>
      <c r="H1252" t="s">
        <v>10</v>
      </c>
      <c r="I1252" t="s">
        <v>219</v>
      </c>
      <c r="J1252">
        <v>11</v>
      </c>
      <c r="N1252">
        <f>Таблица1[[#This Row],[Часов на заказчика  в работе]]+Таблица1[[#This Row],[Часов на заказчика  дежурство]]</f>
        <v>0</v>
      </c>
      <c r="O12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2" s="9">
        <v>110000</v>
      </c>
      <c r="R1252" s="9"/>
      <c r="S1252" s="5">
        <v>1</v>
      </c>
      <c r="T12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табеле]])*S1252,0)</f>
        <v>3666.6666666666665</v>
      </c>
      <c r="U1252" s="5">
        <f>IF(Таблица1[[#This Row],[ТТН]]&gt;0,Таблица1[[#This Row],[Ставка за ТТН]]*Таблица1[[#This Row],[ТТН]],0)</f>
        <v>0</v>
      </c>
    </row>
    <row r="1253" spans="1:21" x14ac:dyDescent="0.25">
      <c r="A1253" t="s">
        <v>84</v>
      </c>
      <c r="B1253" s="24">
        <v>23</v>
      </c>
      <c r="C1253" t="s">
        <v>137</v>
      </c>
      <c r="D1253" t="s">
        <v>28</v>
      </c>
      <c r="E1253" t="s">
        <v>215</v>
      </c>
      <c r="F1253" t="s">
        <v>28</v>
      </c>
      <c r="H1253" t="s">
        <v>10</v>
      </c>
      <c r="I1253" t="s">
        <v>219</v>
      </c>
      <c r="J1253">
        <v>11</v>
      </c>
      <c r="N1253">
        <f>Таблица1[[#This Row],[Часов на заказчика  в работе]]+Таблица1[[#This Row],[Часов на заказчика  дежурство]]</f>
        <v>0</v>
      </c>
      <c r="O12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3" s="9">
        <v>110000</v>
      </c>
      <c r="R1253" s="9"/>
      <c r="S1253" s="5">
        <v>1</v>
      </c>
      <c r="T12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табеле]])*S1253,0)</f>
        <v>3666.6666666666665</v>
      </c>
      <c r="U1253" s="5">
        <f>IF(Таблица1[[#This Row],[ТТН]]&gt;0,Таблица1[[#This Row],[Ставка за ТТН]]*Таблица1[[#This Row],[ТТН]],0)</f>
        <v>0</v>
      </c>
    </row>
    <row r="1254" spans="1:21" x14ac:dyDescent="0.25">
      <c r="A1254" t="s">
        <v>84</v>
      </c>
      <c r="B1254" s="24">
        <v>24</v>
      </c>
      <c r="C1254" t="s">
        <v>137</v>
      </c>
      <c r="D1254" t="s">
        <v>28</v>
      </c>
      <c r="E1254" t="s">
        <v>215</v>
      </c>
      <c r="F1254" t="s">
        <v>28</v>
      </c>
      <c r="H1254" t="s">
        <v>10</v>
      </c>
      <c r="I1254" t="s">
        <v>219</v>
      </c>
      <c r="J1254">
        <v>11</v>
      </c>
      <c r="N1254">
        <f>Таблица1[[#This Row],[Часов на заказчика  в работе]]+Таблица1[[#This Row],[Часов на заказчика  дежурство]]</f>
        <v>0</v>
      </c>
      <c r="O12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4" s="9">
        <v>110000</v>
      </c>
      <c r="R1254" s="9"/>
      <c r="S1254" s="5">
        <v>1</v>
      </c>
      <c r="T12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табеле]])*S1254,0)</f>
        <v>3666.6666666666665</v>
      </c>
      <c r="U1254" s="5">
        <f>IF(Таблица1[[#This Row],[ТТН]]&gt;0,Таблица1[[#This Row],[Ставка за ТТН]]*Таблица1[[#This Row],[ТТН]],0)</f>
        <v>0</v>
      </c>
    </row>
    <row r="1255" spans="1:21" x14ac:dyDescent="0.25">
      <c r="A1255" t="s">
        <v>84</v>
      </c>
      <c r="B1255" s="24">
        <v>25</v>
      </c>
      <c r="C1255" t="s">
        <v>137</v>
      </c>
      <c r="D1255" t="s">
        <v>28</v>
      </c>
      <c r="E1255" t="s">
        <v>215</v>
      </c>
      <c r="F1255" t="s">
        <v>28</v>
      </c>
      <c r="H1255" t="s">
        <v>10</v>
      </c>
      <c r="I1255" t="s">
        <v>219</v>
      </c>
      <c r="J1255">
        <v>11</v>
      </c>
      <c r="N1255">
        <f>Таблица1[[#This Row],[Часов на заказчика  в работе]]+Таблица1[[#This Row],[Часов на заказчика  дежурство]]</f>
        <v>0</v>
      </c>
      <c r="O12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5" s="9">
        <v>110000</v>
      </c>
      <c r="R1255" s="9"/>
      <c r="S1255" s="5">
        <v>1</v>
      </c>
      <c r="T12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табеле]])*S1255,0)</f>
        <v>3666.6666666666665</v>
      </c>
      <c r="U1255" s="5">
        <f>IF(Таблица1[[#This Row],[ТТН]]&gt;0,Таблица1[[#This Row],[Ставка за ТТН]]*Таблица1[[#This Row],[ТТН]],0)</f>
        <v>0</v>
      </c>
    </row>
    <row r="1256" spans="1:21" x14ac:dyDescent="0.25">
      <c r="A1256" t="s">
        <v>84</v>
      </c>
      <c r="B1256" s="24">
        <v>26</v>
      </c>
      <c r="C1256" t="s">
        <v>137</v>
      </c>
      <c r="D1256" t="s">
        <v>28</v>
      </c>
      <c r="E1256" t="s">
        <v>215</v>
      </c>
      <c r="F1256" t="s">
        <v>28</v>
      </c>
      <c r="H1256" t="s">
        <v>10</v>
      </c>
      <c r="I1256" t="s">
        <v>219</v>
      </c>
      <c r="J1256">
        <v>11</v>
      </c>
      <c r="N1256">
        <f>Таблица1[[#This Row],[Часов на заказчика  в работе]]+Таблица1[[#This Row],[Часов на заказчика  дежурство]]</f>
        <v>0</v>
      </c>
      <c r="O12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6" s="9">
        <v>110000</v>
      </c>
      <c r="R1256" s="9"/>
      <c r="S1256" s="5">
        <v>1</v>
      </c>
      <c r="T12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табеле]])*S1256,0)</f>
        <v>3666.6666666666665</v>
      </c>
      <c r="U1256" s="5">
        <f>IF(Таблица1[[#This Row],[ТТН]]&gt;0,Таблица1[[#This Row],[Ставка за ТТН]]*Таблица1[[#This Row],[ТТН]],0)</f>
        <v>0</v>
      </c>
    </row>
    <row r="1257" spans="1:21" x14ac:dyDescent="0.25">
      <c r="A1257" t="s">
        <v>84</v>
      </c>
      <c r="B1257" s="24">
        <v>27</v>
      </c>
      <c r="C1257" t="s">
        <v>137</v>
      </c>
      <c r="D1257" t="s">
        <v>28</v>
      </c>
      <c r="E1257" t="s">
        <v>215</v>
      </c>
      <c r="F1257" t="s">
        <v>28</v>
      </c>
      <c r="H1257" t="s">
        <v>10</v>
      </c>
      <c r="I1257" t="s">
        <v>219</v>
      </c>
      <c r="J1257">
        <v>11</v>
      </c>
      <c r="N1257">
        <f>Таблица1[[#This Row],[Часов на заказчика  в работе]]+Таблица1[[#This Row],[Часов на заказчика  дежурство]]</f>
        <v>0</v>
      </c>
      <c r="O12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7" s="9">
        <v>110000</v>
      </c>
      <c r="R1257" s="9"/>
      <c r="S1257" s="5">
        <v>1</v>
      </c>
      <c r="T12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табеле]])*S1257,0)</f>
        <v>3666.6666666666665</v>
      </c>
      <c r="U1257" s="5">
        <f>IF(Таблица1[[#This Row],[ТТН]]&gt;0,Таблица1[[#This Row],[Ставка за ТТН]]*Таблица1[[#This Row],[ТТН]],0)</f>
        <v>0</v>
      </c>
    </row>
    <row r="1258" spans="1:21" x14ac:dyDescent="0.25">
      <c r="A1258" t="s">
        <v>84</v>
      </c>
      <c r="B1258" s="24">
        <v>28</v>
      </c>
      <c r="C1258" t="s">
        <v>137</v>
      </c>
      <c r="D1258" t="s">
        <v>28</v>
      </c>
      <c r="E1258" t="s">
        <v>215</v>
      </c>
      <c r="F1258" t="s">
        <v>28</v>
      </c>
      <c r="H1258" t="s">
        <v>10</v>
      </c>
      <c r="I1258" t="s">
        <v>219</v>
      </c>
      <c r="J1258">
        <v>11</v>
      </c>
      <c r="N1258">
        <f>Таблица1[[#This Row],[Часов на заказчика  в работе]]+Таблица1[[#This Row],[Часов на заказчика  дежурство]]</f>
        <v>0</v>
      </c>
      <c r="O12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8" s="9">
        <v>110000</v>
      </c>
      <c r="R1258" s="9"/>
      <c r="S1258" s="5">
        <v>1</v>
      </c>
      <c r="T12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табеле]])*S1258,0)</f>
        <v>3666.6666666666665</v>
      </c>
      <c r="U1258" s="5">
        <f>IF(Таблица1[[#This Row],[ТТН]]&gt;0,Таблица1[[#This Row],[Ставка за ТТН]]*Таблица1[[#This Row],[ТТН]],0)</f>
        <v>0</v>
      </c>
    </row>
    <row r="1259" spans="1:21" x14ac:dyDescent="0.25">
      <c r="A1259" t="s">
        <v>84</v>
      </c>
      <c r="B1259" s="24">
        <v>29</v>
      </c>
      <c r="C1259" t="s">
        <v>137</v>
      </c>
      <c r="D1259" t="s">
        <v>28</v>
      </c>
      <c r="E1259" t="s">
        <v>215</v>
      </c>
      <c r="F1259" t="s">
        <v>28</v>
      </c>
      <c r="H1259" t="s">
        <v>10</v>
      </c>
      <c r="I1259" t="s">
        <v>219</v>
      </c>
      <c r="J1259">
        <v>11</v>
      </c>
      <c r="N1259">
        <f>Таблица1[[#This Row],[Часов на заказчика  в работе]]+Таблица1[[#This Row],[Часов на заказчика  дежурство]]</f>
        <v>0</v>
      </c>
      <c r="O12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59" s="9">
        <v>110000</v>
      </c>
      <c r="R1259" s="9"/>
      <c r="S1259" s="5">
        <v>1</v>
      </c>
      <c r="T12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табеле]])*S1259,0)</f>
        <v>3666.6666666666665</v>
      </c>
      <c r="U1259" s="5">
        <f>IF(Таблица1[[#This Row],[ТТН]]&gt;0,Таблица1[[#This Row],[Ставка за ТТН]]*Таблица1[[#This Row],[ТТН]],0)</f>
        <v>0</v>
      </c>
    </row>
    <row r="1260" spans="1:21" x14ac:dyDescent="0.25">
      <c r="A1260" t="s">
        <v>84</v>
      </c>
      <c r="B1260" s="24">
        <v>30</v>
      </c>
      <c r="C1260" t="s">
        <v>137</v>
      </c>
      <c r="D1260" t="s">
        <v>28</v>
      </c>
      <c r="E1260" t="s">
        <v>215</v>
      </c>
      <c r="F1260" t="s">
        <v>28</v>
      </c>
      <c r="H1260" t="s">
        <v>10</v>
      </c>
      <c r="I1260" t="s">
        <v>219</v>
      </c>
      <c r="J1260">
        <v>11</v>
      </c>
      <c r="N1260">
        <f>Таблица1[[#This Row],[Часов на заказчика  в работе]]+Таблица1[[#This Row],[Часов на заказчика  дежурство]]</f>
        <v>0</v>
      </c>
      <c r="O12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0" s="9">
        <v>110000</v>
      </c>
      <c r="R1260" s="9"/>
      <c r="S1260" s="5">
        <v>1</v>
      </c>
      <c r="T12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табеле]])*S1260,0)</f>
        <v>3666.6666666666665</v>
      </c>
      <c r="U1260" s="5">
        <f>IF(Таблица1[[#This Row],[ТТН]]&gt;0,Таблица1[[#This Row],[Ставка за ТТН]]*Таблица1[[#This Row],[ТТН]],0)</f>
        <v>0</v>
      </c>
    </row>
    <row r="1261" spans="1:21" x14ac:dyDescent="0.25">
      <c r="A1261" t="s">
        <v>84</v>
      </c>
      <c r="B1261" s="24">
        <v>1</v>
      </c>
      <c r="C1261" t="s">
        <v>137</v>
      </c>
      <c r="D1261" t="s">
        <v>28</v>
      </c>
      <c r="E1261" t="s">
        <v>215</v>
      </c>
      <c r="F1261" t="s">
        <v>28</v>
      </c>
      <c r="H1261" t="s">
        <v>10</v>
      </c>
      <c r="I1261" t="s">
        <v>219</v>
      </c>
      <c r="J1261">
        <v>11</v>
      </c>
      <c r="N1261">
        <f>Таблица1[[#This Row],[Часов на заказчика  в работе]]+Таблица1[[#This Row],[Часов на заказчика  дежурство]]</f>
        <v>0</v>
      </c>
      <c r="O12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1" s="9">
        <v>110000</v>
      </c>
      <c r="R1261" s="9"/>
      <c r="S1261" s="5">
        <v>1</v>
      </c>
      <c r="T12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табеле]])*S1261,0)</f>
        <v>3666.6666666666665</v>
      </c>
      <c r="U1261" s="5">
        <f>IF(Таблица1[[#This Row],[ТТН]]&gt;0,Таблица1[[#This Row],[Ставка за ТТН]]*Таблица1[[#This Row],[ТТН]],0)</f>
        <v>0</v>
      </c>
    </row>
    <row r="1262" spans="1:21" x14ac:dyDescent="0.25">
      <c r="A1262" t="s">
        <v>84</v>
      </c>
      <c r="B1262" s="24">
        <v>2</v>
      </c>
      <c r="C1262" t="s">
        <v>137</v>
      </c>
      <c r="D1262" t="s">
        <v>28</v>
      </c>
      <c r="E1262" t="s">
        <v>215</v>
      </c>
      <c r="F1262" t="s">
        <v>28</v>
      </c>
      <c r="H1262" t="s">
        <v>10</v>
      </c>
      <c r="I1262" t="s">
        <v>219</v>
      </c>
      <c r="J1262">
        <v>11</v>
      </c>
      <c r="N1262">
        <f>Таблица1[[#This Row],[Часов на заказчика  в работе]]+Таблица1[[#This Row],[Часов на заказчика  дежурство]]</f>
        <v>0</v>
      </c>
      <c r="O12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2" s="9">
        <v>110000</v>
      </c>
      <c r="R1262" s="9"/>
      <c r="S1262" s="5">
        <v>1</v>
      </c>
      <c r="T12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табеле]])*S1262,0)</f>
        <v>3666.6666666666665</v>
      </c>
      <c r="U1262" s="5">
        <f>IF(Таблица1[[#This Row],[ТТН]]&gt;0,Таблица1[[#This Row],[Ставка за ТТН]]*Таблица1[[#This Row],[ТТН]],0)</f>
        <v>0</v>
      </c>
    </row>
    <row r="1263" spans="1:21" x14ac:dyDescent="0.25">
      <c r="A1263" t="s">
        <v>84</v>
      </c>
      <c r="B1263" s="24">
        <v>3</v>
      </c>
      <c r="C1263" t="s">
        <v>137</v>
      </c>
      <c r="D1263" t="s">
        <v>28</v>
      </c>
      <c r="E1263" t="s">
        <v>215</v>
      </c>
      <c r="F1263" t="s">
        <v>28</v>
      </c>
      <c r="H1263" t="s">
        <v>10</v>
      </c>
      <c r="I1263" t="s">
        <v>219</v>
      </c>
      <c r="J1263">
        <v>11</v>
      </c>
      <c r="N1263">
        <f>Таблица1[[#This Row],[Часов на заказчика  в работе]]+Таблица1[[#This Row],[Часов на заказчика  дежурство]]</f>
        <v>0</v>
      </c>
      <c r="O12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3" s="9">
        <v>110000</v>
      </c>
      <c r="R1263" s="9"/>
      <c r="S1263" s="5">
        <v>1</v>
      </c>
      <c r="T12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табеле]])*S1263,0)</f>
        <v>3666.6666666666665</v>
      </c>
      <c r="U1263" s="5">
        <f>IF(Таблица1[[#This Row],[ТТН]]&gt;0,Таблица1[[#This Row],[Ставка за ТТН]]*Таблица1[[#This Row],[ТТН]],0)</f>
        <v>0</v>
      </c>
    </row>
    <row r="1264" spans="1:21" x14ac:dyDescent="0.25">
      <c r="A1264" t="s">
        <v>84</v>
      </c>
      <c r="B1264" s="24">
        <v>4</v>
      </c>
      <c r="C1264" t="s">
        <v>137</v>
      </c>
      <c r="D1264" t="s">
        <v>28</v>
      </c>
      <c r="E1264" t="s">
        <v>215</v>
      </c>
      <c r="F1264" t="s">
        <v>28</v>
      </c>
      <c r="H1264" t="s">
        <v>10</v>
      </c>
      <c r="I1264" t="s">
        <v>219</v>
      </c>
      <c r="J1264">
        <v>11</v>
      </c>
      <c r="N1264">
        <f>Таблица1[[#This Row],[Часов на заказчика  в работе]]+Таблица1[[#This Row],[Часов на заказчика  дежурство]]</f>
        <v>0</v>
      </c>
      <c r="O12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4" s="9">
        <v>110000</v>
      </c>
      <c r="R1264" s="9"/>
      <c r="S1264" s="5">
        <v>1</v>
      </c>
      <c r="T12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табеле]])*S1264,0)</f>
        <v>3666.6666666666665</v>
      </c>
      <c r="U1264" s="5">
        <f>IF(Таблица1[[#This Row],[ТТН]]&gt;0,Таблица1[[#This Row],[Ставка за ТТН]]*Таблица1[[#This Row],[ТТН]],0)</f>
        <v>0</v>
      </c>
    </row>
    <row r="1265" spans="1:21" x14ac:dyDescent="0.25">
      <c r="A1265" t="s">
        <v>84</v>
      </c>
      <c r="B1265" s="24">
        <v>5</v>
      </c>
      <c r="C1265" t="s">
        <v>137</v>
      </c>
      <c r="D1265" t="s">
        <v>28</v>
      </c>
      <c r="E1265" t="s">
        <v>215</v>
      </c>
      <c r="F1265" t="s">
        <v>28</v>
      </c>
      <c r="H1265" t="s">
        <v>38</v>
      </c>
      <c r="I1265" t="s">
        <v>219</v>
      </c>
      <c r="J1265">
        <v>11</v>
      </c>
      <c r="N1265">
        <f>Таблица1[[#This Row],[Часов на заказчика  в работе]]+Таблица1[[#This Row],[Часов на заказчика  дежурство]]</f>
        <v>0</v>
      </c>
      <c r="O12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5" s="9">
        <v>110000</v>
      </c>
      <c r="R1265" s="9"/>
      <c r="S1265" s="5">
        <v>1</v>
      </c>
      <c r="T12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табеле]])*S1265,0)</f>
        <v>3666.6666666666665</v>
      </c>
      <c r="U1265" s="5">
        <f>IF(Таблица1[[#This Row],[ТТН]]&gt;0,Таблица1[[#This Row],[Ставка за ТТН]]*Таблица1[[#This Row],[ТТН]],0)</f>
        <v>0</v>
      </c>
    </row>
    <row r="1266" spans="1:21" x14ac:dyDescent="0.25">
      <c r="A1266" t="s">
        <v>84</v>
      </c>
      <c r="B1266" s="24">
        <v>6</v>
      </c>
      <c r="C1266" t="s">
        <v>137</v>
      </c>
      <c r="D1266" t="s">
        <v>28</v>
      </c>
      <c r="E1266" t="s">
        <v>215</v>
      </c>
      <c r="F1266" t="s">
        <v>28</v>
      </c>
      <c r="H1266" t="s">
        <v>38</v>
      </c>
      <c r="I1266" t="s">
        <v>219</v>
      </c>
      <c r="J1266">
        <v>11</v>
      </c>
      <c r="N1266">
        <f>Таблица1[[#This Row],[Часов на заказчика  в работе]]+Таблица1[[#This Row],[Часов на заказчика  дежурство]]</f>
        <v>0</v>
      </c>
      <c r="O12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6" s="9">
        <v>110000</v>
      </c>
      <c r="R1266" s="9"/>
      <c r="S1266" s="5">
        <v>1</v>
      </c>
      <c r="T12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табеле]])*S1266,0)</f>
        <v>3666.6666666666665</v>
      </c>
      <c r="U1266" s="5">
        <f>IF(Таблица1[[#This Row],[ТТН]]&gt;0,Таблица1[[#This Row],[Ставка за ТТН]]*Таблица1[[#This Row],[ТТН]],0)</f>
        <v>0</v>
      </c>
    </row>
    <row r="1267" spans="1:21" x14ac:dyDescent="0.25">
      <c r="A1267" t="s">
        <v>84</v>
      </c>
      <c r="B1267" s="24">
        <v>7</v>
      </c>
      <c r="C1267" t="s">
        <v>137</v>
      </c>
      <c r="D1267" t="s">
        <v>28</v>
      </c>
      <c r="E1267" t="s">
        <v>215</v>
      </c>
      <c r="F1267" t="s">
        <v>28</v>
      </c>
      <c r="H1267" t="s">
        <v>38</v>
      </c>
      <c r="I1267" t="s">
        <v>219</v>
      </c>
      <c r="J1267">
        <v>11</v>
      </c>
      <c r="N1267">
        <f>Таблица1[[#This Row],[Часов на заказчика  в работе]]+Таблица1[[#This Row],[Часов на заказчика  дежурство]]</f>
        <v>0</v>
      </c>
      <c r="O12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7" s="9">
        <v>110000</v>
      </c>
      <c r="R1267" s="9"/>
      <c r="S1267" s="5">
        <v>1</v>
      </c>
      <c r="T12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табеле]])*S1267,0)</f>
        <v>3666.6666666666665</v>
      </c>
      <c r="U1267" s="5">
        <f>IF(Таблица1[[#This Row],[ТТН]]&gt;0,Таблица1[[#This Row],[Ставка за ТТН]]*Таблица1[[#This Row],[ТТН]],0)</f>
        <v>0</v>
      </c>
    </row>
    <row r="1268" spans="1:21" x14ac:dyDescent="0.25">
      <c r="A1268" t="s">
        <v>84</v>
      </c>
      <c r="B1268" s="24">
        <v>8</v>
      </c>
      <c r="C1268" t="s">
        <v>137</v>
      </c>
      <c r="D1268" t="s">
        <v>28</v>
      </c>
      <c r="E1268" t="s">
        <v>215</v>
      </c>
      <c r="F1268" t="s">
        <v>28</v>
      </c>
      <c r="H1268" t="s">
        <v>10</v>
      </c>
      <c r="I1268" t="s">
        <v>219</v>
      </c>
      <c r="J1268">
        <v>11</v>
      </c>
      <c r="N1268">
        <f>Таблица1[[#This Row],[Часов на заказчика  в работе]]+Таблица1[[#This Row],[Часов на заказчика  дежурство]]</f>
        <v>0</v>
      </c>
      <c r="O12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8" s="9">
        <v>110000</v>
      </c>
      <c r="R1268" s="9"/>
      <c r="S1268" s="5">
        <v>1</v>
      </c>
      <c r="T12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табеле]])*S1268,0)</f>
        <v>3666.6666666666665</v>
      </c>
      <c r="U1268" s="5">
        <f>IF(Таблица1[[#This Row],[ТТН]]&gt;0,Таблица1[[#This Row],[Ставка за ТТН]]*Таблица1[[#This Row],[ТТН]],0)</f>
        <v>0</v>
      </c>
    </row>
    <row r="1269" spans="1:21" x14ac:dyDescent="0.25">
      <c r="A1269" t="s">
        <v>84</v>
      </c>
      <c r="B1269" s="24">
        <v>9</v>
      </c>
      <c r="C1269" t="s">
        <v>137</v>
      </c>
      <c r="D1269" t="s">
        <v>28</v>
      </c>
      <c r="E1269" t="s">
        <v>215</v>
      </c>
      <c r="F1269" t="s">
        <v>28</v>
      </c>
      <c r="H1269" t="s">
        <v>10</v>
      </c>
      <c r="I1269" t="s">
        <v>219</v>
      </c>
      <c r="J1269">
        <v>11</v>
      </c>
      <c r="N1269">
        <f>Таблица1[[#This Row],[Часов на заказчика  в работе]]+Таблица1[[#This Row],[Часов на заказчика  дежурство]]</f>
        <v>0</v>
      </c>
      <c r="O12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69" s="9">
        <v>110000</v>
      </c>
      <c r="R1269" s="9"/>
      <c r="S1269" s="5">
        <v>1</v>
      </c>
      <c r="T12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табеле]])*S1269,0)</f>
        <v>3666.6666666666665</v>
      </c>
      <c r="U1269" s="5">
        <f>IF(Таблица1[[#This Row],[ТТН]]&gt;0,Таблица1[[#This Row],[Ставка за ТТН]]*Таблица1[[#This Row],[ТТН]],0)</f>
        <v>0</v>
      </c>
    </row>
    <row r="1270" spans="1:21" x14ac:dyDescent="0.25">
      <c r="A1270" t="s">
        <v>84</v>
      </c>
      <c r="B1270" s="24">
        <v>10</v>
      </c>
      <c r="C1270" t="s">
        <v>137</v>
      </c>
      <c r="D1270" t="s">
        <v>28</v>
      </c>
      <c r="E1270" t="s">
        <v>215</v>
      </c>
      <c r="F1270" t="s">
        <v>28</v>
      </c>
      <c r="H1270" t="s">
        <v>10</v>
      </c>
      <c r="I1270" t="s">
        <v>219</v>
      </c>
      <c r="J1270">
        <v>11</v>
      </c>
      <c r="N1270">
        <f>Таблица1[[#This Row],[Часов на заказчика  в работе]]+Таблица1[[#This Row],[Часов на заказчика  дежурство]]</f>
        <v>0</v>
      </c>
      <c r="O12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0" s="9">
        <v>110000</v>
      </c>
      <c r="R1270" s="9"/>
      <c r="S1270" s="5">
        <v>1</v>
      </c>
      <c r="T12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табеле]])*S1270,0)</f>
        <v>3666.6666666666665</v>
      </c>
      <c r="U1270" s="5">
        <f>IF(Таблица1[[#This Row],[ТТН]]&gt;0,Таблица1[[#This Row],[Ставка за ТТН]]*Таблица1[[#This Row],[ТТН]],0)</f>
        <v>0</v>
      </c>
    </row>
    <row r="1271" spans="1:21" x14ac:dyDescent="0.25">
      <c r="A1271" t="s">
        <v>84</v>
      </c>
      <c r="B1271" s="24">
        <v>11</v>
      </c>
      <c r="C1271" t="s">
        <v>137</v>
      </c>
      <c r="D1271" t="s">
        <v>28</v>
      </c>
      <c r="E1271" t="s">
        <v>215</v>
      </c>
      <c r="F1271" t="s">
        <v>28</v>
      </c>
      <c r="H1271" t="s">
        <v>10</v>
      </c>
      <c r="I1271" t="s">
        <v>219</v>
      </c>
      <c r="J1271">
        <v>11</v>
      </c>
      <c r="N1271">
        <f>Таблица1[[#This Row],[Часов на заказчика  в работе]]+Таблица1[[#This Row],[Часов на заказчика  дежурство]]</f>
        <v>0</v>
      </c>
      <c r="O12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1" s="9">
        <v>110000</v>
      </c>
      <c r="R1271" s="9"/>
      <c r="S1271" s="5">
        <v>1</v>
      </c>
      <c r="T12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табеле]])*S1271,0)</f>
        <v>3666.6666666666665</v>
      </c>
      <c r="U1271" s="5">
        <f>IF(Таблица1[[#This Row],[ТТН]]&gt;0,Таблица1[[#This Row],[Ставка за ТТН]]*Таблица1[[#This Row],[ТТН]],0)</f>
        <v>0</v>
      </c>
    </row>
    <row r="1272" spans="1:21" x14ac:dyDescent="0.25">
      <c r="A1272" t="s">
        <v>84</v>
      </c>
      <c r="B1272" s="24">
        <v>12</v>
      </c>
      <c r="C1272" t="s">
        <v>137</v>
      </c>
      <c r="D1272" t="s">
        <v>28</v>
      </c>
      <c r="E1272" t="s">
        <v>215</v>
      </c>
      <c r="F1272" t="s">
        <v>28</v>
      </c>
      <c r="H1272" t="s">
        <v>10</v>
      </c>
      <c r="I1272" t="s">
        <v>219</v>
      </c>
      <c r="J1272">
        <v>11</v>
      </c>
      <c r="N1272">
        <f>Таблица1[[#This Row],[Часов на заказчика  в работе]]+Таблица1[[#This Row],[Часов на заказчика  дежурство]]</f>
        <v>0</v>
      </c>
      <c r="O12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2" s="9">
        <v>110000</v>
      </c>
      <c r="R1272" s="9"/>
      <c r="S1272" s="5">
        <v>1</v>
      </c>
      <c r="T12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табеле]])*S1272,0)</f>
        <v>3666.6666666666665</v>
      </c>
      <c r="U1272" s="5">
        <f>IF(Таблица1[[#This Row],[ТТН]]&gt;0,Таблица1[[#This Row],[Ставка за ТТН]]*Таблица1[[#This Row],[ТТН]],0)</f>
        <v>0</v>
      </c>
    </row>
    <row r="1273" spans="1:21" x14ac:dyDescent="0.25">
      <c r="A1273" t="s">
        <v>84</v>
      </c>
      <c r="B1273" s="24">
        <v>13</v>
      </c>
      <c r="C1273" t="s">
        <v>137</v>
      </c>
      <c r="D1273" t="s">
        <v>28</v>
      </c>
      <c r="E1273" t="s">
        <v>215</v>
      </c>
      <c r="F1273" t="s">
        <v>28</v>
      </c>
      <c r="H1273" t="s">
        <v>10</v>
      </c>
      <c r="I1273" t="s">
        <v>219</v>
      </c>
      <c r="J1273">
        <v>11</v>
      </c>
      <c r="N1273">
        <f>Таблица1[[#This Row],[Часов на заказчика  в работе]]+Таблица1[[#This Row],[Часов на заказчика  дежурство]]</f>
        <v>0</v>
      </c>
      <c r="O12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3" s="9">
        <v>110000</v>
      </c>
      <c r="R1273" s="9"/>
      <c r="S1273" s="5">
        <v>1</v>
      </c>
      <c r="T12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табеле]])*S1273,0)</f>
        <v>3666.6666666666665</v>
      </c>
      <c r="U1273" s="5">
        <f>IF(Таблица1[[#This Row],[ТТН]]&gt;0,Таблица1[[#This Row],[Ставка за ТТН]]*Таблица1[[#This Row],[ТТН]],0)</f>
        <v>0</v>
      </c>
    </row>
    <row r="1274" spans="1:21" x14ac:dyDescent="0.25">
      <c r="A1274" t="s">
        <v>84</v>
      </c>
      <c r="B1274" s="24">
        <v>14</v>
      </c>
      <c r="C1274" t="s">
        <v>137</v>
      </c>
      <c r="D1274" t="s">
        <v>28</v>
      </c>
      <c r="E1274" t="s">
        <v>215</v>
      </c>
      <c r="F1274" t="s">
        <v>28</v>
      </c>
      <c r="H1274" t="s">
        <v>10</v>
      </c>
      <c r="I1274" t="s">
        <v>219</v>
      </c>
      <c r="J1274">
        <v>11</v>
      </c>
      <c r="N1274">
        <f>Таблица1[[#This Row],[Часов на заказчика  в работе]]+Таблица1[[#This Row],[Часов на заказчика  дежурство]]</f>
        <v>0</v>
      </c>
      <c r="O12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4" s="9">
        <v>110000</v>
      </c>
      <c r="R1274" s="9"/>
      <c r="S1274" s="5">
        <v>1</v>
      </c>
      <c r="T12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табеле]])*S1274,0)</f>
        <v>3666.6666666666665</v>
      </c>
      <c r="U1274" s="5">
        <f>IF(Таблица1[[#This Row],[ТТН]]&gt;0,Таблица1[[#This Row],[Ставка за ТТН]]*Таблица1[[#This Row],[ТТН]],0)</f>
        <v>0</v>
      </c>
    </row>
    <row r="1275" spans="1:21" x14ac:dyDescent="0.25">
      <c r="A1275" t="s">
        <v>84</v>
      </c>
      <c r="B1275" s="24">
        <v>15</v>
      </c>
      <c r="C1275" t="s">
        <v>137</v>
      </c>
      <c r="D1275" t="s">
        <v>28</v>
      </c>
      <c r="E1275" t="s">
        <v>215</v>
      </c>
      <c r="F1275" t="s">
        <v>28</v>
      </c>
      <c r="H1275" t="s">
        <v>10</v>
      </c>
      <c r="I1275" t="s">
        <v>219</v>
      </c>
      <c r="J1275">
        <v>11</v>
      </c>
      <c r="N1275">
        <f>Таблица1[[#This Row],[Часов на заказчика  в работе]]+Таблица1[[#This Row],[Часов на заказчика  дежурство]]</f>
        <v>0</v>
      </c>
      <c r="O12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5" s="9">
        <v>110000</v>
      </c>
      <c r="R1275" s="9"/>
      <c r="S1275" s="5">
        <v>1</v>
      </c>
      <c r="T12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табеле]])*S1275,0)</f>
        <v>3666.6666666666665</v>
      </c>
      <c r="U1275" s="5">
        <f>IF(Таблица1[[#This Row],[ТТН]]&gt;0,Таблица1[[#This Row],[Ставка за ТТН]]*Таблица1[[#This Row],[ТТН]],0)</f>
        <v>0</v>
      </c>
    </row>
    <row r="1276" spans="1:21" x14ac:dyDescent="0.25">
      <c r="A1276" t="s">
        <v>84</v>
      </c>
      <c r="B1276" s="24">
        <v>16</v>
      </c>
      <c r="C1276" t="s">
        <v>137</v>
      </c>
      <c r="D1276" t="s">
        <v>28</v>
      </c>
      <c r="E1276" t="s">
        <v>215</v>
      </c>
      <c r="F1276" t="s">
        <v>28</v>
      </c>
      <c r="H1276" t="s">
        <v>10</v>
      </c>
      <c r="I1276" t="s">
        <v>219</v>
      </c>
      <c r="J1276">
        <v>11</v>
      </c>
      <c r="N1276">
        <f>Таблица1[[#This Row],[Часов на заказчика  в работе]]+Таблица1[[#This Row],[Часов на заказчика  дежурство]]</f>
        <v>0</v>
      </c>
      <c r="O12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6" s="9">
        <v>110000</v>
      </c>
      <c r="R1276" s="9"/>
      <c r="S1276" s="5">
        <v>1</v>
      </c>
      <c r="T12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табеле]])*S1276,0)</f>
        <v>3666.6666666666665</v>
      </c>
      <c r="U1276" s="5">
        <f>IF(Таблица1[[#This Row],[ТТН]]&gt;0,Таблица1[[#This Row],[Ставка за ТТН]]*Таблица1[[#This Row],[ТТН]],0)</f>
        <v>0</v>
      </c>
    </row>
    <row r="1277" spans="1:21" x14ac:dyDescent="0.25">
      <c r="A1277" t="s">
        <v>84</v>
      </c>
      <c r="B1277" s="24">
        <v>17</v>
      </c>
      <c r="C1277" t="s">
        <v>137</v>
      </c>
      <c r="D1277" t="s">
        <v>28</v>
      </c>
      <c r="E1277" t="s">
        <v>215</v>
      </c>
      <c r="F1277" t="s">
        <v>28</v>
      </c>
      <c r="H1277" t="s">
        <v>10</v>
      </c>
      <c r="I1277" t="s">
        <v>219</v>
      </c>
      <c r="J1277">
        <v>11</v>
      </c>
      <c r="N1277">
        <f>Таблица1[[#This Row],[Часов на заказчика  в работе]]+Таблица1[[#This Row],[Часов на заказчика  дежурство]]</f>
        <v>0</v>
      </c>
      <c r="O12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7" s="9">
        <v>110000</v>
      </c>
      <c r="R1277" s="9"/>
      <c r="S1277" s="5">
        <v>1</v>
      </c>
      <c r="T12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табеле]])*S1277,0)</f>
        <v>3666.6666666666665</v>
      </c>
      <c r="U1277" s="5">
        <f>IF(Таблица1[[#This Row],[ТТН]]&gt;0,Таблица1[[#This Row],[Ставка за ТТН]]*Таблица1[[#This Row],[ТТН]],0)</f>
        <v>0</v>
      </c>
    </row>
    <row r="1278" spans="1:21" x14ac:dyDescent="0.25">
      <c r="A1278" t="s">
        <v>84</v>
      </c>
      <c r="B1278" s="24">
        <v>18</v>
      </c>
      <c r="C1278" t="s">
        <v>137</v>
      </c>
      <c r="D1278" t="s">
        <v>28</v>
      </c>
      <c r="E1278" t="s">
        <v>215</v>
      </c>
      <c r="F1278" t="s">
        <v>28</v>
      </c>
      <c r="H1278" t="s">
        <v>10</v>
      </c>
      <c r="I1278" t="s">
        <v>219</v>
      </c>
      <c r="J1278">
        <v>11</v>
      </c>
      <c r="N1278">
        <f>Таблица1[[#This Row],[Часов на заказчика  в работе]]+Таблица1[[#This Row],[Часов на заказчика  дежурство]]</f>
        <v>0</v>
      </c>
      <c r="O12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8" s="9">
        <v>110000</v>
      </c>
      <c r="R1278" s="9"/>
      <c r="S1278" s="5">
        <v>1</v>
      </c>
      <c r="T12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табеле]])*S1278,0)</f>
        <v>3666.6666666666665</v>
      </c>
      <c r="U1278" s="5">
        <f>IF(Таблица1[[#This Row],[ТТН]]&gt;0,Таблица1[[#This Row],[Ставка за ТТН]]*Таблица1[[#This Row],[ТТН]],0)</f>
        <v>0</v>
      </c>
    </row>
    <row r="1279" spans="1:21" x14ac:dyDescent="0.25">
      <c r="A1279" t="s">
        <v>84</v>
      </c>
      <c r="B1279" s="24">
        <v>19</v>
      </c>
      <c r="C1279" t="s">
        <v>137</v>
      </c>
      <c r="D1279" t="s">
        <v>28</v>
      </c>
      <c r="E1279" t="s">
        <v>215</v>
      </c>
      <c r="F1279" t="s">
        <v>28</v>
      </c>
      <c r="H1279" t="s">
        <v>10</v>
      </c>
      <c r="I1279" t="s">
        <v>219</v>
      </c>
      <c r="J1279">
        <v>11</v>
      </c>
      <c r="N1279">
        <f>Таблица1[[#This Row],[Часов на заказчика  в работе]]+Таблица1[[#This Row],[Часов на заказчика  дежурство]]</f>
        <v>0</v>
      </c>
      <c r="O12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79" s="9">
        <v>110000</v>
      </c>
      <c r="R1279" s="9"/>
      <c r="S1279" s="5">
        <v>1</v>
      </c>
      <c r="T12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табеле]])*S1279,0)</f>
        <v>3666.6666666666665</v>
      </c>
      <c r="U1279" s="5">
        <f>IF(Таблица1[[#This Row],[ТТН]]&gt;0,Таблица1[[#This Row],[Ставка за ТТН]]*Таблица1[[#This Row],[ТТН]],0)</f>
        <v>0</v>
      </c>
    </row>
    <row r="1280" spans="1:21" x14ac:dyDescent="0.25">
      <c r="A1280" t="s">
        <v>84</v>
      </c>
      <c r="B1280" s="24">
        <v>20</v>
      </c>
      <c r="C1280" t="s">
        <v>137</v>
      </c>
      <c r="D1280" t="s">
        <v>28</v>
      </c>
      <c r="E1280" t="s">
        <v>215</v>
      </c>
      <c r="F1280" t="s">
        <v>28</v>
      </c>
      <c r="H1280" t="s">
        <v>10</v>
      </c>
      <c r="I1280" t="s">
        <v>219</v>
      </c>
      <c r="J1280">
        <v>11</v>
      </c>
      <c r="N1280">
        <f>Таблица1[[#This Row],[Часов на заказчика  в работе]]+Таблица1[[#This Row],[Часов на заказчика  дежурство]]</f>
        <v>0</v>
      </c>
      <c r="O12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0" s="9">
        <v>110000</v>
      </c>
      <c r="R1280" s="9"/>
      <c r="S1280" s="5">
        <v>1</v>
      </c>
      <c r="T12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табеле]])*S1280,0)</f>
        <v>3666.6666666666665</v>
      </c>
      <c r="U1280" s="5">
        <f>IF(Таблица1[[#This Row],[ТТН]]&gt;0,Таблица1[[#This Row],[Ставка за ТТН]]*Таблица1[[#This Row],[ТТН]],0)</f>
        <v>0</v>
      </c>
    </row>
    <row r="1281" spans="1:21" x14ac:dyDescent="0.25">
      <c r="A1281" t="s">
        <v>84</v>
      </c>
      <c r="B1281" s="24">
        <v>21</v>
      </c>
      <c r="C1281" t="s">
        <v>137</v>
      </c>
      <c r="D1281" t="s">
        <v>28</v>
      </c>
      <c r="E1281" t="s">
        <v>215</v>
      </c>
      <c r="F1281" t="s">
        <v>28</v>
      </c>
      <c r="H1281" t="s">
        <v>10</v>
      </c>
      <c r="I1281" t="s">
        <v>219</v>
      </c>
      <c r="J1281">
        <v>13</v>
      </c>
      <c r="N1281">
        <f>Таблица1[[#This Row],[Часов на заказчика  в работе]]+Таблица1[[#This Row],[Часов на заказчика  дежурство]]</f>
        <v>0</v>
      </c>
      <c r="O12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1" s="9">
        <v>110000</v>
      </c>
      <c r="R1281" s="9"/>
      <c r="S1281" s="5">
        <v>1</v>
      </c>
      <c r="T12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табеле]])*S1281,0)</f>
        <v>4333.333333333333</v>
      </c>
      <c r="U1281" s="5">
        <f>IF(Таблица1[[#This Row],[ТТН]]&gt;0,Таблица1[[#This Row],[Ставка за ТТН]]*Таблица1[[#This Row],[ТТН]],0)</f>
        <v>0</v>
      </c>
    </row>
    <row r="1282" spans="1:21" x14ac:dyDescent="0.25">
      <c r="A1282" t="s">
        <v>84</v>
      </c>
      <c r="B1282" s="24">
        <v>22</v>
      </c>
      <c r="C1282" t="s">
        <v>137</v>
      </c>
      <c r="D1282" t="s">
        <v>28</v>
      </c>
      <c r="E1282" t="s">
        <v>215</v>
      </c>
      <c r="F1282" t="s">
        <v>28</v>
      </c>
      <c r="H1282" t="s">
        <v>10</v>
      </c>
      <c r="I1282" t="s">
        <v>219</v>
      </c>
      <c r="J1282">
        <v>13</v>
      </c>
      <c r="N1282">
        <f>Таблица1[[#This Row],[Часов на заказчика  в работе]]+Таблица1[[#This Row],[Часов на заказчика  дежурство]]</f>
        <v>0</v>
      </c>
      <c r="O12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2" s="9">
        <v>110000</v>
      </c>
      <c r="R1282" s="9"/>
      <c r="S1282" s="5">
        <v>1</v>
      </c>
      <c r="T12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табеле]])*S1282,0)</f>
        <v>4333.333333333333</v>
      </c>
      <c r="U1282" s="5">
        <f>IF(Таблица1[[#This Row],[ТТН]]&gt;0,Таблица1[[#This Row],[Ставка за ТТН]]*Таблица1[[#This Row],[ТТН]],0)</f>
        <v>0</v>
      </c>
    </row>
    <row r="1283" spans="1:21" x14ac:dyDescent="0.25">
      <c r="A1283" t="s">
        <v>84</v>
      </c>
      <c r="B1283" s="24">
        <v>23</v>
      </c>
      <c r="C1283" t="s">
        <v>137</v>
      </c>
      <c r="D1283" t="s">
        <v>28</v>
      </c>
      <c r="E1283" t="s">
        <v>215</v>
      </c>
      <c r="F1283" t="s">
        <v>28</v>
      </c>
      <c r="H1283" t="s">
        <v>10</v>
      </c>
      <c r="I1283" t="s">
        <v>219</v>
      </c>
      <c r="J1283">
        <v>13</v>
      </c>
      <c r="N1283">
        <f>Таблица1[[#This Row],[Часов на заказчика  в работе]]+Таблица1[[#This Row],[Часов на заказчика  дежурство]]</f>
        <v>0</v>
      </c>
      <c r="O12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3" s="9">
        <v>110000</v>
      </c>
      <c r="R1283" s="9"/>
      <c r="S1283" s="5">
        <v>1</v>
      </c>
      <c r="T12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табеле]])*S1283,0)</f>
        <v>4333.333333333333</v>
      </c>
      <c r="U1283" s="5">
        <f>IF(Таблица1[[#This Row],[ТТН]]&gt;0,Таблица1[[#This Row],[Ставка за ТТН]]*Таблица1[[#This Row],[ТТН]],0)</f>
        <v>0</v>
      </c>
    </row>
    <row r="1284" spans="1:21" x14ac:dyDescent="0.25">
      <c r="A1284" t="s">
        <v>84</v>
      </c>
      <c r="B1284" s="24">
        <v>24</v>
      </c>
      <c r="C1284" t="s">
        <v>137</v>
      </c>
      <c r="D1284" t="s">
        <v>28</v>
      </c>
      <c r="E1284" t="s">
        <v>215</v>
      </c>
      <c r="F1284" t="s">
        <v>28</v>
      </c>
      <c r="H1284" t="s">
        <v>10</v>
      </c>
      <c r="I1284" t="s">
        <v>219</v>
      </c>
      <c r="J1284">
        <v>11</v>
      </c>
      <c r="N1284">
        <f>Таблица1[[#This Row],[Часов на заказчика  в работе]]+Таблица1[[#This Row],[Часов на заказчика  дежурство]]</f>
        <v>0</v>
      </c>
      <c r="O12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4" s="9">
        <v>110000</v>
      </c>
      <c r="R1284" s="9"/>
      <c r="S1284" s="5">
        <v>1</v>
      </c>
      <c r="T12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табеле]])*S1284,0)</f>
        <v>3666.6666666666665</v>
      </c>
      <c r="U1284" s="5">
        <f>IF(Таблица1[[#This Row],[ТТН]]&gt;0,Таблица1[[#This Row],[Ставка за ТТН]]*Таблица1[[#This Row],[ТТН]],0)</f>
        <v>0</v>
      </c>
    </row>
    <row r="1285" spans="1:21" x14ac:dyDescent="0.25">
      <c r="A1285" t="s">
        <v>84</v>
      </c>
      <c r="B1285" s="24">
        <v>25</v>
      </c>
      <c r="C1285" t="s">
        <v>137</v>
      </c>
      <c r="D1285" t="s">
        <v>28</v>
      </c>
      <c r="E1285" t="s">
        <v>215</v>
      </c>
      <c r="F1285" t="s">
        <v>28</v>
      </c>
      <c r="H1285" t="s">
        <v>10</v>
      </c>
      <c r="I1285" t="s">
        <v>219</v>
      </c>
      <c r="J1285">
        <v>11</v>
      </c>
      <c r="N1285">
        <f>Таблица1[[#This Row],[Часов на заказчика  в работе]]+Таблица1[[#This Row],[Часов на заказчика  дежурство]]</f>
        <v>0</v>
      </c>
      <c r="O12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5" s="9">
        <v>110000</v>
      </c>
      <c r="R1285" s="9"/>
      <c r="S1285" s="5">
        <v>1</v>
      </c>
      <c r="T12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табеле]])*S1285,0)</f>
        <v>3666.6666666666665</v>
      </c>
      <c r="U1285" s="5">
        <f>IF(Таблица1[[#This Row],[ТТН]]&gt;0,Таблица1[[#This Row],[Ставка за ТТН]]*Таблица1[[#This Row],[ТТН]],0)</f>
        <v>0</v>
      </c>
    </row>
    <row r="1286" spans="1:21" x14ac:dyDescent="0.25">
      <c r="A1286" t="s">
        <v>84</v>
      </c>
      <c r="B1286" s="24">
        <v>26</v>
      </c>
      <c r="C1286" t="s">
        <v>137</v>
      </c>
      <c r="D1286" t="s">
        <v>28</v>
      </c>
      <c r="E1286" t="s">
        <v>215</v>
      </c>
      <c r="F1286" t="s">
        <v>28</v>
      </c>
      <c r="H1286" t="s">
        <v>10</v>
      </c>
      <c r="I1286" t="s">
        <v>219</v>
      </c>
      <c r="J1286">
        <v>11</v>
      </c>
      <c r="N1286">
        <f>Таблица1[[#This Row],[Часов на заказчика  в работе]]+Таблица1[[#This Row],[Часов на заказчика  дежурство]]</f>
        <v>0</v>
      </c>
      <c r="O12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6" s="9">
        <v>110000</v>
      </c>
      <c r="R1286" s="9"/>
      <c r="S1286" s="5">
        <v>1</v>
      </c>
      <c r="T12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табеле]])*S1286,0)</f>
        <v>3666.6666666666665</v>
      </c>
      <c r="U1286" s="5">
        <f>IF(Таблица1[[#This Row],[ТТН]]&gt;0,Таблица1[[#This Row],[Ставка за ТТН]]*Таблица1[[#This Row],[ТТН]],0)</f>
        <v>0</v>
      </c>
    </row>
    <row r="1287" spans="1:21" x14ac:dyDescent="0.25">
      <c r="A1287" t="s">
        <v>84</v>
      </c>
      <c r="B1287" s="24">
        <v>27</v>
      </c>
      <c r="C1287" t="s">
        <v>137</v>
      </c>
      <c r="D1287" t="s">
        <v>28</v>
      </c>
      <c r="E1287" t="s">
        <v>215</v>
      </c>
      <c r="F1287" t="s">
        <v>28</v>
      </c>
      <c r="H1287" t="s">
        <v>24</v>
      </c>
      <c r="I1287" t="s">
        <v>217</v>
      </c>
      <c r="J1287">
        <v>8</v>
      </c>
      <c r="N1287">
        <f>Таблица1[[#This Row],[Часов на заказчика  в работе]]+Таблица1[[#This Row],[Часов на заказчика  дежурство]]</f>
        <v>0</v>
      </c>
      <c r="O12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7" s="9">
        <v>110000</v>
      </c>
      <c r="R1287" s="9"/>
      <c r="S1287" s="5">
        <v>1</v>
      </c>
      <c r="T12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табеле]])*S1287,0)</f>
        <v>0</v>
      </c>
      <c r="U1287" s="5">
        <f>IF(Таблица1[[#This Row],[ТТН]]&gt;0,Таблица1[[#This Row],[Ставка за ТТН]]*Таблица1[[#This Row],[ТТН]],0)</f>
        <v>0</v>
      </c>
    </row>
    <row r="1288" spans="1:21" x14ac:dyDescent="0.25">
      <c r="A1288" t="s">
        <v>84</v>
      </c>
      <c r="B1288" s="24">
        <v>28</v>
      </c>
      <c r="C1288" t="s">
        <v>137</v>
      </c>
      <c r="D1288" t="s">
        <v>28</v>
      </c>
      <c r="E1288" t="s">
        <v>215</v>
      </c>
      <c r="F1288" t="s">
        <v>28</v>
      </c>
      <c r="H1288" t="s">
        <v>24</v>
      </c>
      <c r="I1288" t="s">
        <v>217</v>
      </c>
      <c r="J1288">
        <v>8</v>
      </c>
      <c r="N1288">
        <f>Таблица1[[#This Row],[Часов на заказчика  в работе]]+Таблица1[[#This Row],[Часов на заказчика  дежурство]]</f>
        <v>0</v>
      </c>
      <c r="O12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8" s="9">
        <v>110000</v>
      </c>
      <c r="R1288" s="9"/>
      <c r="S1288" s="5">
        <v>1</v>
      </c>
      <c r="T12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табеле]])*S1288,0)</f>
        <v>0</v>
      </c>
      <c r="U1288" s="5">
        <f>IF(Таблица1[[#This Row],[ТТН]]&gt;0,Таблица1[[#This Row],[Ставка за ТТН]]*Таблица1[[#This Row],[ТТН]],0)</f>
        <v>0</v>
      </c>
    </row>
    <row r="1289" spans="1:21" x14ac:dyDescent="0.25">
      <c r="A1289" t="s">
        <v>84</v>
      </c>
      <c r="B1289" s="24">
        <v>29</v>
      </c>
      <c r="C1289" t="s">
        <v>137</v>
      </c>
      <c r="D1289" t="s">
        <v>28</v>
      </c>
      <c r="E1289" t="s">
        <v>215</v>
      </c>
      <c r="F1289" t="s">
        <v>28</v>
      </c>
      <c r="H1289" t="s">
        <v>24</v>
      </c>
      <c r="I1289" t="s">
        <v>217</v>
      </c>
      <c r="J1289">
        <v>8</v>
      </c>
      <c r="N1289">
        <f>Таблица1[[#This Row],[Часов на заказчика  в работе]]+Таблица1[[#This Row],[Часов на заказчика  дежурство]]</f>
        <v>0</v>
      </c>
      <c r="O12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89" s="9">
        <v>110000</v>
      </c>
      <c r="R1289" s="9"/>
      <c r="S1289" s="5">
        <v>1</v>
      </c>
      <c r="T12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табеле]])*S1289,0)</f>
        <v>0</v>
      </c>
      <c r="U1289" s="5">
        <f>IF(Таблица1[[#This Row],[ТТН]]&gt;0,Таблица1[[#This Row],[Ставка за ТТН]]*Таблица1[[#This Row],[ТТН]],0)</f>
        <v>0</v>
      </c>
    </row>
    <row r="1290" spans="1:21" x14ac:dyDescent="0.25">
      <c r="A1290" t="s">
        <v>84</v>
      </c>
      <c r="B1290" s="24">
        <v>30</v>
      </c>
      <c r="C1290" t="s">
        <v>138</v>
      </c>
      <c r="D1290" t="s">
        <v>28</v>
      </c>
      <c r="E1290" t="s">
        <v>215</v>
      </c>
      <c r="F1290" t="s">
        <v>28</v>
      </c>
      <c r="H1290" t="s">
        <v>24</v>
      </c>
      <c r="I1290" t="s">
        <v>217</v>
      </c>
      <c r="J1290">
        <v>8</v>
      </c>
      <c r="N1290">
        <f>Таблица1[[#This Row],[Часов на заказчика  в работе]]+Таблица1[[#This Row],[Часов на заказчика  дежурство]]</f>
        <v>0</v>
      </c>
      <c r="O12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0" s="9">
        <v>110000</v>
      </c>
      <c r="R1290" s="9"/>
      <c r="S1290" s="5">
        <v>1</v>
      </c>
      <c r="T12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табеле]])*S1290,0)</f>
        <v>0</v>
      </c>
      <c r="U1290" s="5">
        <f>IF(Таблица1[[#This Row],[ТТН]]&gt;0,Таблица1[[#This Row],[Ставка за ТТН]]*Таблица1[[#This Row],[ТТН]],0)</f>
        <v>0</v>
      </c>
    </row>
    <row r="1291" spans="1:21" x14ac:dyDescent="0.25">
      <c r="A1291" t="s">
        <v>84</v>
      </c>
      <c r="B1291" s="24">
        <v>1</v>
      </c>
      <c r="C1291" t="s">
        <v>138</v>
      </c>
      <c r="D1291" t="s">
        <v>12</v>
      </c>
      <c r="E1291" t="s">
        <v>215</v>
      </c>
      <c r="F1291" t="s">
        <v>68</v>
      </c>
      <c r="H1291" t="s">
        <v>10</v>
      </c>
      <c r="I1291" t="s">
        <v>219</v>
      </c>
      <c r="J1291">
        <v>11</v>
      </c>
      <c r="L1291">
        <v>11</v>
      </c>
      <c r="N1291">
        <f>Таблица1[[#This Row],[Часов на заказчика  в работе]]+Таблица1[[#This Row],[Часов на заказчика  дежурство]]</f>
        <v>11</v>
      </c>
      <c r="O12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1" s="9">
        <v>170000</v>
      </c>
      <c r="R1291" s="9"/>
      <c r="S1291" s="5">
        <v>1</v>
      </c>
      <c r="T12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табеле]])*S1291,0)</f>
        <v>5666.6666666666661</v>
      </c>
      <c r="U1291" s="5">
        <f>IF(Таблица1[[#This Row],[ТТН]]&gt;0,Таблица1[[#This Row],[Ставка за ТТН]]*Таблица1[[#This Row],[ТТН]],0)</f>
        <v>0</v>
      </c>
    </row>
    <row r="1292" spans="1:21" x14ac:dyDescent="0.25">
      <c r="A1292" t="s">
        <v>84</v>
      </c>
      <c r="B1292" s="24">
        <v>2</v>
      </c>
      <c r="C1292" t="s">
        <v>138</v>
      </c>
      <c r="D1292" t="s">
        <v>12</v>
      </c>
      <c r="E1292" t="s">
        <v>215</v>
      </c>
      <c r="F1292" t="s">
        <v>68</v>
      </c>
      <c r="H1292" t="s">
        <v>30</v>
      </c>
      <c r="I1292" t="s">
        <v>217</v>
      </c>
      <c r="J1292">
        <v>1</v>
      </c>
      <c r="N1292">
        <f>Таблица1[[#This Row],[Часов на заказчика  в работе]]+Таблица1[[#This Row],[Часов на заказчика  дежурство]]</f>
        <v>0</v>
      </c>
      <c r="O12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2" s="9">
        <v>170000</v>
      </c>
      <c r="R1292" s="9"/>
      <c r="S1292" s="5">
        <v>1</v>
      </c>
      <c r="T12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табеле]])*S1292,0)</f>
        <v>0</v>
      </c>
      <c r="U1292" s="5">
        <f>IF(Таблица1[[#This Row],[ТТН]]&gt;0,Таблица1[[#This Row],[Ставка за ТТН]]*Таблица1[[#This Row],[ТТН]],0)</f>
        <v>0</v>
      </c>
    </row>
    <row r="1293" spans="1:21" x14ac:dyDescent="0.25">
      <c r="A1293" t="s">
        <v>84</v>
      </c>
      <c r="B1293" s="24">
        <v>3</v>
      </c>
      <c r="C1293" t="s">
        <v>138</v>
      </c>
      <c r="D1293" t="s">
        <v>12</v>
      </c>
      <c r="E1293" t="s">
        <v>215</v>
      </c>
      <c r="F1293" t="s">
        <v>68</v>
      </c>
      <c r="H1293" t="s">
        <v>30</v>
      </c>
      <c r="I1293" t="s">
        <v>217</v>
      </c>
      <c r="J1293">
        <v>1</v>
      </c>
      <c r="N1293">
        <f>Таблица1[[#This Row],[Часов на заказчика  в работе]]+Таблица1[[#This Row],[Часов на заказчика  дежурство]]</f>
        <v>0</v>
      </c>
      <c r="O12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3" s="9">
        <v>170000</v>
      </c>
      <c r="R1293" s="9"/>
      <c r="S1293" s="5">
        <v>1</v>
      </c>
      <c r="T12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табеле]])*S1293,0)</f>
        <v>0</v>
      </c>
      <c r="U1293" s="5">
        <f>IF(Таблица1[[#This Row],[ТТН]]&gt;0,Таблица1[[#This Row],[Ставка за ТТН]]*Таблица1[[#This Row],[ТТН]],0)</f>
        <v>0</v>
      </c>
    </row>
    <row r="1294" spans="1:21" x14ac:dyDescent="0.25">
      <c r="A1294" t="s">
        <v>84</v>
      </c>
      <c r="B1294" s="24">
        <v>4</v>
      </c>
      <c r="C1294" t="s">
        <v>138</v>
      </c>
      <c r="D1294" t="s">
        <v>12</v>
      </c>
      <c r="E1294" t="s">
        <v>215</v>
      </c>
      <c r="F1294" t="s">
        <v>68</v>
      </c>
      <c r="H1294" t="s">
        <v>30</v>
      </c>
      <c r="I1294" t="s">
        <v>217</v>
      </c>
      <c r="J1294">
        <v>1</v>
      </c>
      <c r="N1294">
        <f>Таблица1[[#This Row],[Часов на заказчика  в работе]]+Таблица1[[#This Row],[Часов на заказчика  дежурство]]</f>
        <v>0</v>
      </c>
      <c r="O12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4" s="9">
        <v>170000</v>
      </c>
      <c r="R1294" s="9"/>
      <c r="S1294" s="5">
        <v>1</v>
      </c>
      <c r="T12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табеле]])*S1294,0)</f>
        <v>0</v>
      </c>
      <c r="U1294" s="5">
        <f>IF(Таблица1[[#This Row],[ТТН]]&gt;0,Таблица1[[#This Row],[Ставка за ТТН]]*Таблица1[[#This Row],[ТТН]],0)</f>
        <v>0</v>
      </c>
    </row>
    <row r="1295" spans="1:21" x14ac:dyDescent="0.25">
      <c r="A1295" t="s">
        <v>84</v>
      </c>
      <c r="B1295" s="24">
        <v>5</v>
      </c>
      <c r="C1295" t="s">
        <v>138</v>
      </c>
      <c r="D1295" t="s">
        <v>12</v>
      </c>
      <c r="E1295" t="s">
        <v>215</v>
      </c>
      <c r="F1295" t="s">
        <v>68</v>
      </c>
      <c r="H1295" t="s">
        <v>30</v>
      </c>
      <c r="I1295" t="s">
        <v>217</v>
      </c>
      <c r="J1295">
        <v>1</v>
      </c>
      <c r="N1295">
        <f>Таблица1[[#This Row],[Часов на заказчика  в работе]]+Таблица1[[#This Row],[Часов на заказчика  дежурство]]</f>
        <v>0</v>
      </c>
      <c r="O12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5" s="9">
        <v>170000</v>
      </c>
      <c r="R1295" s="9"/>
      <c r="S1295" s="5">
        <v>1</v>
      </c>
      <c r="T12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табеле]])*S1295,0)</f>
        <v>0</v>
      </c>
      <c r="U1295" s="5">
        <f>IF(Таблица1[[#This Row],[ТТН]]&gt;0,Таблица1[[#This Row],[Ставка за ТТН]]*Таблица1[[#This Row],[ТТН]],0)</f>
        <v>0</v>
      </c>
    </row>
    <row r="1296" spans="1:21" x14ac:dyDescent="0.25">
      <c r="A1296" t="s">
        <v>84</v>
      </c>
      <c r="B1296" s="24">
        <v>6</v>
      </c>
      <c r="C1296" t="s">
        <v>138</v>
      </c>
      <c r="D1296" t="s">
        <v>12</v>
      </c>
      <c r="E1296" t="s">
        <v>215</v>
      </c>
      <c r="F1296" t="s">
        <v>68</v>
      </c>
      <c r="H1296" t="s">
        <v>30</v>
      </c>
      <c r="I1296" t="s">
        <v>217</v>
      </c>
      <c r="J1296">
        <v>1</v>
      </c>
      <c r="N1296">
        <f>Таблица1[[#This Row],[Часов на заказчика  в работе]]+Таблица1[[#This Row],[Часов на заказчика  дежурство]]</f>
        <v>0</v>
      </c>
      <c r="O12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6" s="9">
        <v>170000</v>
      </c>
      <c r="R1296" s="9"/>
      <c r="S1296" s="5">
        <v>1</v>
      </c>
      <c r="T12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табеле]])*S1296,0)</f>
        <v>0</v>
      </c>
      <c r="U1296" s="5">
        <f>IF(Таблица1[[#This Row],[ТТН]]&gt;0,Таблица1[[#This Row],[Ставка за ТТН]]*Таблица1[[#This Row],[ТТН]],0)</f>
        <v>0</v>
      </c>
    </row>
    <row r="1297" spans="1:21" x14ac:dyDescent="0.25">
      <c r="A1297" t="s">
        <v>84</v>
      </c>
      <c r="B1297" s="24">
        <v>7</v>
      </c>
      <c r="C1297" t="s">
        <v>138</v>
      </c>
      <c r="D1297" t="s">
        <v>12</v>
      </c>
      <c r="E1297" t="s">
        <v>215</v>
      </c>
      <c r="F1297" t="s">
        <v>68</v>
      </c>
      <c r="H1297" t="s">
        <v>30</v>
      </c>
      <c r="I1297" t="s">
        <v>217</v>
      </c>
      <c r="J1297">
        <v>1</v>
      </c>
      <c r="N1297">
        <f>Таблица1[[#This Row],[Часов на заказчика  в работе]]+Таблица1[[#This Row],[Часов на заказчика  дежурство]]</f>
        <v>0</v>
      </c>
      <c r="O12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7" s="9">
        <v>170000</v>
      </c>
      <c r="R1297" s="9"/>
      <c r="S1297" s="5">
        <v>1</v>
      </c>
      <c r="T12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табеле]])*S1297,0)</f>
        <v>0</v>
      </c>
      <c r="U1297" s="5">
        <f>IF(Таблица1[[#This Row],[ТТН]]&gt;0,Таблица1[[#This Row],[Ставка за ТТН]]*Таблица1[[#This Row],[ТТН]],0)</f>
        <v>0</v>
      </c>
    </row>
    <row r="1298" spans="1:21" x14ac:dyDescent="0.25">
      <c r="A1298" t="s">
        <v>84</v>
      </c>
      <c r="B1298" s="24">
        <v>8</v>
      </c>
      <c r="C1298" t="s">
        <v>138</v>
      </c>
      <c r="D1298" t="s">
        <v>12</v>
      </c>
      <c r="E1298" t="s">
        <v>215</v>
      </c>
      <c r="F1298" t="s">
        <v>68</v>
      </c>
      <c r="H1298" t="s">
        <v>30</v>
      </c>
      <c r="I1298" t="s">
        <v>217</v>
      </c>
      <c r="J1298">
        <v>1</v>
      </c>
      <c r="N1298">
        <f>Таблица1[[#This Row],[Часов на заказчика  в работе]]+Таблица1[[#This Row],[Часов на заказчика  дежурство]]</f>
        <v>0</v>
      </c>
      <c r="O12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8" s="9">
        <v>170000</v>
      </c>
      <c r="R1298" s="9"/>
      <c r="S1298" s="5">
        <v>1</v>
      </c>
      <c r="T12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табеле]])*S1298,0)</f>
        <v>0</v>
      </c>
      <c r="U1298" s="5">
        <f>IF(Таблица1[[#This Row],[ТТН]]&gt;0,Таблица1[[#This Row],[Ставка за ТТН]]*Таблица1[[#This Row],[ТТН]],0)</f>
        <v>0</v>
      </c>
    </row>
    <row r="1299" spans="1:21" x14ac:dyDescent="0.25">
      <c r="A1299" t="s">
        <v>84</v>
      </c>
      <c r="B1299" s="24">
        <v>9</v>
      </c>
      <c r="C1299" t="s">
        <v>138</v>
      </c>
      <c r="D1299" t="s">
        <v>12</v>
      </c>
      <c r="E1299" t="s">
        <v>215</v>
      </c>
      <c r="F1299" t="s">
        <v>68</v>
      </c>
      <c r="H1299" t="s">
        <v>10</v>
      </c>
      <c r="I1299" t="s">
        <v>219</v>
      </c>
      <c r="J1299">
        <v>11</v>
      </c>
      <c r="L1299">
        <v>11</v>
      </c>
      <c r="N1299">
        <f>Таблица1[[#This Row],[Часов на заказчика  в работе]]+Таблица1[[#This Row],[Часов на заказчика  дежурство]]</f>
        <v>11</v>
      </c>
      <c r="O12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299" s="9">
        <v>170000</v>
      </c>
      <c r="R1299" s="9"/>
      <c r="S1299" s="5">
        <v>1</v>
      </c>
      <c r="T12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табеле]])*S1299,0)</f>
        <v>5666.6666666666661</v>
      </c>
      <c r="U1299" s="5">
        <f>IF(Таблица1[[#This Row],[ТТН]]&gt;0,Таблица1[[#This Row],[Ставка за ТТН]]*Таблица1[[#This Row],[ТТН]],0)</f>
        <v>0</v>
      </c>
    </row>
    <row r="1300" spans="1:21" x14ac:dyDescent="0.25">
      <c r="A1300" t="s">
        <v>84</v>
      </c>
      <c r="B1300" s="24">
        <v>10</v>
      </c>
      <c r="C1300" t="s">
        <v>138</v>
      </c>
      <c r="D1300" t="s">
        <v>12</v>
      </c>
      <c r="E1300" t="s">
        <v>215</v>
      </c>
      <c r="F1300" t="s">
        <v>68</v>
      </c>
      <c r="H1300" t="s">
        <v>30</v>
      </c>
      <c r="I1300" t="s">
        <v>217</v>
      </c>
      <c r="J1300">
        <v>1</v>
      </c>
      <c r="N1300">
        <f>Таблица1[[#This Row],[Часов на заказчика  в работе]]+Таблица1[[#This Row],[Часов на заказчика  дежурство]]</f>
        <v>0</v>
      </c>
      <c r="O13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0" s="9">
        <v>170000</v>
      </c>
      <c r="R1300" s="9"/>
      <c r="S1300" s="5">
        <v>1</v>
      </c>
      <c r="T13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табеле]])*S1300,0)</f>
        <v>0</v>
      </c>
      <c r="U1300" s="5">
        <f>IF(Таблица1[[#This Row],[ТТН]]&gt;0,Таблица1[[#This Row],[Ставка за ТТН]]*Таблица1[[#This Row],[ТТН]],0)</f>
        <v>0</v>
      </c>
    </row>
    <row r="1301" spans="1:21" x14ac:dyDescent="0.25">
      <c r="A1301" t="s">
        <v>84</v>
      </c>
      <c r="B1301" s="24">
        <v>11</v>
      </c>
      <c r="C1301" t="s">
        <v>138</v>
      </c>
      <c r="D1301" t="s">
        <v>12</v>
      </c>
      <c r="E1301" t="s">
        <v>215</v>
      </c>
      <c r="F1301" t="s">
        <v>68</v>
      </c>
      <c r="H1301" t="s">
        <v>30</v>
      </c>
      <c r="I1301" t="s">
        <v>217</v>
      </c>
      <c r="J1301">
        <v>1</v>
      </c>
      <c r="N1301">
        <f>Таблица1[[#This Row],[Часов на заказчика  в работе]]+Таблица1[[#This Row],[Часов на заказчика  дежурство]]</f>
        <v>0</v>
      </c>
      <c r="O13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1" s="9">
        <v>170000</v>
      </c>
      <c r="R1301" s="9"/>
      <c r="S1301" s="5">
        <v>1</v>
      </c>
      <c r="T13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табеле]])*S1301,0)</f>
        <v>0</v>
      </c>
      <c r="U1301" s="5">
        <f>IF(Таблица1[[#This Row],[ТТН]]&gt;0,Таблица1[[#This Row],[Ставка за ТТН]]*Таблица1[[#This Row],[ТТН]],0)</f>
        <v>0</v>
      </c>
    </row>
    <row r="1302" spans="1:21" x14ac:dyDescent="0.25">
      <c r="A1302" t="s">
        <v>84</v>
      </c>
      <c r="B1302" s="24">
        <v>12</v>
      </c>
      <c r="C1302" t="s">
        <v>138</v>
      </c>
      <c r="D1302" t="s">
        <v>12</v>
      </c>
      <c r="E1302" t="s">
        <v>215</v>
      </c>
      <c r="F1302" t="s">
        <v>68</v>
      </c>
      <c r="H1302" t="s">
        <v>30</v>
      </c>
      <c r="I1302" t="s">
        <v>217</v>
      </c>
      <c r="J1302">
        <v>1</v>
      </c>
      <c r="N1302">
        <f>Таблица1[[#This Row],[Часов на заказчика  в работе]]+Таблица1[[#This Row],[Часов на заказчика  дежурство]]</f>
        <v>0</v>
      </c>
      <c r="O13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2" s="9">
        <v>170000</v>
      </c>
      <c r="R1302" s="9"/>
      <c r="S1302" s="5">
        <v>1</v>
      </c>
      <c r="T13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табеле]])*S1302,0)</f>
        <v>0</v>
      </c>
      <c r="U1302" s="5">
        <f>IF(Таблица1[[#This Row],[ТТН]]&gt;0,Таблица1[[#This Row],[Ставка за ТТН]]*Таблица1[[#This Row],[ТТН]],0)</f>
        <v>0</v>
      </c>
    </row>
    <row r="1303" spans="1:21" x14ac:dyDescent="0.25">
      <c r="A1303" t="s">
        <v>84</v>
      </c>
      <c r="B1303" s="24">
        <v>13</v>
      </c>
      <c r="C1303" t="s">
        <v>138</v>
      </c>
      <c r="D1303" t="s">
        <v>12</v>
      </c>
      <c r="E1303" t="s">
        <v>215</v>
      </c>
      <c r="F1303" t="s">
        <v>68</v>
      </c>
      <c r="H1303" t="s">
        <v>30</v>
      </c>
      <c r="I1303" t="s">
        <v>217</v>
      </c>
      <c r="J1303">
        <v>1</v>
      </c>
      <c r="N1303">
        <f>Таблица1[[#This Row],[Часов на заказчика  в работе]]+Таблица1[[#This Row],[Часов на заказчика  дежурство]]</f>
        <v>0</v>
      </c>
      <c r="O13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3" s="9">
        <v>170000</v>
      </c>
      <c r="R1303" s="9"/>
      <c r="S1303" s="5">
        <v>1</v>
      </c>
      <c r="T13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табеле]])*S1303,0)</f>
        <v>0</v>
      </c>
      <c r="U1303" s="5">
        <f>IF(Таблица1[[#This Row],[ТТН]]&gt;0,Таблица1[[#This Row],[Ставка за ТТН]]*Таблица1[[#This Row],[ТТН]],0)</f>
        <v>0</v>
      </c>
    </row>
    <row r="1304" spans="1:21" x14ac:dyDescent="0.25">
      <c r="A1304" t="s">
        <v>84</v>
      </c>
      <c r="B1304" s="24">
        <v>14</v>
      </c>
      <c r="C1304" t="s">
        <v>138</v>
      </c>
      <c r="D1304" t="s">
        <v>12</v>
      </c>
      <c r="E1304" t="s">
        <v>215</v>
      </c>
      <c r="F1304" t="s">
        <v>68</v>
      </c>
      <c r="H1304" t="s">
        <v>30</v>
      </c>
      <c r="I1304" t="s">
        <v>217</v>
      </c>
      <c r="J1304">
        <v>1</v>
      </c>
      <c r="N1304">
        <f>Таблица1[[#This Row],[Часов на заказчика  в работе]]+Таблица1[[#This Row],[Часов на заказчика  дежурство]]</f>
        <v>0</v>
      </c>
      <c r="O13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4" s="9">
        <v>170000</v>
      </c>
      <c r="R1304" s="9"/>
      <c r="S1304" s="5">
        <v>1</v>
      </c>
      <c r="T13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табеле]])*S1304,0)</f>
        <v>0</v>
      </c>
      <c r="U1304" s="5">
        <f>IF(Таблица1[[#This Row],[ТТН]]&gt;0,Таблица1[[#This Row],[Ставка за ТТН]]*Таблица1[[#This Row],[ТТН]],0)</f>
        <v>0</v>
      </c>
    </row>
    <row r="1305" spans="1:21" x14ac:dyDescent="0.25">
      <c r="A1305" t="s">
        <v>84</v>
      </c>
      <c r="B1305" s="24">
        <v>15</v>
      </c>
      <c r="C1305" t="s">
        <v>138</v>
      </c>
      <c r="D1305" t="s">
        <v>12</v>
      </c>
      <c r="E1305" t="s">
        <v>215</v>
      </c>
      <c r="F1305" t="s">
        <v>68</v>
      </c>
      <c r="H1305" t="s">
        <v>30</v>
      </c>
      <c r="I1305" t="s">
        <v>217</v>
      </c>
      <c r="J1305">
        <v>1</v>
      </c>
      <c r="N1305">
        <f>Таблица1[[#This Row],[Часов на заказчика  в работе]]+Таблица1[[#This Row],[Часов на заказчика  дежурство]]</f>
        <v>0</v>
      </c>
      <c r="O13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5" s="9">
        <v>170000</v>
      </c>
      <c r="R1305" s="9"/>
      <c r="S1305" s="5">
        <v>1</v>
      </c>
      <c r="T13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табеле]])*S1305,0)</f>
        <v>0</v>
      </c>
      <c r="U1305" s="5">
        <f>IF(Таблица1[[#This Row],[ТТН]]&gt;0,Таблица1[[#This Row],[Ставка за ТТН]]*Таблица1[[#This Row],[ТТН]],0)</f>
        <v>0</v>
      </c>
    </row>
    <row r="1306" spans="1:21" x14ac:dyDescent="0.25">
      <c r="A1306" t="s">
        <v>84</v>
      </c>
      <c r="B1306" s="24">
        <v>16</v>
      </c>
      <c r="C1306" t="s">
        <v>138</v>
      </c>
      <c r="D1306" t="s">
        <v>12</v>
      </c>
      <c r="E1306" t="s">
        <v>215</v>
      </c>
      <c r="F1306" t="s">
        <v>68</v>
      </c>
      <c r="H1306" t="s">
        <v>30</v>
      </c>
      <c r="I1306" t="s">
        <v>217</v>
      </c>
      <c r="J1306">
        <v>1</v>
      </c>
      <c r="N1306">
        <f>Таблица1[[#This Row],[Часов на заказчика  в работе]]+Таблица1[[#This Row],[Часов на заказчика  дежурство]]</f>
        <v>0</v>
      </c>
      <c r="O13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6" s="9">
        <v>170000</v>
      </c>
      <c r="R1306" s="9"/>
      <c r="S1306" s="5">
        <v>1</v>
      </c>
      <c r="T13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табеле]])*S1306,0)</f>
        <v>0</v>
      </c>
      <c r="U1306" s="5">
        <f>IF(Таблица1[[#This Row],[ТТН]]&gt;0,Таблица1[[#This Row],[Ставка за ТТН]]*Таблица1[[#This Row],[ТТН]],0)</f>
        <v>0</v>
      </c>
    </row>
    <row r="1307" spans="1:21" x14ac:dyDescent="0.25">
      <c r="A1307" t="s">
        <v>84</v>
      </c>
      <c r="B1307" s="24">
        <v>17</v>
      </c>
      <c r="C1307" t="s">
        <v>138</v>
      </c>
      <c r="D1307" t="s">
        <v>12</v>
      </c>
      <c r="E1307" t="s">
        <v>215</v>
      </c>
      <c r="F1307" t="s">
        <v>68</v>
      </c>
      <c r="H1307" t="s">
        <v>30</v>
      </c>
      <c r="I1307" t="s">
        <v>217</v>
      </c>
      <c r="J1307">
        <v>1</v>
      </c>
      <c r="N1307">
        <f>Таблица1[[#This Row],[Часов на заказчика  в работе]]+Таблица1[[#This Row],[Часов на заказчика  дежурство]]</f>
        <v>0</v>
      </c>
      <c r="O13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7" s="9">
        <v>170000</v>
      </c>
      <c r="R1307" s="9"/>
      <c r="S1307" s="5">
        <v>1</v>
      </c>
      <c r="T13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табеле]])*S1307,0)</f>
        <v>0</v>
      </c>
      <c r="U1307" s="5">
        <f>IF(Таблица1[[#This Row],[ТТН]]&gt;0,Таблица1[[#This Row],[Ставка за ТТН]]*Таблица1[[#This Row],[ТТН]],0)</f>
        <v>0</v>
      </c>
    </row>
    <row r="1308" spans="1:21" x14ac:dyDescent="0.25">
      <c r="A1308" t="s">
        <v>84</v>
      </c>
      <c r="B1308" s="24">
        <v>18</v>
      </c>
      <c r="C1308" t="s">
        <v>138</v>
      </c>
      <c r="D1308" t="s">
        <v>12</v>
      </c>
      <c r="E1308" t="s">
        <v>215</v>
      </c>
      <c r="F1308" t="s">
        <v>68</v>
      </c>
      <c r="H1308" t="s">
        <v>30</v>
      </c>
      <c r="I1308" t="s">
        <v>217</v>
      </c>
      <c r="J1308">
        <v>1</v>
      </c>
      <c r="N1308">
        <f>Таблица1[[#This Row],[Часов на заказчика  в работе]]+Таблица1[[#This Row],[Часов на заказчика  дежурство]]</f>
        <v>0</v>
      </c>
      <c r="O13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8" s="9">
        <v>170000</v>
      </c>
      <c r="R1308" s="9"/>
      <c r="S1308" s="5">
        <v>1</v>
      </c>
      <c r="T13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табеле]])*S1308,0)</f>
        <v>0</v>
      </c>
      <c r="U1308" s="5">
        <f>IF(Таблица1[[#This Row],[ТТН]]&gt;0,Таблица1[[#This Row],[Ставка за ТТН]]*Таблица1[[#This Row],[ТТН]],0)</f>
        <v>0</v>
      </c>
    </row>
    <row r="1309" spans="1:21" x14ac:dyDescent="0.25">
      <c r="A1309" t="s">
        <v>84</v>
      </c>
      <c r="B1309" s="24">
        <v>19</v>
      </c>
      <c r="C1309" t="s">
        <v>138</v>
      </c>
      <c r="D1309" t="s">
        <v>12</v>
      </c>
      <c r="E1309" t="s">
        <v>215</v>
      </c>
      <c r="F1309" t="s">
        <v>68</v>
      </c>
      <c r="H1309" t="s">
        <v>30</v>
      </c>
      <c r="I1309" t="s">
        <v>217</v>
      </c>
      <c r="J1309">
        <v>1</v>
      </c>
      <c r="N1309">
        <f>Таблица1[[#This Row],[Часов на заказчика  в работе]]+Таблица1[[#This Row],[Часов на заказчика  дежурство]]</f>
        <v>0</v>
      </c>
      <c r="O13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09" s="9">
        <v>170000</v>
      </c>
      <c r="R1309" s="9"/>
      <c r="S1309" s="5">
        <v>1</v>
      </c>
      <c r="T13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табеле]])*S1309,0)</f>
        <v>0</v>
      </c>
      <c r="U1309" s="5">
        <f>IF(Таблица1[[#This Row],[ТТН]]&gt;0,Таблица1[[#This Row],[Ставка за ТТН]]*Таблица1[[#This Row],[ТТН]],0)</f>
        <v>0</v>
      </c>
    </row>
    <row r="1310" spans="1:21" x14ac:dyDescent="0.25">
      <c r="A1310" t="s">
        <v>84</v>
      </c>
      <c r="B1310" s="24">
        <v>20</v>
      </c>
      <c r="C1310" t="s">
        <v>138</v>
      </c>
      <c r="D1310" t="s">
        <v>12</v>
      </c>
      <c r="E1310" t="s">
        <v>215</v>
      </c>
      <c r="F1310" t="s">
        <v>68</v>
      </c>
      <c r="H1310" t="s">
        <v>30</v>
      </c>
      <c r="I1310" t="s">
        <v>217</v>
      </c>
      <c r="J1310">
        <v>1</v>
      </c>
      <c r="N1310">
        <f>Таблица1[[#This Row],[Часов на заказчика  в работе]]+Таблица1[[#This Row],[Часов на заказчика  дежурство]]</f>
        <v>0</v>
      </c>
      <c r="O13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0" s="9">
        <v>170000</v>
      </c>
      <c r="R1310" s="9"/>
      <c r="S1310" s="5">
        <v>1</v>
      </c>
      <c r="T13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табеле]])*S1310,0)</f>
        <v>0</v>
      </c>
      <c r="U1310" s="5">
        <f>IF(Таблица1[[#This Row],[ТТН]]&gt;0,Таблица1[[#This Row],[Ставка за ТТН]]*Таблица1[[#This Row],[ТТН]],0)</f>
        <v>0</v>
      </c>
    </row>
    <row r="1311" spans="1:21" x14ac:dyDescent="0.25">
      <c r="A1311" t="s">
        <v>84</v>
      </c>
      <c r="B1311" s="24">
        <v>21</v>
      </c>
      <c r="C1311" t="s">
        <v>138</v>
      </c>
      <c r="D1311" t="s">
        <v>12</v>
      </c>
      <c r="E1311" t="s">
        <v>215</v>
      </c>
      <c r="F1311" t="s">
        <v>68</v>
      </c>
      <c r="H1311" t="s">
        <v>30</v>
      </c>
      <c r="I1311" t="s">
        <v>217</v>
      </c>
      <c r="J1311">
        <v>1</v>
      </c>
      <c r="N1311">
        <f>Таблица1[[#This Row],[Часов на заказчика  в работе]]+Таблица1[[#This Row],[Часов на заказчика  дежурство]]</f>
        <v>0</v>
      </c>
      <c r="O13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1" s="9">
        <v>170000</v>
      </c>
      <c r="R1311" s="9"/>
      <c r="S1311" s="5">
        <v>1</v>
      </c>
      <c r="T13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табеле]])*S1311,0)</f>
        <v>0</v>
      </c>
      <c r="U1311" s="5">
        <f>IF(Таблица1[[#This Row],[ТТН]]&gt;0,Таблица1[[#This Row],[Ставка за ТТН]]*Таблица1[[#This Row],[ТТН]],0)</f>
        <v>0</v>
      </c>
    </row>
    <row r="1312" spans="1:21" x14ac:dyDescent="0.25">
      <c r="A1312" t="s">
        <v>84</v>
      </c>
      <c r="B1312" s="24">
        <v>22</v>
      </c>
      <c r="C1312" t="s">
        <v>138</v>
      </c>
      <c r="D1312" t="s">
        <v>12</v>
      </c>
      <c r="E1312" t="s">
        <v>215</v>
      </c>
      <c r="F1312" t="s">
        <v>68</v>
      </c>
      <c r="H1312" t="s">
        <v>24</v>
      </c>
      <c r="I1312" t="s">
        <v>217</v>
      </c>
      <c r="J1312">
        <v>8</v>
      </c>
      <c r="N1312">
        <f>Таблица1[[#This Row],[Часов на заказчика  в работе]]+Таблица1[[#This Row],[Часов на заказчика  дежурство]]</f>
        <v>0</v>
      </c>
      <c r="O13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2" s="9">
        <v>170000</v>
      </c>
      <c r="R1312" s="9"/>
      <c r="S1312" s="5">
        <v>1</v>
      </c>
      <c r="T13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табеле]])*S1312,0)</f>
        <v>0</v>
      </c>
      <c r="U1312" s="5">
        <f>IF(Таблица1[[#This Row],[ТТН]]&gt;0,Таблица1[[#This Row],[Ставка за ТТН]]*Таблица1[[#This Row],[ТТН]],0)</f>
        <v>0</v>
      </c>
    </row>
    <row r="1313" spans="1:21" x14ac:dyDescent="0.25">
      <c r="A1313" t="s">
        <v>84</v>
      </c>
      <c r="B1313" s="24">
        <v>23</v>
      </c>
      <c r="C1313" t="s">
        <v>138</v>
      </c>
      <c r="D1313" t="s">
        <v>12</v>
      </c>
      <c r="E1313" t="s">
        <v>215</v>
      </c>
      <c r="F1313" t="s">
        <v>68</v>
      </c>
      <c r="H1313" t="s">
        <v>24</v>
      </c>
      <c r="I1313" t="s">
        <v>217</v>
      </c>
      <c r="J1313">
        <v>8</v>
      </c>
      <c r="N1313">
        <f>Таблица1[[#This Row],[Часов на заказчика  в работе]]+Таблица1[[#This Row],[Часов на заказчика  дежурство]]</f>
        <v>0</v>
      </c>
      <c r="O13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3" s="9">
        <v>170000</v>
      </c>
      <c r="R1313" s="9"/>
      <c r="S1313" s="5">
        <v>1</v>
      </c>
      <c r="T13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табеле]])*S1313,0)</f>
        <v>0</v>
      </c>
      <c r="U1313" s="5">
        <f>IF(Таблица1[[#This Row],[ТТН]]&gt;0,Таблица1[[#This Row],[Ставка за ТТН]]*Таблица1[[#This Row],[ТТН]],0)</f>
        <v>0</v>
      </c>
    </row>
    <row r="1314" spans="1:21" x14ac:dyDescent="0.25">
      <c r="A1314" t="s">
        <v>84</v>
      </c>
      <c r="B1314" s="24">
        <v>24</v>
      </c>
      <c r="C1314" t="s">
        <v>138</v>
      </c>
      <c r="D1314" t="s">
        <v>12</v>
      </c>
      <c r="E1314" t="s">
        <v>215</v>
      </c>
      <c r="F1314" t="s">
        <v>68</v>
      </c>
      <c r="H1314" t="s">
        <v>24</v>
      </c>
      <c r="I1314" t="s">
        <v>217</v>
      </c>
      <c r="J1314">
        <v>8</v>
      </c>
      <c r="N1314">
        <f>Таблица1[[#This Row],[Часов на заказчика  в работе]]+Таблица1[[#This Row],[Часов на заказчика  дежурство]]</f>
        <v>0</v>
      </c>
      <c r="O13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4" s="9">
        <v>170000</v>
      </c>
      <c r="R1314" s="9"/>
      <c r="S1314" s="5">
        <v>1</v>
      </c>
      <c r="T13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табеле]])*S1314,0)</f>
        <v>0</v>
      </c>
      <c r="U1314" s="5">
        <f>IF(Таблица1[[#This Row],[ТТН]]&gt;0,Таблица1[[#This Row],[Ставка за ТТН]]*Таблица1[[#This Row],[ТТН]],0)</f>
        <v>0</v>
      </c>
    </row>
    <row r="1315" spans="1:21" x14ac:dyDescent="0.25">
      <c r="A1315" t="s">
        <v>84</v>
      </c>
      <c r="B1315" s="24">
        <v>25</v>
      </c>
      <c r="C1315" t="s">
        <v>138</v>
      </c>
      <c r="D1315" t="s">
        <v>12</v>
      </c>
      <c r="E1315" t="s">
        <v>215</v>
      </c>
      <c r="F1315" t="s">
        <v>68</v>
      </c>
      <c r="H1315" t="s">
        <v>24</v>
      </c>
      <c r="I1315" t="s">
        <v>217</v>
      </c>
      <c r="J1315">
        <v>8</v>
      </c>
      <c r="N1315">
        <f>Таблица1[[#This Row],[Часов на заказчика  в работе]]+Таблица1[[#This Row],[Часов на заказчика  дежурство]]</f>
        <v>0</v>
      </c>
      <c r="O13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5" s="9">
        <v>170000</v>
      </c>
      <c r="R1315" s="9"/>
      <c r="S1315" s="5">
        <v>1</v>
      </c>
      <c r="T13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табеле]])*S1315,0)</f>
        <v>0</v>
      </c>
      <c r="U1315" s="5">
        <f>IF(Таблица1[[#This Row],[ТТН]]&gt;0,Таблица1[[#This Row],[Ставка за ТТН]]*Таблица1[[#This Row],[ТТН]],0)</f>
        <v>0</v>
      </c>
    </row>
    <row r="1316" spans="1:21" x14ac:dyDescent="0.25">
      <c r="A1316" t="s">
        <v>84</v>
      </c>
      <c r="B1316" s="24">
        <v>26</v>
      </c>
      <c r="C1316" t="s">
        <v>138</v>
      </c>
      <c r="D1316" t="s">
        <v>12</v>
      </c>
      <c r="E1316" t="s">
        <v>215</v>
      </c>
      <c r="F1316" t="s">
        <v>68</v>
      </c>
      <c r="H1316" t="s">
        <v>29</v>
      </c>
      <c r="I1316" t="s">
        <v>217</v>
      </c>
      <c r="J1316">
        <v>8</v>
      </c>
      <c r="N1316">
        <f>Таблица1[[#This Row],[Часов на заказчика  в работе]]+Таблица1[[#This Row],[Часов на заказчика  дежурство]]</f>
        <v>0</v>
      </c>
      <c r="O13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6" s="9">
        <v>170000</v>
      </c>
      <c r="R1316" s="9"/>
      <c r="S1316" s="5">
        <v>1</v>
      </c>
      <c r="T13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табеле]])*S1316,0)</f>
        <v>0</v>
      </c>
      <c r="U1316" s="5">
        <f>IF(Таблица1[[#This Row],[ТТН]]&gt;0,Таблица1[[#This Row],[Ставка за ТТН]]*Таблица1[[#This Row],[ТТН]],0)</f>
        <v>0</v>
      </c>
    </row>
    <row r="1317" spans="1:21" x14ac:dyDescent="0.25">
      <c r="A1317" t="s">
        <v>84</v>
      </c>
      <c r="B1317" s="24">
        <v>27</v>
      </c>
      <c r="C1317" t="s">
        <v>138</v>
      </c>
      <c r="D1317" t="s">
        <v>12</v>
      </c>
      <c r="E1317" t="s">
        <v>215</v>
      </c>
      <c r="F1317" t="s">
        <v>68</v>
      </c>
      <c r="H1317" t="s">
        <v>30</v>
      </c>
      <c r="I1317" t="s">
        <v>217</v>
      </c>
      <c r="J1317">
        <v>1</v>
      </c>
      <c r="N1317">
        <f>Таблица1[[#This Row],[Часов на заказчика  в работе]]+Таблица1[[#This Row],[Часов на заказчика  дежурство]]</f>
        <v>0</v>
      </c>
      <c r="O13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7" s="9">
        <v>170000</v>
      </c>
      <c r="R1317" s="9"/>
      <c r="S1317" s="5">
        <v>1</v>
      </c>
      <c r="T13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табеле]])*S1317,0)</f>
        <v>0</v>
      </c>
      <c r="U1317" s="5">
        <f>IF(Таблица1[[#This Row],[ТТН]]&gt;0,Таблица1[[#This Row],[Ставка за ТТН]]*Таблица1[[#This Row],[ТТН]],0)</f>
        <v>0</v>
      </c>
    </row>
    <row r="1318" spans="1:21" x14ac:dyDescent="0.25">
      <c r="A1318" t="s">
        <v>84</v>
      </c>
      <c r="B1318" s="24">
        <v>28</v>
      </c>
      <c r="C1318" t="s">
        <v>138</v>
      </c>
      <c r="D1318" t="s">
        <v>12</v>
      </c>
      <c r="E1318" t="s">
        <v>215</v>
      </c>
      <c r="F1318" t="s">
        <v>68</v>
      </c>
      <c r="H1318" t="s">
        <v>30</v>
      </c>
      <c r="I1318" t="s">
        <v>217</v>
      </c>
      <c r="J1318">
        <v>1</v>
      </c>
      <c r="N1318">
        <f>Таблица1[[#This Row],[Часов на заказчика  в работе]]+Таблица1[[#This Row],[Часов на заказчика  дежурство]]</f>
        <v>0</v>
      </c>
      <c r="O13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8" s="9">
        <v>170000</v>
      </c>
      <c r="R1318" s="9"/>
      <c r="S1318" s="5">
        <v>1</v>
      </c>
      <c r="T13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табеле]])*S1318,0)</f>
        <v>0</v>
      </c>
      <c r="U1318" s="5">
        <f>IF(Таблица1[[#This Row],[ТТН]]&gt;0,Таблица1[[#This Row],[Ставка за ТТН]]*Таблица1[[#This Row],[ТТН]],0)</f>
        <v>0</v>
      </c>
    </row>
    <row r="1319" spans="1:21" x14ac:dyDescent="0.25">
      <c r="A1319" t="s">
        <v>84</v>
      </c>
      <c r="B1319" s="24">
        <v>29</v>
      </c>
      <c r="C1319" t="s">
        <v>138</v>
      </c>
      <c r="D1319" t="s">
        <v>12</v>
      </c>
      <c r="E1319" t="s">
        <v>215</v>
      </c>
      <c r="F1319" t="s">
        <v>68</v>
      </c>
      <c r="H1319" t="s">
        <v>29</v>
      </c>
      <c r="I1319" t="s">
        <v>217</v>
      </c>
      <c r="J1319">
        <v>8</v>
      </c>
      <c r="N1319">
        <f>Таблица1[[#This Row],[Часов на заказчика  в работе]]+Таблица1[[#This Row],[Часов на заказчика  дежурство]]</f>
        <v>0</v>
      </c>
      <c r="O13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19" s="9">
        <v>170000</v>
      </c>
      <c r="R1319" s="9"/>
      <c r="S1319" s="5">
        <v>1</v>
      </c>
      <c r="T13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табеле]])*S1319,0)</f>
        <v>0</v>
      </c>
      <c r="U1319" s="5">
        <f>IF(Таблица1[[#This Row],[ТТН]]&gt;0,Таблица1[[#This Row],[Ставка за ТТН]]*Таблица1[[#This Row],[ТТН]],0)</f>
        <v>0</v>
      </c>
    </row>
    <row r="1320" spans="1:21" x14ac:dyDescent="0.25">
      <c r="A1320" t="s">
        <v>84</v>
      </c>
      <c r="B1320" s="24">
        <v>30</v>
      </c>
      <c r="C1320" t="s">
        <v>139</v>
      </c>
      <c r="D1320" t="s">
        <v>12</v>
      </c>
      <c r="E1320" t="s">
        <v>215</v>
      </c>
      <c r="F1320" t="s">
        <v>68</v>
      </c>
      <c r="H1320" t="s">
        <v>29</v>
      </c>
      <c r="I1320" t="s">
        <v>217</v>
      </c>
      <c r="J1320">
        <v>8</v>
      </c>
      <c r="N1320">
        <f>Таблица1[[#This Row],[Часов на заказчика  в работе]]+Таблица1[[#This Row],[Часов на заказчика  дежурство]]</f>
        <v>0</v>
      </c>
      <c r="O13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0" s="9">
        <v>170000</v>
      </c>
      <c r="R1320" s="9"/>
      <c r="S1320" s="5">
        <v>1</v>
      </c>
      <c r="T13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табеле]])*S1320,0)</f>
        <v>0</v>
      </c>
      <c r="U1320" s="5">
        <f>IF(Таблица1[[#This Row],[ТТН]]&gt;0,Таблица1[[#This Row],[Ставка за ТТН]]*Таблица1[[#This Row],[ТТН]],0)</f>
        <v>0</v>
      </c>
    </row>
    <row r="1321" spans="1:21" x14ac:dyDescent="0.25">
      <c r="A1321" t="s">
        <v>84</v>
      </c>
      <c r="B1321" s="24">
        <v>1</v>
      </c>
      <c r="C1321" t="s">
        <v>139</v>
      </c>
      <c r="D1321" t="s">
        <v>35</v>
      </c>
      <c r="E1321" t="s">
        <v>215</v>
      </c>
      <c r="F1321" t="s">
        <v>36</v>
      </c>
      <c r="H1321" t="s">
        <v>10</v>
      </c>
      <c r="I1321" t="s">
        <v>219</v>
      </c>
      <c r="J1321">
        <v>11</v>
      </c>
      <c r="L1321">
        <v>11</v>
      </c>
      <c r="N1321">
        <f>Таблица1[[#This Row],[Часов на заказчика  в работе]]+Таблица1[[#This Row],[Часов на заказчика  дежурство]]</f>
        <v>11</v>
      </c>
      <c r="O13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1" s="9">
        <v>200000</v>
      </c>
      <c r="R1321" s="9"/>
      <c r="S1321" s="5">
        <v>1</v>
      </c>
      <c r="T13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табеле]])*S1321,0)</f>
        <v>6666.6666666666661</v>
      </c>
      <c r="U1321" s="5">
        <f>IF(Таблица1[[#This Row],[ТТН]]&gt;0,Таблица1[[#This Row],[Ставка за ТТН]]*Таблица1[[#This Row],[ТТН]],0)</f>
        <v>0</v>
      </c>
    </row>
    <row r="1322" spans="1:21" x14ac:dyDescent="0.25">
      <c r="A1322" t="s">
        <v>84</v>
      </c>
      <c r="B1322" s="24">
        <v>2</v>
      </c>
      <c r="C1322" t="s">
        <v>139</v>
      </c>
      <c r="D1322" t="s">
        <v>35</v>
      </c>
      <c r="E1322" t="s">
        <v>215</v>
      </c>
      <c r="F1322" t="s">
        <v>36</v>
      </c>
      <c r="H1322" t="s">
        <v>10</v>
      </c>
      <c r="I1322" t="s">
        <v>219</v>
      </c>
      <c r="J1322">
        <v>11</v>
      </c>
      <c r="L1322">
        <v>11</v>
      </c>
      <c r="N1322">
        <f>Таблица1[[#This Row],[Часов на заказчика  в работе]]+Таблица1[[#This Row],[Часов на заказчика  дежурство]]</f>
        <v>11</v>
      </c>
      <c r="O13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2" s="9">
        <v>200000</v>
      </c>
      <c r="R1322" s="9"/>
      <c r="S1322" s="5">
        <v>1</v>
      </c>
      <c r="T13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табеле]])*S1322,0)</f>
        <v>6666.6666666666661</v>
      </c>
      <c r="U1322" s="5">
        <f>IF(Таблица1[[#This Row],[ТТН]]&gt;0,Таблица1[[#This Row],[Ставка за ТТН]]*Таблица1[[#This Row],[ТТН]],0)</f>
        <v>0</v>
      </c>
    </row>
    <row r="1323" spans="1:21" x14ac:dyDescent="0.25">
      <c r="A1323" t="s">
        <v>84</v>
      </c>
      <c r="B1323" s="24">
        <v>3</v>
      </c>
      <c r="C1323" t="s">
        <v>139</v>
      </c>
      <c r="D1323" t="s">
        <v>35</v>
      </c>
      <c r="E1323" t="s">
        <v>215</v>
      </c>
      <c r="F1323" t="s">
        <v>36</v>
      </c>
      <c r="H1323" t="s">
        <v>10</v>
      </c>
      <c r="I1323" t="s">
        <v>219</v>
      </c>
      <c r="J1323">
        <v>11</v>
      </c>
      <c r="L1323">
        <v>11</v>
      </c>
      <c r="N1323">
        <f>Таблица1[[#This Row],[Часов на заказчика  в работе]]+Таблица1[[#This Row],[Часов на заказчика  дежурство]]</f>
        <v>11</v>
      </c>
      <c r="O13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3" s="9">
        <v>200000</v>
      </c>
      <c r="R1323" s="9"/>
      <c r="S1323" s="5">
        <v>1</v>
      </c>
      <c r="T13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табеле]])*S1323,0)</f>
        <v>6666.6666666666661</v>
      </c>
      <c r="U1323" s="5">
        <f>IF(Таблица1[[#This Row],[ТТН]]&gt;0,Таблица1[[#This Row],[Ставка за ТТН]]*Таблица1[[#This Row],[ТТН]],0)</f>
        <v>0</v>
      </c>
    </row>
    <row r="1324" spans="1:21" x14ac:dyDescent="0.25">
      <c r="A1324" t="s">
        <v>84</v>
      </c>
      <c r="B1324" s="24">
        <v>4</v>
      </c>
      <c r="C1324" t="s">
        <v>139</v>
      </c>
      <c r="D1324" t="s">
        <v>35</v>
      </c>
      <c r="E1324" t="s">
        <v>215</v>
      </c>
      <c r="F1324" t="s">
        <v>36</v>
      </c>
      <c r="H1324" t="s">
        <v>10</v>
      </c>
      <c r="I1324" t="s">
        <v>219</v>
      </c>
      <c r="J1324">
        <v>11</v>
      </c>
      <c r="L1324">
        <v>11</v>
      </c>
      <c r="N1324">
        <f>Таблица1[[#This Row],[Часов на заказчика  в работе]]+Таблица1[[#This Row],[Часов на заказчика  дежурство]]</f>
        <v>11</v>
      </c>
      <c r="O13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4" s="9">
        <v>200000</v>
      </c>
      <c r="R1324" s="9"/>
      <c r="S1324" s="5">
        <v>1</v>
      </c>
      <c r="T13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табеле]])*S1324,0)</f>
        <v>6666.6666666666661</v>
      </c>
      <c r="U1324" s="5">
        <f>IF(Таблица1[[#This Row],[ТТН]]&gt;0,Таблица1[[#This Row],[Ставка за ТТН]]*Таблица1[[#This Row],[ТТН]],0)</f>
        <v>0</v>
      </c>
    </row>
    <row r="1325" spans="1:21" x14ac:dyDescent="0.25">
      <c r="A1325" t="s">
        <v>84</v>
      </c>
      <c r="B1325" s="24">
        <v>5</v>
      </c>
      <c r="C1325" t="s">
        <v>139</v>
      </c>
      <c r="D1325" t="s">
        <v>35</v>
      </c>
      <c r="E1325" t="s">
        <v>215</v>
      </c>
      <c r="F1325" t="s">
        <v>36</v>
      </c>
      <c r="H1325" t="s">
        <v>38</v>
      </c>
      <c r="I1325" t="s">
        <v>217</v>
      </c>
      <c r="J1325">
        <v>11</v>
      </c>
      <c r="N1325">
        <f>Таблица1[[#This Row],[Часов на заказчика  в работе]]+Таблица1[[#This Row],[Часов на заказчика  дежурство]]</f>
        <v>0</v>
      </c>
      <c r="O13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5" s="9">
        <v>200000</v>
      </c>
      <c r="R1325" s="9"/>
      <c r="S1325" s="5">
        <v>1</v>
      </c>
      <c r="T13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табеле]])*S1325,0)</f>
        <v>6666.6666666666661</v>
      </c>
      <c r="U1325" s="5">
        <f>IF(Таблица1[[#This Row],[ТТН]]&gt;0,Таблица1[[#This Row],[Ставка за ТТН]]*Таблица1[[#This Row],[ТТН]],0)</f>
        <v>0</v>
      </c>
    </row>
    <row r="1326" spans="1:21" x14ac:dyDescent="0.25">
      <c r="A1326" t="s">
        <v>84</v>
      </c>
      <c r="B1326" s="24">
        <v>6</v>
      </c>
      <c r="C1326" t="s">
        <v>139</v>
      </c>
      <c r="D1326" t="s">
        <v>35</v>
      </c>
      <c r="E1326" t="s">
        <v>215</v>
      </c>
      <c r="F1326" t="s">
        <v>36</v>
      </c>
      <c r="H1326" t="s">
        <v>38</v>
      </c>
      <c r="I1326" t="s">
        <v>217</v>
      </c>
      <c r="J1326">
        <v>11</v>
      </c>
      <c r="N1326">
        <f>Таблица1[[#This Row],[Часов на заказчика  в работе]]+Таблица1[[#This Row],[Часов на заказчика  дежурство]]</f>
        <v>0</v>
      </c>
      <c r="O13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6" s="9">
        <v>200000</v>
      </c>
      <c r="R1326" s="9"/>
      <c r="S1326" s="5">
        <v>1</v>
      </c>
      <c r="T13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табеле]])*S1326,0)</f>
        <v>6666.6666666666661</v>
      </c>
      <c r="U1326" s="5">
        <f>IF(Таблица1[[#This Row],[ТТН]]&gt;0,Таблица1[[#This Row],[Ставка за ТТН]]*Таблица1[[#This Row],[ТТН]],0)</f>
        <v>0</v>
      </c>
    </row>
    <row r="1327" spans="1:21" x14ac:dyDescent="0.25">
      <c r="A1327" t="s">
        <v>84</v>
      </c>
      <c r="B1327" s="24">
        <v>7</v>
      </c>
      <c r="C1327" t="s">
        <v>139</v>
      </c>
      <c r="D1327" t="s">
        <v>35</v>
      </c>
      <c r="E1327" t="s">
        <v>215</v>
      </c>
      <c r="F1327" t="s">
        <v>36</v>
      </c>
      <c r="H1327" t="s">
        <v>23</v>
      </c>
      <c r="I1327" t="s">
        <v>217</v>
      </c>
      <c r="J1327">
        <v>11</v>
      </c>
      <c r="N1327">
        <f>Таблица1[[#This Row],[Часов на заказчика  в работе]]+Таблица1[[#This Row],[Часов на заказчика  дежурство]]</f>
        <v>0</v>
      </c>
      <c r="O13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7" s="9">
        <v>200000</v>
      </c>
      <c r="R1327" s="9"/>
      <c r="S1327" s="5">
        <v>1</v>
      </c>
      <c r="T13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табеле]])*S1327,0)</f>
        <v>6666.6666666666661</v>
      </c>
      <c r="U1327" s="5">
        <f>IF(Таблица1[[#This Row],[ТТН]]&gt;0,Таблица1[[#This Row],[Ставка за ТТН]]*Таблица1[[#This Row],[ТТН]],0)</f>
        <v>0</v>
      </c>
    </row>
    <row r="1328" spans="1:21" x14ac:dyDescent="0.25">
      <c r="A1328" t="s">
        <v>84</v>
      </c>
      <c r="B1328" s="24">
        <v>8</v>
      </c>
      <c r="C1328" t="s">
        <v>139</v>
      </c>
      <c r="D1328" t="s">
        <v>35</v>
      </c>
      <c r="E1328" t="s">
        <v>215</v>
      </c>
      <c r="F1328" t="s">
        <v>36</v>
      </c>
      <c r="H1328" t="s">
        <v>23</v>
      </c>
      <c r="I1328" t="s">
        <v>217</v>
      </c>
      <c r="J1328">
        <v>11</v>
      </c>
      <c r="N1328">
        <f>Таблица1[[#This Row],[Часов на заказчика  в работе]]+Таблица1[[#This Row],[Часов на заказчика  дежурство]]</f>
        <v>0</v>
      </c>
      <c r="O13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8" s="9">
        <v>200000</v>
      </c>
      <c r="R1328" s="9"/>
      <c r="S1328" s="5">
        <v>1</v>
      </c>
      <c r="T13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табеле]])*S1328,0)</f>
        <v>6666.6666666666661</v>
      </c>
      <c r="U1328" s="5">
        <f>IF(Таблица1[[#This Row],[ТТН]]&gt;0,Таблица1[[#This Row],[Ставка за ТТН]]*Таблица1[[#This Row],[ТТН]],0)</f>
        <v>0</v>
      </c>
    </row>
    <row r="1329" spans="1:21" x14ac:dyDescent="0.25">
      <c r="A1329" t="s">
        <v>84</v>
      </c>
      <c r="B1329" s="24">
        <v>9</v>
      </c>
      <c r="C1329" t="s">
        <v>139</v>
      </c>
      <c r="D1329" t="s">
        <v>35</v>
      </c>
      <c r="E1329" t="s">
        <v>215</v>
      </c>
      <c r="F1329" t="s">
        <v>36</v>
      </c>
      <c r="H1329" t="s">
        <v>10</v>
      </c>
      <c r="I1329" t="s">
        <v>219</v>
      </c>
      <c r="J1329">
        <v>11</v>
      </c>
      <c r="L1329">
        <v>11</v>
      </c>
      <c r="N1329">
        <f>Таблица1[[#This Row],[Часов на заказчика  в работе]]+Таблица1[[#This Row],[Часов на заказчика  дежурство]]</f>
        <v>11</v>
      </c>
      <c r="O13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29" s="9">
        <v>200000</v>
      </c>
      <c r="R1329" s="9"/>
      <c r="S1329" s="5">
        <v>1</v>
      </c>
      <c r="T13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табеле]])*S1329,0)</f>
        <v>6666.6666666666661</v>
      </c>
      <c r="U1329" s="5">
        <f>IF(Таблица1[[#This Row],[ТТН]]&gt;0,Таблица1[[#This Row],[Ставка за ТТН]]*Таблица1[[#This Row],[ТТН]],0)</f>
        <v>0</v>
      </c>
    </row>
    <row r="1330" spans="1:21" x14ac:dyDescent="0.25">
      <c r="A1330" t="s">
        <v>84</v>
      </c>
      <c r="B1330" s="24">
        <v>10</v>
      </c>
      <c r="C1330" t="s">
        <v>139</v>
      </c>
      <c r="D1330" t="s">
        <v>35</v>
      </c>
      <c r="E1330" t="s">
        <v>215</v>
      </c>
      <c r="F1330" t="s">
        <v>36</v>
      </c>
      <c r="H1330" t="s">
        <v>10</v>
      </c>
      <c r="I1330" t="s">
        <v>219</v>
      </c>
      <c r="J1330">
        <v>11</v>
      </c>
      <c r="L1330">
        <v>11</v>
      </c>
      <c r="N1330">
        <f>Таблица1[[#This Row],[Часов на заказчика  в работе]]+Таблица1[[#This Row],[Часов на заказчика  дежурство]]</f>
        <v>11</v>
      </c>
      <c r="O13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0" s="9">
        <v>200000</v>
      </c>
      <c r="R1330" s="9"/>
      <c r="S1330" s="5">
        <v>1</v>
      </c>
      <c r="T13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табеле]])*S1330,0)</f>
        <v>6666.6666666666661</v>
      </c>
      <c r="U1330" s="5">
        <f>IF(Таблица1[[#This Row],[ТТН]]&gt;0,Таблица1[[#This Row],[Ставка за ТТН]]*Таблица1[[#This Row],[ТТН]],0)</f>
        <v>0</v>
      </c>
    </row>
    <row r="1331" spans="1:21" x14ac:dyDescent="0.25">
      <c r="A1331" t="s">
        <v>84</v>
      </c>
      <c r="B1331" s="24">
        <v>11</v>
      </c>
      <c r="C1331" t="s">
        <v>139</v>
      </c>
      <c r="D1331" t="s">
        <v>35</v>
      </c>
      <c r="E1331" t="s">
        <v>215</v>
      </c>
      <c r="F1331" t="s">
        <v>36</v>
      </c>
      <c r="H1331" t="s">
        <v>10</v>
      </c>
      <c r="I1331" t="s">
        <v>219</v>
      </c>
      <c r="J1331">
        <v>11</v>
      </c>
      <c r="L1331">
        <v>11</v>
      </c>
      <c r="N1331">
        <f>Таблица1[[#This Row],[Часов на заказчика  в работе]]+Таблица1[[#This Row],[Часов на заказчика  дежурство]]</f>
        <v>11</v>
      </c>
      <c r="O13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1" s="9">
        <v>200000</v>
      </c>
      <c r="R1331" s="9"/>
      <c r="S1331" s="5">
        <v>1</v>
      </c>
      <c r="T13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табеле]])*S1331,0)</f>
        <v>6666.6666666666661</v>
      </c>
      <c r="U1331" s="5">
        <f>IF(Таблица1[[#This Row],[ТТН]]&gt;0,Таблица1[[#This Row],[Ставка за ТТН]]*Таблица1[[#This Row],[ТТН]],0)</f>
        <v>0</v>
      </c>
    </row>
    <row r="1332" spans="1:21" x14ac:dyDescent="0.25">
      <c r="A1332" t="s">
        <v>84</v>
      </c>
      <c r="B1332" s="24">
        <v>12</v>
      </c>
      <c r="C1332" t="s">
        <v>139</v>
      </c>
      <c r="D1332" t="s">
        <v>35</v>
      </c>
      <c r="E1332" t="s">
        <v>215</v>
      </c>
      <c r="F1332" t="s">
        <v>36</v>
      </c>
      <c r="H1332" t="s">
        <v>10</v>
      </c>
      <c r="I1332" t="s">
        <v>219</v>
      </c>
      <c r="J1332">
        <v>11</v>
      </c>
      <c r="L1332">
        <v>11</v>
      </c>
      <c r="N1332">
        <f>Таблица1[[#This Row],[Часов на заказчика  в работе]]+Таблица1[[#This Row],[Часов на заказчика  дежурство]]</f>
        <v>11</v>
      </c>
      <c r="O13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2" s="9">
        <v>200000</v>
      </c>
      <c r="R1332" s="9"/>
      <c r="S1332" s="5">
        <v>1</v>
      </c>
      <c r="T13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табеле]])*S1332,0)</f>
        <v>6666.6666666666661</v>
      </c>
      <c r="U1332" s="5">
        <f>IF(Таблица1[[#This Row],[ТТН]]&gt;0,Таблица1[[#This Row],[Ставка за ТТН]]*Таблица1[[#This Row],[ТТН]],0)</f>
        <v>0</v>
      </c>
    </row>
    <row r="1333" spans="1:21" x14ac:dyDescent="0.25">
      <c r="A1333" t="s">
        <v>84</v>
      </c>
      <c r="B1333" s="24">
        <v>13</v>
      </c>
      <c r="C1333" t="s">
        <v>139</v>
      </c>
      <c r="D1333" t="s">
        <v>35</v>
      </c>
      <c r="E1333" t="s">
        <v>215</v>
      </c>
      <c r="F1333" t="s">
        <v>36</v>
      </c>
      <c r="H1333" t="s">
        <v>10</v>
      </c>
      <c r="I1333" t="s">
        <v>219</v>
      </c>
      <c r="J1333">
        <v>11</v>
      </c>
      <c r="L1333">
        <v>11</v>
      </c>
      <c r="N1333">
        <f>Таблица1[[#This Row],[Часов на заказчика  в работе]]+Таблица1[[#This Row],[Часов на заказчика  дежурство]]</f>
        <v>11</v>
      </c>
      <c r="O13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3" s="9">
        <v>200000</v>
      </c>
      <c r="R1333" s="9"/>
      <c r="S1333" s="5">
        <v>1</v>
      </c>
      <c r="T13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табеле]])*S1333,0)</f>
        <v>6666.6666666666661</v>
      </c>
      <c r="U1333" s="5">
        <f>IF(Таблица1[[#This Row],[ТТН]]&gt;0,Таблица1[[#This Row],[Ставка за ТТН]]*Таблица1[[#This Row],[ТТН]],0)</f>
        <v>0</v>
      </c>
    </row>
    <row r="1334" spans="1:21" x14ac:dyDescent="0.25">
      <c r="A1334" t="s">
        <v>84</v>
      </c>
      <c r="B1334" s="24">
        <v>14</v>
      </c>
      <c r="C1334" t="s">
        <v>139</v>
      </c>
      <c r="D1334" t="s">
        <v>35</v>
      </c>
      <c r="E1334" t="s">
        <v>215</v>
      </c>
      <c r="F1334" t="s">
        <v>36</v>
      </c>
      <c r="H1334" t="s">
        <v>10</v>
      </c>
      <c r="I1334" t="s">
        <v>219</v>
      </c>
      <c r="J1334">
        <v>11</v>
      </c>
      <c r="L1334">
        <v>11</v>
      </c>
      <c r="N1334">
        <f>Таблица1[[#This Row],[Часов на заказчика  в работе]]+Таблица1[[#This Row],[Часов на заказчика  дежурство]]</f>
        <v>11</v>
      </c>
      <c r="O13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4" s="9">
        <v>200000</v>
      </c>
      <c r="R1334" s="9"/>
      <c r="S1334" s="5">
        <v>1</v>
      </c>
      <c r="T13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табеле]])*S1334,0)</f>
        <v>6666.6666666666661</v>
      </c>
      <c r="U1334" s="5">
        <f>IF(Таблица1[[#This Row],[ТТН]]&gt;0,Таблица1[[#This Row],[Ставка за ТТН]]*Таблица1[[#This Row],[ТТН]],0)</f>
        <v>0</v>
      </c>
    </row>
    <row r="1335" spans="1:21" x14ac:dyDescent="0.25">
      <c r="A1335" t="s">
        <v>84</v>
      </c>
      <c r="B1335" s="24">
        <v>15</v>
      </c>
      <c r="C1335" t="s">
        <v>139</v>
      </c>
      <c r="D1335" t="s">
        <v>35</v>
      </c>
      <c r="E1335" t="s">
        <v>215</v>
      </c>
      <c r="F1335" t="s">
        <v>36</v>
      </c>
      <c r="H1335" t="s">
        <v>10</v>
      </c>
      <c r="I1335" t="s">
        <v>219</v>
      </c>
      <c r="J1335">
        <v>11</v>
      </c>
      <c r="L1335">
        <v>11</v>
      </c>
      <c r="N1335">
        <f>Таблица1[[#This Row],[Часов на заказчика  в работе]]+Таблица1[[#This Row],[Часов на заказчика  дежурство]]</f>
        <v>11</v>
      </c>
      <c r="O13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5" s="9">
        <v>200000</v>
      </c>
      <c r="R1335" s="9"/>
      <c r="S1335" s="5">
        <v>1</v>
      </c>
      <c r="T13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табеле]])*S1335,0)</f>
        <v>6666.6666666666661</v>
      </c>
      <c r="U1335" s="5">
        <f>IF(Таблица1[[#This Row],[ТТН]]&gt;0,Таблица1[[#This Row],[Ставка за ТТН]]*Таблица1[[#This Row],[ТТН]],0)</f>
        <v>0</v>
      </c>
    </row>
    <row r="1336" spans="1:21" x14ac:dyDescent="0.25">
      <c r="A1336" t="s">
        <v>84</v>
      </c>
      <c r="B1336" s="24">
        <v>16</v>
      </c>
      <c r="C1336" t="s">
        <v>139</v>
      </c>
      <c r="D1336" t="s">
        <v>35</v>
      </c>
      <c r="E1336" t="s">
        <v>215</v>
      </c>
      <c r="F1336" t="s">
        <v>36</v>
      </c>
      <c r="H1336" t="s">
        <v>10</v>
      </c>
      <c r="I1336" t="s">
        <v>219</v>
      </c>
      <c r="J1336">
        <v>11</v>
      </c>
      <c r="L1336">
        <v>11</v>
      </c>
      <c r="N1336">
        <f>Таблица1[[#This Row],[Часов на заказчика  в работе]]+Таблица1[[#This Row],[Часов на заказчика  дежурство]]</f>
        <v>11</v>
      </c>
      <c r="O13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6" s="9">
        <v>200000</v>
      </c>
      <c r="R1336" s="9"/>
      <c r="S1336" s="5">
        <v>1</v>
      </c>
      <c r="T13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табеле]])*S1336,0)</f>
        <v>6666.6666666666661</v>
      </c>
      <c r="U1336" s="5">
        <f>IF(Таблица1[[#This Row],[ТТН]]&gt;0,Таблица1[[#This Row],[Ставка за ТТН]]*Таблица1[[#This Row],[ТТН]],0)</f>
        <v>0</v>
      </c>
    </row>
    <row r="1337" spans="1:21" x14ac:dyDescent="0.25">
      <c r="A1337" t="s">
        <v>84</v>
      </c>
      <c r="B1337" s="24">
        <v>17</v>
      </c>
      <c r="C1337" t="s">
        <v>139</v>
      </c>
      <c r="D1337" t="s">
        <v>35</v>
      </c>
      <c r="E1337" t="s">
        <v>215</v>
      </c>
      <c r="F1337" t="s">
        <v>36</v>
      </c>
      <c r="H1337" t="s">
        <v>10</v>
      </c>
      <c r="I1337" t="s">
        <v>219</v>
      </c>
      <c r="J1337">
        <v>11</v>
      </c>
      <c r="L1337">
        <v>11</v>
      </c>
      <c r="N1337">
        <f>Таблица1[[#This Row],[Часов на заказчика  в работе]]+Таблица1[[#This Row],[Часов на заказчика  дежурство]]</f>
        <v>11</v>
      </c>
      <c r="O13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7" s="9">
        <v>200000</v>
      </c>
      <c r="R1337" s="9"/>
      <c r="S1337" s="5">
        <v>1</v>
      </c>
      <c r="T13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табеле]])*S1337,0)</f>
        <v>6666.6666666666661</v>
      </c>
      <c r="U1337" s="5">
        <f>IF(Таблица1[[#This Row],[ТТН]]&gt;0,Таблица1[[#This Row],[Ставка за ТТН]]*Таблица1[[#This Row],[ТТН]],0)</f>
        <v>0</v>
      </c>
    </row>
    <row r="1338" spans="1:21" x14ac:dyDescent="0.25">
      <c r="A1338" t="s">
        <v>84</v>
      </c>
      <c r="B1338" s="24">
        <v>18</v>
      </c>
      <c r="C1338" t="s">
        <v>139</v>
      </c>
      <c r="D1338" t="s">
        <v>35</v>
      </c>
      <c r="E1338" t="s">
        <v>215</v>
      </c>
      <c r="F1338" t="s">
        <v>36</v>
      </c>
      <c r="H1338" t="s">
        <v>10</v>
      </c>
      <c r="I1338" t="s">
        <v>219</v>
      </c>
      <c r="J1338">
        <v>11</v>
      </c>
      <c r="L1338">
        <v>11</v>
      </c>
      <c r="N1338">
        <f>Таблица1[[#This Row],[Часов на заказчика  в работе]]+Таблица1[[#This Row],[Часов на заказчика  дежурство]]</f>
        <v>11</v>
      </c>
      <c r="O13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8" s="9">
        <v>200000</v>
      </c>
      <c r="R1338" s="9"/>
      <c r="S1338" s="5">
        <v>1</v>
      </c>
      <c r="T13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табеле]])*S1338,0)</f>
        <v>6666.6666666666661</v>
      </c>
      <c r="U1338" s="5">
        <f>IF(Таблица1[[#This Row],[ТТН]]&gt;0,Таблица1[[#This Row],[Ставка за ТТН]]*Таблица1[[#This Row],[ТТН]],0)</f>
        <v>0</v>
      </c>
    </row>
    <row r="1339" spans="1:21" x14ac:dyDescent="0.25">
      <c r="A1339" t="s">
        <v>84</v>
      </c>
      <c r="B1339" s="24">
        <v>19</v>
      </c>
      <c r="C1339" t="s">
        <v>139</v>
      </c>
      <c r="D1339" t="s">
        <v>35</v>
      </c>
      <c r="E1339" t="s">
        <v>215</v>
      </c>
      <c r="F1339" t="s">
        <v>36</v>
      </c>
      <c r="H1339" t="s">
        <v>10</v>
      </c>
      <c r="I1339" t="s">
        <v>219</v>
      </c>
      <c r="J1339">
        <v>11</v>
      </c>
      <c r="L1339">
        <v>11</v>
      </c>
      <c r="N1339">
        <f>Таблица1[[#This Row],[Часов на заказчика  в работе]]+Таблица1[[#This Row],[Часов на заказчика  дежурство]]</f>
        <v>11</v>
      </c>
      <c r="O13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39" s="9">
        <v>200000</v>
      </c>
      <c r="R1339" s="9"/>
      <c r="S1339" s="5">
        <v>1</v>
      </c>
      <c r="T13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табеле]])*S1339,0)</f>
        <v>6666.6666666666661</v>
      </c>
      <c r="U1339" s="5">
        <f>IF(Таблица1[[#This Row],[ТТН]]&gt;0,Таблица1[[#This Row],[Ставка за ТТН]]*Таблица1[[#This Row],[ТТН]],0)</f>
        <v>0</v>
      </c>
    </row>
    <row r="1340" spans="1:21" x14ac:dyDescent="0.25">
      <c r="A1340" t="s">
        <v>84</v>
      </c>
      <c r="B1340" s="24">
        <v>20</v>
      </c>
      <c r="C1340" t="s">
        <v>139</v>
      </c>
      <c r="D1340" t="s">
        <v>35</v>
      </c>
      <c r="E1340" t="s">
        <v>215</v>
      </c>
      <c r="F1340" t="s">
        <v>36</v>
      </c>
      <c r="H1340" t="s">
        <v>10</v>
      </c>
      <c r="I1340" t="s">
        <v>219</v>
      </c>
      <c r="J1340">
        <v>11</v>
      </c>
      <c r="L1340">
        <v>11</v>
      </c>
      <c r="N1340">
        <f>Таблица1[[#This Row],[Часов на заказчика  в работе]]+Таблица1[[#This Row],[Часов на заказчика  дежурство]]</f>
        <v>11</v>
      </c>
      <c r="O13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0" s="9">
        <v>200000</v>
      </c>
      <c r="R1340" s="9"/>
      <c r="S1340" s="5">
        <v>1</v>
      </c>
      <c r="T13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табеле]])*S1340,0)</f>
        <v>6666.6666666666661</v>
      </c>
      <c r="U1340" s="5">
        <f>IF(Таблица1[[#This Row],[ТТН]]&gt;0,Таблица1[[#This Row],[Ставка за ТТН]]*Таблица1[[#This Row],[ТТН]],0)</f>
        <v>0</v>
      </c>
    </row>
    <row r="1341" spans="1:21" x14ac:dyDescent="0.25">
      <c r="A1341" t="s">
        <v>84</v>
      </c>
      <c r="B1341" s="24">
        <v>21</v>
      </c>
      <c r="C1341" t="s">
        <v>139</v>
      </c>
      <c r="D1341" t="s">
        <v>35</v>
      </c>
      <c r="E1341" t="s">
        <v>215</v>
      </c>
      <c r="F1341" t="s">
        <v>36</v>
      </c>
      <c r="H1341" t="s">
        <v>10</v>
      </c>
      <c r="I1341" t="s">
        <v>219</v>
      </c>
      <c r="J1341">
        <v>11</v>
      </c>
      <c r="L1341">
        <v>11</v>
      </c>
      <c r="N1341">
        <f>Таблица1[[#This Row],[Часов на заказчика  в работе]]+Таблица1[[#This Row],[Часов на заказчика  дежурство]]</f>
        <v>11</v>
      </c>
      <c r="O13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1" s="9">
        <v>200000</v>
      </c>
      <c r="R1341" s="9"/>
      <c r="S1341" s="5">
        <v>1</v>
      </c>
      <c r="T13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табеле]])*S1341,0)</f>
        <v>6666.6666666666661</v>
      </c>
      <c r="U1341" s="5">
        <f>IF(Таблица1[[#This Row],[ТТН]]&gt;0,Таблица1[[#This Row],[Ставка за ТТН]]*Таблица1[[#This Row],[ТТН]],0)</f>
        <v>0</v>
      </c>
    </row>
    <row r="1342" spans="1:21" x14ac:dyDescent="0.25">
      <c r="A1342" t="s">
        <v>84</v>
      </c>
      <c r="B1342" s="24">
        <v>22</v>
      </c>
      <c r="C1342" t="s">
        <v>139</v>
      </c>
      <c r="D1342" t="s">
        <v>35</v>
      </c>
      <c r="E1342" t="s">
        <v>215</v>
      </c>
      <c r="F1342" t="s">
        <v>36</v>
      </c>
      <c r="H1342" t="s">
        <v>10</v>
      </c>
      <c r="I1342" t="s">
        <v>219</v>
      </c>
      <c r="J1342">
        <v>11</v>
      </c>
      <c r="L1342">
        <v>11</v>
      </c>
      <c r="N1342">
        <f>Таблица1[[#This Row],[Часов на заказчика  в работе]]+Таблица1[[#This Row],[Часов на заказчика  дежурство]]</f>
        <v>11</v>
      </c>
      <c r="O13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2" s="9">
        <v>200000</v>
      </c>
      <c r="R1342" s="9"/>
      <c r="S1342" s="5">
        <v>1</v>
      </c>
      <c r="T13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табеле]])*S1342,0)</f>
        <v>6666.6666666666661</v>
      </c>
      <c r="U1342" s="5">
        <f>IF(Таблица1[[#This Row],[ТТН]]&gt;0,Таблица1[[#This Row],[Ставка за ТТН]]*Таблица1[[#This Row],[ТТН]],0)</f>
        <v>0</v>
      </c>
    </row>
    <row r="1343" spans="1:21" x14ac:dyDescent="0.25">
      <c r="A1343" t="s">
        <v>84</v>
      </c>
      <c r="B1343" s="24">
        <v>23</v>
      </c>
      <c r="C1343" t="s">
        <v>139</v>
      </c>
      <c r="D1343" t="s">
        <v>35</v>
      </c>
      <c r="E1343" t="s">
        <v>215</v>
      </c>
      <c r="F1343" t="s">
        <v>36</v>
      </c>
      <c r="H1343" t="s">
        <v>10</v>
      </c>
      <c r="I1343" t="s">
        <v>219</v>
      </c>
      <c r="J1343">
        <v>11</v>
      </c>
      <c r="L1343">
        <v>11</v>
      </c>
      <c r="N1343">
        <f>Таблица1[[#This Row],[Часов на заказчика  в работе]]+Таблица1[[#This Row],[Часов на заказчика  дежурство]]</f>
        <v>11</v>
      </c>
      <c r="O13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3" s="9">
        <v>200000</v>
      </c>
      <c r="R1343" s="9"/>
      <c r="S1343" s="5">
        <v>1</v>
      </c>
      <c r="T13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табеле]])*S1343,0)</f>
        <v>6666.6666666666661</v>
      </c>
      <c r="U1343" s="5">
        <f>IF(Таблица1[[#This Row],[ТТН]]&gt;0,Таблица1[[#This Row],[Ставка за ТТН]]*Таблица1[[#This Row],[ТТН]],0)</f>
        <v>0</v>
      </c>
    </row>
    <row r="1344" spans="1:21" x14ac:dyDescent="0.25">
      <c r="A1344" t="s">
        <v>84</v>
      </c>
      <c r="B1344" s="24">
        <v>24</v>
      </c>
      <c r="C1344" t="s">
        <v>139</v>
      </c>
      <c r="D1344" t="s">
        <v>35</v>
      </c>
      <c r="E1344" t="s">
        <v>215</v>
      </c>
      <c r="F1344" t="s">
        <v>36</v>
      </c>
      <c r="H1344" t="s">
        <v>10</v>
      </c>
      <c r="I1344" t="s">
        <v>219</v>
      </c>
      <c r="J1344">
        <v>11</v>
      </c>
      <c r="L1344">
        <v>11</v>
      </c>
      <c r="N1344">
        <f>Таблица1[[#This Row],[Часов на заказчика  в работе]]+Таблица1[[#This Row],[Часов на заказчика  дежурство]]</f>
        <v>11</v>
      </c>
      <c r="O13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4" s="9">
        <v>200000</v>
      </c>
      <c r="R1344" s="9"/>
      <c r="S1344" s="5">
        <v>1</v>
      </c>
      <c r="T13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табеле]])*S1344,0)</f>
        <v>6666.6666666666661</v>
      </c>
      <c r="U1344" s="5">
        <f>IF(Таблица1[[#This Row],[ТТН]]&gt;0,Таблица1[[#This Row],[Ставка за ТТН]]*Таблица1[[#This Row],[ТТН]],0)</f>
        <v>0</v>
      </c>
    </row>
    <row r="1345" spans="1:21" x14ac:dyDescent="0.25">
      <c r="A1345" t="s">
        <v>84</v>
      </c>
      <c r="B1345" s="24">
        <v>25</v>
      </c>
      <c r="C1345" t="s">
        <v>139</v>
      </c>
      <c r="D1345" t="s">
        <v>35</v>
      </c>
      <c r="E1345" t="s">
        <v>215</v>
      </c>
      <c r="F1345" t="s">
        <v>36</v>
      </c>
      <c r="H1345" t="s">
        <v>10</v>
      </c>
      <c r="I1345" t="s">
        <v>219</v>
      </c>
      <c r="J1345">
        <v>11</v>
      </c>
      <c r="L1345">
        <v>11</v>
      </c>
      <c r="N1345">
        <f>Таблица1[[#This Row],[Часов на заказчика  в работе]]+Таблица1[[#This Row],[Часов на заказчика  дежурство]]</f>
        <v>11</v>
      </c>
      <c r="O13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5" s="9">
        <v>200000</v>
      </c>
      <c r="R1345" s="9"/>
      <c r="S1345" s="5">
        <v>1</v>
      </c>
      <c r="T13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табеле]])*S1345,0)</f>
        <v>6666.6666666666661</v>
      </c>
      <c r="U1345" s="5">
        <f>IF(Таблица1[[#This Row],[ТТН]]&gt;0,Таблица1[[#This Row],[Ставка за ТТН]]*Таблица1[[#This Row],[ТТН]],0)</f>
        <v>0</v>
      </c>
    </row>
    <row r="1346" spans="1:21" x14ac:dyDescent="0.25">
      <c r="A1346" t="s">
        <v>84</v>
      </c>
      <c r="B1346" s="24">
        <v>26</v>
      </c>
      <c r="C1346" t="s">
        <v>139</v>
      </c>
      <c r="D1346" t="s">
        <v>35</v>
      </c>
      <c r="E1346" t="s">
        <v>215</v>
      </c>
      <c r="F1346" t="s">
        <v>36</v>
      </c>
      <c r="H1346" t="s">
        <v>10</v>
      </c>
      <c r="I1346" t="s">
        <v>219</v>
      </c>
      <c r="J1346">
        <v>11</v>
      </c>
      <c r="L1346">
        <v>11</v>
      </c>
      <c r="N1346">
        <f>Таблица1[[#This Row],[Часов на заказчика  в работе]]+Таблица1[[#This Row],[Часов на заказчика  дежурство]]</f>
        <v>11</v>
      </c>
      <c r="O13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6" s="9">
        <v>200000</v>
      </c>
      <c r="R1346" s="9"/>
      <c r="S1346" s="5">
        <v>1</v>
      </c>
      <c r="T13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табеле]])*S1346,0)</f>
        <v>6666.6666666666661</v>
      </c>
      <c r="U1346" s="5">
        <f>IF(Таблица1[[#This Row],[ТТН]]&gt;0,Таблица1[[#This Row],[Ставка за ТТН]]*Таблица1[[#This Row],[ТТН]],0)</f>
        <v>0</v>
      </c>
    </row>
    <row r="1347" spans="1:21" x14ac:dyDescent="0.25">
      <c r="A1347" t="s">
        <v>84</v>
      </c>
      <c r="B1347" s="24">
        <v>27</v>
      </c>
      <c r="C1347" t="s">
        <v>139</v>
      </c>
      <c r="D1347" t="s">
        <v>35</v>
      </c>
      <c r="E1347" t="s">
        <v>215</v>
      </c>
      <c r="F1347" t="s">
        <v>36</v>
      </c>
      <c r="H1347" t="s">
        <v>24</v>
      </c>
      <c r="I1347" t="s">
        <v>217</v>
      </c>
      <c r="J1347">
        <v>8</v>
      </c>
      <c r="N1347">
        <f>Таблица1[[#This Row],[Часов на заказчика  в работе]]+Таблица1[[#This Row],[Часов на заказчика  дежурство]]</f>
        <v>0</v>
      </c>
      <c r="O13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7" s="9">
        <v>200000</v>
      </c>
      <c r="R1347" s="9"/>
      <c r="S1347" s="5">
        <v>1</v>
      </c>
      <c r="T13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табеле]])*S1347,0)</f>
        <v>0</v>
      </c>
      <c r="U1347" s="5">
        <f>IF(Таблица1[[#This Row],[ТТН]]&gt;0,Таблица1[[#This Row],[Ставка за ТТН]]*Таблица1[[#This Row],[ТТН]],0)</f>
        <v>0</v>
      </c>
    </row>
    <row r="1348" spans="1:21" x14ac:dyDescent="0.25">
      <c r="A1348" t="s">
        <v>84</v>
      </c>
      <c r="B1348" s="24">
        <v>28</v>
      </c>
      <c r="C1348" t="s">
        <v>139</v>
      </c>
      <c r="D1348" t="s">
        <v>35</v>
      </c>
      <c r="E1348" t="s">
        <v>215</v>
      </c>
      <c r="F1348" t="s">
        <v>36</v>
      </c>
      <c r="H1348" t="s">
        <v>24</v>
      </c>
      <c r="I1348" t="s">
        <v>217</v>
      </c>
      <c r="J1348">
        <v>8</v>
      </c>
      <c r="N1348">
        <f>Таблица1[[#This Row],[Часов на заказчика  в работе]]+Таблица1[[#This Row],[Часов на заказчика  дежурство]]</f>
        <v>0</v>
      </c>
      <c r="O13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8" s="9">
        <v>200000</v>
      </c>
      <c r="R1348" s="9"/>
      <c r="S1348" s="5">
        <v>1</v>
      </c>
      <c r="T13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табеле]])*S1348,0)</f>
        <v>0</v>
      </c>
      <c r="U1348" s="5">
        <f>IF(Таблица1[[#This Row],[ТТН]]&gt;0,Таблица1[[#This Row],[Ставка за ТТН]]*Таблица1[[#This Row],[ТТН]],0)</f>
        <v>0</v>
      </c>
    </row>
    <row r="1349" spans="1:21" x14ac:dyDescent="0.25">
      <c r="A1349" t="s">
        <v>84</v>
      </c>
      <c r="B1349" s="24">
        <v>29</v>
      </c>
      <c r="C1349" t="s">
        <v>139</v>
      </c>
      <c r="D1349" t="s">
        <v>35</v>
      </c>
      <c r="E1349" t="s">
        <v>215</v>
      </c>
      <c r="F1349" t="s">
        <v>36</v>
      </c>
      <c r="H1349" t="s">
        <v>24</v>
      </c>
      <c r="I1349" t="s">
        <v>217</v>
      </c>
      <c r="J1349">
        <v>8</v>
      </c>
      <c r="N1349">
        <f>Таблица1[[#This Row],[Часов на заказчика  в работе]]+Таблица1[[#This Row],[Часов на заказчика  дежурство]]</f>
        <v>0</v>
      </c>
      <c r="O13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49" s="9">
        <v>200000</v>
      </c>
      <c r="R1349" s="9"/>
      <c r="S1349" s="5">
        <v>1</v>
      </c>
      <c r="T13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табеле]])*S1349,0)</f>
        <v>0</v>
      </c>
      <c r="U1349" s="5">
        <f>IF(Таблица1[[#This Row],[ТТН]]&gt;0,Таблица1[[#This Row],[Ставка за ТТН]]*Таблица1[[#This Row],[ТТН]],0)</f>
        <v>0</v>
      </c>
    </row>
    <row r="1350" spans="1:21" x14ac:dyDescent="0.25">
      <c r="A1350" t="s">
        <v>84</v>
      </c>
      <c r="B1350" s="24">
        <v>30</v>
      </c>
      <c r="C1350" t="s">
        <v>140</v>
      </c>
      <c r="D1350" t="s">
        <v>35</v>
      </c>
      <c r="E1350" t="s">
        <v>215</v>
      </c>
      <c r="F1350" t="s">
        <v>36</v>
      </c>
      <c r="H1350" t="s">
        <v>24</v>
      </c>
      <c r="I1350" t="s">
        <v>217</v>
      </c>
      <c r="J1350">
        <v>8</v>
      </c>
      <c r="N1350">
        <f>Таблица1[[#This Row],[Часов на заказчика  в работе]]+Таблица1[[#This Row],[Часов на заказчика  дежурство]]</f>
        <v>0</v>
      </c>
      <c r="O13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0" s="9">
        <v>200000</v>
      </c>
      <c r="R1350" s="9"/>
      <c r="S1350" s="5">
        <v>1</v>
      </c>
      <c r="T13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табеле]])*S1350,0)</f>
        <v>0</v>
      </c>
      <c r="U1350" s="5">
        <f>IF(Таблица1[[#This Row],[ТТН]]&gt;0,Таблица1[[#This Row],[Ставка за ТТН]]*Таблица1[[#This Row],[ТТН]],0)</f>
        <v>0</v>
      </c>
    </row>
    <row r="1351" spans="1:21" x14ac:dyDescent="0.25">
      <c r="A1351" t="s">
        <v>84</v>
      </c>
      <c r="B1351" s="24">
        <v>1</v>
      </c>
      <c r="C1351" t="s">
        <v>140</v>
      </c>
      <c r="D1351" t="s">
        <v>28</v>
      </c>
      <c r="E1351" t="s">
        <v>215</v>
      </c>
      <c r="F1351" t="s">
        <v>28</v>
      </c>
      <c r="H1351" t="s">
        <v>10</v>
      </c>
      <c r="I1351" t="s">
        <v>219</v>
      </c>
      <c r="J1351">
        <v>16</v>
      </c>
      <c r="N1351">
        <f>Таблица1[[#This Row],[Часов на заказчика  в работе]]+Таблица1[[#This Row],[Часов на заказчика  дежурство]]</f>
        <v>0</v>
      </c>
      <c r="O13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1" s="9">
        <v>110000</v>
      </c>
      <c r="R1351" s="9"/>
      <c r="S1351" s="5">
        <v>1</v>
      </c>
      <c r="T13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табеле]])*S1351,0)</f>
        <v>5333.333333333333</v>
      </c>
      <c r="U1351" s="5">
        <f>IF(Таблица1[[#This Row],[ТТН]]&gt;0,Таблица1[[#This Row],[Ставка за ТТН]]*Таблица1[[#This Row],[ТТН]],0)</f>
        <v>0</v>
      </c>
    </row>
    <row r="1352" spans="1:21" x14ac:dyDescent="0.25">
      <c r="A1352" t="s">
        <v>84</v>
      </c>
      <c r="B1352" s="24">
        <v>2</v>
      </c>
      <c r="C1352" t="s">
        <v>140</v>
      </c>
      <c r="D1352" t="s">
        <v>28</v>
      </c>
      <c r="E1352" t="s">
        <v>215</v>
      </c>
      <c r="F1352" t="s">
        <v>28</v>
      </c>
      <c r="H1352" t="s">
        <v>10</v>
      </c>
      <c r="I1352" t="s">
        <v>219</v>
      </c>
      <c r="J1352">
        <v>16</v>
      </c>
      <c r="N1352">
        <f>Таблица1[[#This Row],[Часов на заказчика  в работе]]+Таблица1[[#This Row],[Часов на заказчика  дежурство]]</f>
        <v>0</v>
      </c>
      <c r="O13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2" s="9">
        <v>110000</v>
      </c>
      <c r="R1352" s="9"/>
      <c r="S1352" s="5">
        <v>1</v>
      </c>
      <c r="T13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табеле]])*S1352,0)</f>
        <v>5333.333333333333</v>
      </c>
      <c r="U1352" s="5">
        <f>IF(Таблица1[[#This Row],[ТТН]]&gt;0,Таблица1[[#This Row],[Ставка за ТТН]]*Таблица1[[#This Row],[ТТН]],0)</f>
        <v>0</v>
      </c>
    </row>
    <row r="1353" spans="1:21" x14ac:dyDescent="0.25">
      <c r="A1353" t="s">
        <v>84</v>
      </c>
      <c r="B1353" s="24">
        <v>3</v>
      </c>
      <c r="C1353" t="s">
        <v>140</v>
      </c>
      <c r="D1353" t="s">
        <v>28</v>
      </c>
      <c r="E1353" t="s">
        <v>215</v>
      </c>
      <c r="F1353" t="s">
        <v>28</v>
      </c>
      <c r="H1353" t="s">
        <v>10</v>
      </c>
      <c r="I1353" t="s">
        <v>219</v>
      </c>
      <c r="J1353">
        <v>16</v>
      </c>
      <c r="N1353">
        <f>Таблица1[[#This Row],[Часов на заказчика  в работе]]+Таблица1[[#This Row],[Часов на заказчика  дежурство]]</f>
        <v>0</v>
      </c>
      <c r="O13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3" s="9">
        <v>110000</v>
      </c>
      <c r="R1353" s="9"/>
      <c r="S1353" s="5">
        <v>1</v>
      </c>
      <c r="T13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табеле]])*S1353,0)</f>
        <v>5333.333333333333</v>
      </c>
      <c r="U1353" s="5">
        <f>IF(Таблица1[[#This Row],[ТТН]]&gt;0,Таблица1[[#This Row],[Ставка за ТТН]]*Таблица1[[#This Row],[ТТН]],0)</f>
        <v>0</v>
      </c>
    </row>
    <row r="1354" spans="1:21" x14ac:dyDescent="0.25">
      <c r="A1354" t="s">
        <v>84</v>
      </c>
      <c r="B1354" s="24">
        <v>4</v>
      </c>
      <c r="C1354" t="s">
        <v>140</v>
      </c>
      <c r="D1354" t="s">
        <v>28</v>
      </c>
      <c r="E1354" t="s">
        <v>215</v>
      </c>
      <c r="F1354" t="s">
        <v>28</v>
      </c>
      <c r="H1354" t="s">
        <v>10</v>
      </c>
      <c r="I1354" t="s">
        <v>219</v>
      </c>
      <c r="J1354">
        <v>16</v>
      </c>
      <c r="N1354">
        <f>Таблица1[[#This Row],[Часов на заказчика  в работе]]+Таблица1[[#This Row],[Часов на заказчика  дежурство]]</f>
        <v>0</v>
      </c>
      <c r="O13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4" s="9">
        <v>110000</v>
      </c>
      <c r="R1354" s="9"/>
      <c r="S1354" s="5">
        <v>1</v>
      </c>
      <c r="T13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табеле]])*S1354,0)</f>
        <v>5333.333333333333</v>
      </c>
      <c r="U1354" s="5">
        <f>IF(Таблица1[[#This Row],[ТТН]]&gt;0,Таблица1[[#This Row],[Ставка за ТТН]]*Таблица1[[#This Row],[ТТН]],0)</f>
        <v>0</v>
      </c>
    </row>
    <row r="1355" spans="1:21" x14ac:dyDescent="0.25">
      <c r="A1355" t="s">
        <v>84</v>
      </c>
      <c r="B1355" s="24">
        <v>5</v>
      </c>
      <c r="C1355" t="s">
        <v>140</v>
      </c>
      <c r="D1355" t="s">
        <v>28</v>
      </c>
      <c r="E1355" t="s">
        <v>215</v>
      </c>
      <c r="F1355" t="s">
        <v>28</v>
      </c>
      <c r="H1355" t="s">
        <v>10</v>
      </c>
      <c r="I1355" t="s">
        <v>219</v>
      </c>
      <c r="J1355">
        <v>16</v>
      </c>
      <c r="N1355">
        <f>Таблица1[[#This Row],[Часов на заказчика  в работе]]+Таблица1[[#This Row],[Часов на заказчика  дежурство]]</f>
        <v>0</v>
      </c>
      <c r="O13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5" s="9">
        <v>110000</v>
      </c>
      <c r="R1355" s="9"/>
      <c r="S1355" s="5">
        <v>1</v>
      </c>
      <c r="T13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табеле]])*S1355,0)</f>
        <v>5333.333333333333</v>
      </c>
      <c r="U1355" s="5">
        <f>IF(Таблица1[[#This Row],[ТТН]]&gt;0,Таблица1[[#This Row],[Ставка за ТТН]]*Таблица1[[#This Row],[ТТН]],0)</f>
        <v>0</v>
      </c>
    </row>
    <row r="1356" spans="1:21" x14ac:dyDescent="0.25">
      <c r="A1356" t="s">
        <v>84</v>
      </c>
      <c r="B1356" s="24">
        <v>6</v>
      </c>
      <c r="C1356" t="s">
        <v>140</v>
      </c>
      <c r="D1356" t="s">
        <v>28</v>
      </c>
      <c r="E1356" t="s">
        <v>215</v>
      </c>
      <c r="F1356" t="s">
        <v>28</v>
      </c>
      <c r="H1356" t="s">
        <v>10</v>
      </c>
      <c r="I1356" t="s">
        <v>219</v>
      </c>
      <c r="J1356">
        <v>16</v>
      </c>
      <c r="N1356">
        <f>Таблица1[[#This Row],[Часов на заказчика  в работе]]+Таблица1[[#This Row],[Часов на заказчика  дежурство]]</f>
        <v>0</v>
      </c>
      <c r="O13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6" s="9">
        <v>110000</v>
      </c>
      <c r="R1356" s="9"/>
      <c r="S1356" s="5">
        <v>1</v>
      </c>
      <c r="T13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табеле]])*S1356,0)</f>
        <v>5333.333333333333</v>
      </c>
      <c r="U1356" s="5">
        <f>IF(Таблица1[[#This Row],[ТТН]]&gt;0,Таблица1[[#This Row],[Ставка за ТТН]]*Таблица1[[#This Row],[ТТН]],0)</f>
        <v>0</v>
      </c>
    </row>
    <row r="1357" spans="1:21" x14ac:dyDescent="0.25">
      <c r="A1357" t="s">
        <v>84</v>
      </c>
      <c r="B1357" s="24">
        <v>7</v>
      </c>
      <c r="C1357" t="s">
        <v>140</v>
      </c>
      <c r="D1357" t="s">
        <v>28</v>
      </c>
      <c r="E1357" t="s">
        <v>215</v>
      </c>
      <c r="F1357" t="s">
        <v>28</v>
      </c>
      <c r="H1357" t="s">
        <v>10</v>
      </c>
      <c r="I1357" t="s">
        <v>219</v>
      </c>
      <c r="J1357">
        <v>16</v>
      </c>
      <c r="N1357">
        <f>Таблица1[[#This Row],[Часов на заказчика  в работе]]+Таблица1[[#This Row],[Часов на заказчика  дежурство]]</f>
        <v>0</v>
      </c>
      <c r="O13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7" s="9">
        <v>110000</v>
      </c>
      <c r="R1357" s="9"/>
      <c r="S1357" s="5">
        <v>1</v>
      </c>
      <c r="T13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табеле]])*S1357,0)</f>
        <v>5333.333333333333</v>
      </c>
      <c r="U1357" s="5">
        <f>IF(Таблица1[[#This Row],[ТТН]]&gt;0,Таблица1[[#This Row],[Ставка за ТТН]]*Таблица1[[#This Row],[ТТН]],0)</f>
        <v>0</v>
      </c>
    </row>
    <row r="1358" spans="1:21" x14ac:dyDescent="0.25">
      <c r="A1358" t="s">
        <v>84</v>
      </c>
      <c r="B1358" s="24">
        <v>8</v>
      </c>
      <c r="C1358" t="s">
        <v>140</v>
      </c>
      <c r="D1358" t="s">
        <v>28</v>
      </c>
      <c r="E1358" t="s">
        <v>215</v>
      </c>
      <c r="F1358" t="s">
        <v>28</v>
      </c>
      <c r="H1358" t="s">
        <v>10</v>
      </c>
      <c r="I1358" t="s">
        <v>219</v>
      </c>
      <c r="J1358">
        <v>16</v>
      </c>
      <c r="N1358">
        <f>Таблица1[[#This Row],[Часов на заказчика  в работе]]+Таблица1[[#This Row],[Часов на заказчика  дежурство]]</f>
        <v>0</v>
      </c>
      <c r="O13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8" s="9">
        <v>110000</v>
      </c>
      <c r="R1358" s="9"/>
      <c r="S1358" s="5">
        <v>1</v>
      </c>
      <c r="T13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табеле]])*S1358,0)</f>
        <v>5333.333333333333</v>
      </c>
      <c r="U1358" s="5">
        <f>IF(Таблица1[[#This Row],[ТТН]]&gt;0,Таблица1[[#This Row],[Ставка за ТТН]]*Таблица1[[#This Row],[ТТН]],0)</f>
        <v>0</v>
      </c>
    </row>
    <row r="1359" spans="1:21" x14ac:dyDescent="0.25">
      <c r="A1359" t="s">
        <v>84</v>
      </c>
      <c r="B1359" s="24">
        <v>9</v>
      </c>
      <c r="C1359" t="s">
        <v>140</v>
      </c>
      <c r="D1359" t="s">
        <v>28</v>
      </c>
      <c r="E1359" t="s">
        <v>215</v>
      </c>
      <c r="F1359" t="s">
        <v>28</v>
      </c>
      <c r="H1359" t="s">
        <v>10</v>
      </c>
      <c r="I1359" t="s">
        <v>219</v>
      </c>
      <c r="J1359">
        <v>16</v>
      </c>
      <c r="N1359">
        <f>Таблица1[[#This Row],[Часов на заказчика  в работе]]+Таблица1[[#This Row],[Часов на заказчика  дежурство]]</f>
        <v>0</v>
      </c>
      <c r="O13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59" s="9">
        <v>110000</v>
      </c>
      <c r="R1359" s="9"/>
      <c r="S1359" s="5">
        <v>1</v>
      </c>
      <c r="T13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табеле]])*S1359,0)</f>
        <v>5333.333333333333</v>
      </c>
      <c r="U1359" s="5">
        <f>IF(Таблица1[[#This Row],[ТТН]]&gt;0,Таблица1[[#This Row],[Ставка за ТТН]]*Таблица1[[#This Row],[ТТН]],0)</f>
        <v>0</v>
      </c>
    </row>
    <row r="1360" spans="1:21" x14ac:dyDescent="0.25">
      <c r="A1360" t="s">
        <v>84</v>
      </c>
      <c r="B1360" s="24">
        <v>10</v>
      </c>
      <c r="C1360" t="s">
        <v>140</v>
      </c>
      <c r="D1360" t="s">
        <v>28</v>
      </c>
      <c r="E1360" t="s">
        <v>215</v>
      </c>
      <c r="F1360" t="s">
        <v>28</v>
      </c>
      <c r="H1360" t="s">
        <v>24</v>
      </c>
      <c r="I1360" t="s">
        <v>217</v>
      </c>
      <c r="J1360">
        <v>8</v>
      </c>
      <c r="N1360">
        <f>Таблица1[[#This Row],[Часов на заказчика  в работе]]+Таблица1[[#This Row],[Часов на заказчика  дежурство]]</f>
        <v>0</v>
      </c>
      <c r="O13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0" s="9">
        <v>110000</v>
      </c>
      <c r="R1360" s="9"/>
      <c r="S1360" s="5">
        <v>1</v>
      </c>
      <c r="T13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табеле]])*S1360,0)</f>
        <v>0</v>
      </c>
      <c r="U1360" s="5">
        <f>IF(Таблица1[[#This Row],[ТТН]]&gt;0,Таблица1[[#This Row],[Ставка за ТТН]]*Таблица1[[#This Row],[ТТН]],0)</f>
        <v>0</v>
      </c>
    </row>
    <row r="1361" spans="1:21" x14ac:dyDescent="0.25">
      <c r="A1361" t="s">
        <v>84</v>
      </c>
      <c r="B1361" s="24">
        <v>11</v>
      </c>
      <c r="C1361" t="s">
        <v>140</v>
      </c>
      <c r="D1361" t="s">
        <v>28</v>
      </c>
      <c r="E1361" t="s">
        <v>215</v>
      </c>
      <c r="F1361" t="s">
        <v>28</v>
      </c>
      <c r="H1361" t="s">
        <v>24</v>
      </c>
      <c r="I1361" t="s">
        <v>217</v>
      </c>
      <c r="J1361">
        <v>8</v>
      </c>
      <c r="N1361">
        <f>Таблица1[[#This Row],[Часов на заказчика  в работе]]+Таблица1[[#This Row],[Часов на заказчика  дежурство]]</f>
        <v>0</v>
      </c>
      <c r="O13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1" s="9">
        <v>110000</v>
      </c>
      <c r="R1361" s="9"/>
      <c r="S1361" s="5">
        <v>1</v>
      </c>
      <c r="T13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табеле]])*S1361,0)</f>
        <v>0</v>
      </c>
      <c r="U1361" s="5">
        <f>IF(Таблица1[[#This Row],[ТТН]]&gt;0,Таблица1[[#This Row],[Ставка за ТТН]]*Таблица1[[#This Row],[ТТН]],0)</f>
        <v>0</v>
      </c>
    </row>
    <row r="1362" spans="1:21" x14ac:dyDescent="0.25">
      <c r="A1362" t="s">
        <v>84</v>
      </c>
      <c r="B1362" s="24">
        <v>12</v>
      </c>
      <c r="C1362" t="s">
        <v>140</v>
      </c>
      <c r="D1362" t="s">
        <v>28</v>
      </c>
      <c r="E1362" t="s">
        <v>215</v>
      </c>
      <c r="F1362" t="s">
        <v>28</v>
      </c>
      <c r="H1362" t="s">
        <v>24</v>
      </c>
      <c r="I1362" t="s">
        <v>217</v>
      </c>
      <c r="J1362">
        <v>8</v>
      </c>
      <c r="N1362">
        <f>Таблица1[[#This Row],[Часов на заказчика  в работе]]+Таблица1[[#This Row],[Часов на заказчика  дежурство]]</f>
        <v>0</v>
      </c>
      <c r="O13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2" s="9">
        <v>110000</v>
      </c>
      <c r="R1362" s="9"/>
      <c r="S1362" s="5">
        <v>1</v>
      </c>
      <c r="T13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табеле]])*S1362,0)</f>
        <v>0</v>
      </c>
      <c r="U1362" s="5">
        <f>IF(Таблица1[[#This Row],[ТТН]]&gt;0,Таблица1[[#This Row],[Ставка за ТТН]]*Таблица1[[#This Row],[ТТН]],0)</f>
        <v>0</v>
      </c>
    </row>
    <row r="1363" spans="1:21" x14ac:dyDescent="0.25">
      <c r="A1363" t="s">
        <v>84</v>
      </c>
      <c r="B1363" s="24">
        <v>13</v>
      </c>
      <c r="C1363" t="s">
        <v>140</v>
      </c>
      <c r="D1363" t="s">
        <v>28</v>
      </c>
      <c r="E1363" t="s">
        <v>215</v>
      </c>
      <c r="F1363" t="s">
        <v>28</v>
      </c>
      <c r="H1363" t="s">
        <v>24</v>
      </c>
      <c r="I1363" t="s">
        <v>217</v>
      </c>
      <c r="J1363">
        <v>8</v>
      </c>
      <c r="N1363">
        <f>Таблица1[[#This Row],[Часов на заказчика  в работе]]+Таблица1[[#This Row],[Часов на заказчика  дежурство]]</f>
        <v>0</v>
      </c>
      <c r="O13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3" s="9">
        <v>110000</v>
      </c>
      <c r="R1363" s="9"/>
      <c r="S1363" s="5">
        <v>1</v>
      </c>
      <c r="T13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табеле]])*S1363,0)</f>
        <v>0</v>
      </c>
      <c r="U1363" s="5">
        <f>IF(Таблица1[[#This Row],[ТТН]]&gt;0,Таблица1[[#This Row],[Ставка за ТТН]]*Таблица1[[#This Row],[ТТН]],0)</f>
        <v>0</v>
      </c>
    </row>
    <row r="1364" spans="1:21" x14ac:dyDescent="0.25">
      <c r="A1364" t="s">
        <v>84</v>
      </c>
      <c r="B1364" s="24">
        <v>14</v>
      </c>
      <c r="C1364" t="s">
        <v>140</v>
      </c>
      <c r="D1364" t="s">
        <v>28</v>
      </c>
      <c r="E1364" t="s">
        <v>215</v>
      </c>
      <c r="F1364" t="s">
        <v>28</v>
      </c>
      <c r="H1364" t="s">
        <v>30</v>
      </c>
      <c r="I1364" t="s">
        <v>217</v>
      </c>
      <c r="J1364">
        <v>1</v>
      </c>
      <c r="N1364">
        <f>Таблица1[[#This Row],[Часов на заказчика  в работе]]+Таблица1[[#This Row],[Часов на заказчика  дежурство]]</f>
        <v>0</v>
      </c>
      <c r="O13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4" s="9">
        <v>110000</v>
      </c>
      <c r="R1364" s="9"/>
      <c r="S1364" s="5">
        <v>1</v>
      </c>
      <c r="T13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табеле]])*S1364,0)</f>
        <v>0</v>
      </c>
      <c r="U1364" s="5">
        <f>IF(Таблица1[[#This Row],[ТТН]]&gt;0,Таблица1[[#This Row],[Ставка за ТТН]]*Таблица1[[#This Row],[ТТН]],0)</f>
        <v>0</v>
      </c>
    </row>
    <row r="1365" spans="1:21" x14ac:dyDescent="0.25">
      <c r="A1365" t="s">
        <v>84</v>
      </c>
      <c r="B1365" s="24">
        <v>15</v>
      </c>
      <c r="C1365" t="s">
        <v>140</v>
      </c>
      <c r="D1365" t="s">
        <v>28</v>
      </c>
      <c r="E1365" t="s">
        <v>215</v>
      </c>
      <c r="F1365" t="s">
        <v>28</v>
      </c>
      <c r="H1365" t="s">
        <v>29</v>
      </c>
      <c r="I1365" t="s">
        <v>217</v>
      </c>
      <c r="J1365">
        <v>8</v>
      </c>
      <c r="N1365">
        <f>Таблица1[[#This Row],[Часов на заказчика  в работе]]+Таблица1[[#This Row],[Часов на заказчика  дежурство]]</f>
        <v>0</v>
      </c>
      <c r="O13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5" s="9">
        <v>110000</v>
      </c>
      <c r="R1365" s="9"/>
      <c r="S1365" s="5">
        <v>1</v>
      </c>
      <c r="T13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табеле]])*S1365,0)</f>
        <v>0</v>
      </c>
      <c r="U1365" s="5">
        <f>IF(Таблица1[[#This Row],[ТТН]]&gt;0,Таблица1[[#This Row],[Ставка за ТТН]]*Таблица1[[#This Row],[ТТН]],0)</f>
        <v>0</v>
      </c>
    </row>
    <row r="1366" spans="1:21" x14ac:dyDescent="0.25">
      <c r="A1366" t="s">
        <v>84</v>
      </c>
      <c r="B1366" s="24">
        <v>16</v>
      </c>
      <c r="C1366" t="s">
        <v>140</v>
      </c>
      <c r="D1366" t="s">
        <v>28</v>
      </c>
      <c r="E1366" t="s">
        <v>215</v>
      </c>
      <c r="F1366" t="s">
        <v>28</v>
      </c>
      <c r="H1366" t="s">
        <v>29</v>
      </c>
      <c r="I1366" t="s">
        <v>217</v>
      </c>
      <c r="J1366">
        <v>8</v>
      </c>
      <c r="N1366">
        <f>Таблица1[[#This Row],[Часов на заказчика  в работе]]+Таблица1[[#This Row],[Часов на заказчика  дежурство]]</f>
        <v>0</v>
      </c>
      <c r="O13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6" s="9">
        <v>110000</v>
      </c>
      <c r="R1366" s="9"/>
      <c r="S1366" s="5">
        <v>1</v>
      </c>
      <c r="T13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табеле]])*S1366,0)</f>
        <v>0</v>
      </c>
      <c r="U1366" s="5">
        <f>IF(Таблица1[[#This Row],[ТТН]]&gt;0,Таблица1[[#This Row],[Ставка за ТТН]]*Таблица1[[#This Row],[ТТН]],0)</f>
        <v>0</v>
      </c>
    </row>
    <row r="1367" spans="1:21" x14ac:dyDescent="0.25">
      <c r="A1367" t="s">
        <v>84</v>
      </c>
      <c r="B1367" s="24">
        <v>17</v>
      </c>
      <c r="C1367" t="s">
        <v>140</v>
      </c>
      <c r="D1367" t="s">
        <v>28</v>
      </c>
      <c r="E1367" t="s">
        <v>215</v>
      </c>
      <c r="F1367" t="s">
        <v>28</v>
      </c>
      <c r="H1367" t="s">
        <v>29</v>
      </c>
      <c r="I1367" t="s">
        <v>217</v>
      </c>
      <c r="J1367">
        <v>8</v>
      </c>
      <c r="N1367">
        <f>Таблица1[[#This Row],[Часов на заказчика  в работе]]+Таблица1[[#This Row],[Часов на заказчика  дежурство]]</f>
        <v>0</v>
      </c>
      <c r="O13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7" s="9">
        <v>110000</v>
      </c>
      <c r="R1367" s="9"/>
      <c r="S1367" s="5">
        <v>1</v>
      </c>
      <c r="T13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табеле]])*S1367,0)</f>
        <v>0</v>
      </c>
      <c r="U1367" s="5">
        <f>IF(Таблица1[[#This Row],[ТТН]]&gt;0,Таблица1[[#This Row],[Ставка за ТТН]]*Таблица1[[#This Row],[ТТН]],0)</f>
        <v>0</v>
      </c>
    </row>
    <row r="1368" spans="1:21" x14ac:dyDescent="0.25">
      <c r="A1368" t="s">
        <v>84</v>
      </c>
      <c r="B1368" s="24">
        <v>18</v>
      </c>
      <c r="C1368" t="s">
        <v>140</v>
      </c>
      <c r="D1368" t="s">
        <v>28</v>
      </c>
      <c r="E1368" t="s">
        <v>215</v>
      </c>
      <c r="F1368" t="s">
        <v>28</v>
      </c>
      <c r="H1368" t="s">
        <v>29</v>
      </c>
      <c r="I1368" t="s">
        <v>217</v>
      </c>
      <c r="J1368">
        <v>8</v>
      </c>
      <c r="N1368">
        <f>Таблица1[[#This Row],[Часов на заказчика  в работе]]+Таблица1[[#This Row],[Часов на заказчика  дежурство]]</f>
        <v>0</v>
      </c>
      <c r="O13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8" s="9">
        <v>110000</v>
      </c>
      <c r="R1368" s="9"/>
      <c r="S1368" s="5">
        <v>1</v>
      </c>
      <c r="T13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табеле]])*S1368,0)</f>
        <v>0</v>
      </c>
      <c r="U1368" s="5">
        <f>IF(Таблица1[[#This Row],[ТТН]]&gt;0,Таблица1[[#This Row],[Ставка за ТТН]]*Таблица1[[#This Row],[ТТН]],0)</f>
        <v>0</v>
      </c>
    </row>
    <row r="1369" spans="1:21" x14ac:dyDescent="0.25">
      <c r="A1369" t="s">
        <v>84</v>
      </c>
      <c r="B1369" s="24">
        <v>19</v>
      </c>
      <c r="C1369" t="s">
        <v>140</v>
      </c>
      <c r="D1369" t="s">
        <v>28</v>
      </c>
      <c r="E1369" t="s">
        <v>215</v>
      </c>
      <c r="F1369" t="s">
        <v>28</v>
      </c>
      <c r="H1369" t="s">
        <v>29</v>
      </c>
      <c r="I1369" t="s">
        <v>217</v>
      </c>
      <c r="J1369">
        <v>8</v>
      </c>
      <c r="N1369">
        <f>Таблица1[[#This Row],[Часов на заказчика  в работе]]+Таблица1[[#This Row],[Часов на заказчика  дежурство]]</f>
        <v>0</v>
      </c>
      <c r="O13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69" s="9">
        <v>110000</v>
      </c>
      <c r="R1369" s="9"/>
      <c r="S1369" s="5">
        <v>1</v>
      </c>
      <c r="T13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табеле]])*S1369,0)</f>
        <v>0</v>
      </c>
      <c r="U1369" s="5">
        <f>IF(Таблица1[[#This Row],[ТТН]]&gt;0,Таблица1[[#This Row],[Ставка за ТТН]]*Таблица1[[#This Row],[ТТН]],0)</f>
        <v>0</v>
      </c>
    </row>
    <row r="1370" spans="1:21" x14ac:dyDescent="0.25">
      <c r="A1370" t="s">
        <v>84</v>
      </c>
      <c r="B1370" s="24">
        <v>20</v>
      </c>
      <c r="C1370" t="s">
        <v>140</v>
      </c>
      <c r="D1370" t="s">
        <v>28</v>
      </c>
      <c r="E1370" t="s">
        <v>215</v>
      </c>
      <c r="F1370" t="s">
        <v>28</v>
      </c>
      <c r="H1370" t="s">
        <v>30</v>
      </c>
      <c r="I1370" t="s">
        <v>217</v>
      </c>
      <c r="J1370">
        <v>1</v>
      </c>
      <c r="N1370">
        <f>Таблица1[[#This Row],[Часов на заказчика  в работе]]+Таблица1[[#This Row],[Часов на заказчика  дежурство]]</f>
        <v>0</v>
      </c>
      <c r="O13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0" s="9">
        <v>110000</v>
      </c>
      <c r="R1370" s="9"/>
      <c r="S1370" s="5">
        <v>1</v>
      </c>
      <c r="T13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табеле]])*S1370,0)</f>
        <v>0</v>
      </c>
      <c r="U1370" s="5">
        <f>IF(Таблица1[[#This Row],[ТТН]]&gt;0,Таблица1[[#This Row],[Ставка за ТТН]]*Таблица1[[#This Row],[ТТН]],0)</f>
        <v>0</v>
      </c>
    </row>
    <row r="1371" spans="1:21" x14ac:dyDescent="0.25">
      <c r="A1371" t="s">
        <v>84</v>
      </c>
      <c r="B1371" s="24">
        <v>21</v>
      </c>
      <c r="C1371" t="s">
        <v>140</v>
      </c>
      <c r="D1371" t="s">
        <v>28</v>
      </c>
      <c r="E1371" t="s">
        <v>215</v>
      </c>
      <c r="F1371" t="s">
        <v>28</v>
      </c>
      <c r="H1371" t="s">
        <v>30</v>
      </c>
      <c r="I1371" t="s">
        <v>217</v>
      </c>
      <c r="J1371">
        <v>1</v>
      </c>
      <c r="N1371">
        <f>Таблица1[[#This Row],[Часов на заказчика  в работе]]+Таблица1[[#This Row],[Часов на заказчика  дежурство]]</f>
        <v>0</v>
      </c>
      <c r="O13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1" s="9">
        <v>110000</v>
      </c>
      <c r="R1371" s="9"/>
      <c r="S1371" s="5">
        <v>1</v>
      </c>
      <c r="T13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табеле]])*S1371,0)</f>
        <v>0</v>
      </c>
      <c r="U1371" s="5">
        <f>IF(Таблица1[[#This Row],[ТТН]]&gt;0,Таблица1[[#This Row],[Ставка за ТТН]]*Таблица1[[#This Row],[ТТН]],0)</f>
        <v>0</v>
      </c>
    </row>
    <row r="1372" spans="1:21" x14ac:dyDescent="0.25">
      <c r="A1372" t="s">
        <v>84</v>
      </c>
      <c r="B1372" s="24">
        <v>22</v>
      </c>
      <c r="C1372" t="s">
        <v>140</v>
      </c>
      <c r="D1372" t="s">
        <v>28</v>
      </c>
      <c r="E1372" t="s">
        <v>215</v>
      </c>
      <c r="F1372" t="s">
        <v>28</v>
      </c>
      <c r="H1372" t="s">
        <v>29</v>
      </c>
      <c r="I1372" t="s">
        <v>217</v>
      </c>
      <c r="J1372">
        <v>8</v>
      </c>
      <c r="N1372">
        <f>Таблица1[[#This Row],[Часов на заказчика  в работе]]+Таблица1[[#This Row],[Часов на заказчика  дежурство]]</f>
        <v>0</v>
      </c>
      <c r="O13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2" s="9">
        <v>110000</v>
      </c>
      <c r="R1372" s="9"/>
      <c r="S1372" s="5">
        <v>1</v>
      </c>
      <c r="T13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табеле]])*S1372,0)</f>
        <v>0</v>
      </c>
      <c r="U1372" s="5">
        <f>IF(Таблица1[[#This Row],[ТТН]]&gt;0,Таблица1[[#This Row],[Ставка за ТТН]]*Таблица1[[#This Row],[ТТН]],0)</f>
        <v>0</v>
      </c>
    </row>
    <row r="1373" spans="1:21" x14ac:dyDescent="0.25">
      <c r="A1373" t="s">
        <v>84</v>
      </c>
      <c r="B1373" s="24">
        <v>23</v>
      </c>
      <c r="C1373" t="s">
        <v>140</v>
      </c>
      <c r="D1373" t="s">
        <v>28</v>
      </c>
      <c r="E1373" t="s">
        <v>215</v>
      </c>
      <c r="F1373" t="s">
        <v>28</v>
      </c>
      <c r="H1373" t="s">
        <v>29</v>
      </c>
      <c r="I1373" t="s">
        <v>217</v>
      </c>
      <c r="J1373">
        <v>8</v>
      </c>
      <c r="N1373">
        <f>Таблица1[[#This Row],[Часов на заказчика  в работе]]+Таблица1[[#This Row],[Часов на заказчика  дежурство]]</f>
        <v>0</v>
      </c>
      <c r="O13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3" s="9">
        <v>110000</v>
      </c>
      <c r="R1373" s="9"/>
      <c r="S1373" s="5">
        <v>1</v>
      </c>
      <c r="T13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табеле]])*S1373,0)</f>
        <v>0</v>
      </c>
      <c r="U1373" s="5">
        <f>IF(Таблица1[[#This Row],[ТТН]]&gt;0,Таблица1[[#This Row],[Ставка за ТТН]]*Таблица1[[#This Row],[ТТН]],0)</f>
        <v>0</v>
      </c>
    </row>
    <row r="1374" spans="1:21" x14ac:dyDescent="0.25">
      <c r="A1374" t="s">
        <v>84</v>
      </c>
      <c r="B1374" s="24">
        <v>24</v>
      </c>
      <c r="C1374" t="s">
        <v>140</v>
      </c>
      <c r="D1374" t="s">
        <v>28</v>
      </c>
      <c r="E1374" t="s">
        <v>215</v>
      </c>
      <c r="F1374" t="s">
        <v>28</v>
      </c>
      <c r="H1374" t="s">
        <v>29</v>
      </c>
      <c r="I1374" t="s">
        <v>217</v>
      </c>
      <c r="J1374">
        <v>8</v>
      </c>
      <c r="N1374">
        <f>Таблица1[[#This Row],[Часов на заказчика  в работе]]+Таблица1[[#This Row],[Часов на заказчика  дежурство]]</f>
        <v>0</v>
      </c>
      <c r="O13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4" s="9">
        <v>110000</v>
      </c>
      <c r="R1374" s="9"/>
      <c r="S1374" s="5">
        <v>1</v>
      </c>
      <c r="T13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табеле]])*S1374,0)</f>
        <v>0</v>
      </c>
      <c r="U1374" s="5">
        <f>IF(Таблица1[[#This Row],[ТТН]]&gt;0,Таблица1[[#This Row],[Ставка за ТТН]]*Таблица1[[#This Row],[ТТН]],0)</f>
        <v>0</v>
      </c>
    </row>
    <row r="1375" spans="1:21" x14ac:dyDescent="0.25">
      <c r="A1375" t="s">
        <v>84</v>
      </c>
      <c r="B1375" s="24">
        <v>25</v>
      </c>
      <c r="C1375" t="s">
        <v>140</v>
      </c>
      <c r="D1375" t="s">
        <v>28</v>
      </c>
      <c r="E1375" t="s">
        <v>215</v>
      </c>
      <c r="F1375" t="s">
        <v>28</v>
      </c>
      <c r="H1375" t="s">
        <v>29</v>
      </c>
      <c r="I1375" t="s">
        <v>217</v>
      </c>
      <c r="J1375">
        <v>8</v>
      </c>
      <c r="N1375">
        <f>Таблица1[[#This Row],[Часов на заказчика  в работе]]+Таблица1[[#This Row],[Часов на заказчика  дежурство]]</f>
        <v>0</v>
      </c>
      <c r="O13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5" s="9">
        <v>110000</v>
      </c>
      <c r="R1375" s="9"/>
      <c r="S1375" s="5">
        <v>1</v>
      </c>
      <c r="T13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табеле]])*S1375,0)</f>
        <v>0</v>
      </c>
      <c r="U1375" s="5">
        <f>IF(Таблица1[[#This Row],[ТТН]]&gt;0,Таблица1[[#This Row],[Ставка за ТТН]]*Таблица1[[#This Row],[ТТН]],0)</f>
        <v>0</v>
      </c>
    </row>
    <row r="1376" spans="1:21" x14ac:dyDescent="0.25">
      <c r="A1376" t="s">
        <v>84</v>
      </c>
      <c r="B1376" s="24">
        <v>26</v>
      </c>
      <c r="C1376" t="s">
        <v>140</v>
      </c>
      <c r="D1376" t="s">
        <v>28</v>
      </c>
      <c r="E1376" t="s">
        <v>215</v>
      </c>
      <c r="F1376" t="s">
        <v>28</v>
      </c>
      <c r="H1376" t="s">
        <v>29</v>
      </c>
      <c r="I1376" t="s">
        <v>217</v>
      </c>
      <c r="J1376">
        <v>8</v>
      </c>
      <c r="N1376">
        <f>Таблица1[[#This Row],[Часов на заказчика  в работе]]+Таблица1[[#This Row],[Часов на заказчика  дежурство]]</f>
        <v>0</v>
      </c>
      <c r="O13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6" s="9">
        <v>110000</v>
      </c>
      <c r="R1376" s="9"/>
      <c r="S1376" s="5">
        <v>1</v>
      </c>
      <c r="T13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табеле]])*S1376,0)</f>
        <v>0</v>
      </c>
      <c r="U1376" s="5">
        <f>IF(Таблица1[[#This Row],[ТТН]]&gt;0,Таблица1[[#This Row],[Ставка за ТТН]]*Таблица1[[#This Row],[ТТН]],0)</f>
        <v>0</v>
      </c>
    </row>
    <row r="1377" spans="1:21" x14ac:dyDescent="0.25">
      <c r="A1377" t="s">
        <v>84</v>
      </c>
      <c r="B1377" s="24">
        <v>27</v>
      </c>
      <c r="C1377" t="s">
        <v>140</v>
      </c>
      <c r="D1377" t="s">
        <v>28</v>
      </c>
      <c r="E1377" t="s">
        <v>215</v>
      </c>
      <c r="F1377" t="s">
        <v>28</v>
      </c>
      <c r="H1377" t="s">
        <v>30</v>
      </c>
      <c r="I1377" t="s">
        <v>217</v>
      </c>
      <c r="J1377">
        <v>1</v>
      </c>
      <c r="N1377">
        <f>Таблица1[[#This Row],[Часов на заказчика  в работе]]+Таблица1[[#This Row],[Часов на заказчика  дежурство]]</f>
        <v>0</v>
      </c>
      <c r="O13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7" s="9">
        <v>110000</v>
      </c>
      <c r="R1377" s="9"/>
      <c r="S1377" s="5">
        <v>1</v>
      </c>
      <c r="T13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табеле]])*S1377,0)</f>
        <v>0</v>
      </c>
      <c r="U1377" s="5">
        <f>IF(Таблица1[[#This Row],[ТТН]]&gt;0,Таблица1[[#This Row],[Ставка за ТТН]]*Таблица1[[#This Row],[ТТН]],0)</f>
        <v>0</v>
      </c>
    </row>
    <row r="1378" spans="1:21" x14ac:dyDescent="0.25">
      <c r="A1378" t="s">
        <v>84</v>
      </c>
      <c r="B1378" s="24">
        <v>28</v>
      </c>
      <c r="C1378" t="s">
        <v>140</v>
      </c>
      <c r="D1378" t="s">
        <v>28</v>
      </c>
      <c r="E1378" t="s">
        <v>215</v>
      </c>
      <c r="F1378" t="s">
        <v>28</v>
      </c>
      <c r="H1378" t="s">
        <v>30</v>
      </c>
      <c r="I1378" t="s">
        <v>217</v>
      </c>
      <c r="J1378">
        <v>1</v>
      </c>
      <c r="N1378">
        <f>Таблица1[[#This Row],[Часов на заказчика  в работе]]+Таблица1[[#This Row],[Часов на заказчика  дежурство]]</f>
        <v>0</v>
      </c>
      <c r="O13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8" s="9">
        <v>110000</v>
      </c>
      <c r="R1378" s="9"/>
      <c r="S1378" s="5">
        <v>1</v>
      </c>
      <c r="T13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табеле]])*S1378,0)</f>
        <v>0</v>
      </c>
      <c r="U1378" s="5">
        <f>IF(Таблица1[[#This Row],[ТТН]]&gt;0,Таблица1[[#This Row],[Ставка за ТТН]]*Таблица1[[#This Row],[ТТН]],0)</f>
        <v>0</v>
      </c>
    </row>
    <row r="1379" spans="1:21" x14ac:dyDescent="0.25">
      <c r="A1379" t="s">
        <v>84</v>
      </c>
      <c r="B1379" s="24">
        <v>29</v>
      </c>
      <c r="C1379" t="s">
        <v>140</v>
      </c>
      <c r="D1379" t="s">
        <v>28</v>
      </c>
      <c r="E1379" t="s">
        <v>215</v>
      </c>
      <c r="F1379" t="s">
        <v>28</v>
      </c>
      <c r="H1379" t="s">
        <v>29</v>
      </c>
      <c r="I1379" t="s">
        <v>217</v>
      </c>
      <c r="J1379">
        <v>8</v>
      </c>
      <c r="N1379">
        <f>Таблица1[[#This Row],[Часов на заказчика  в работе]]+Таблица1[[#This Row],[Часов на заказчика  дежурство]]</f>
        <v>0</v>
      </c>
      <c r="O13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79" s="9">
        <v>110000</v>
      </c>
      <c r="R1379" s="9"/>
      <c r="S1379" s="5">
        <v>1</v>
      </c>
      <c r="T13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табеле]])*S1379,0)</f>
        <v>0</v>
      </c>
      <c r="U1379" s="5">
        <f>IF(Таблица1[[#This Row],[ТТН]]&gt;0,Таблица1[[#This Row],[Ставка за ТТН]]*Таблица1[[#This Row],[ТТН]],0)</f>
        <v>0</v>
      </c>
    </row>
    <row r="1380" spans="1:21" x14ac:dyDescent="0.25">
      <c r="A1380" t="s">
        <v>84</v>
      </c>
      <c r="B1380" s="24">
        <v>30</v>
      </c>
      <c r="C1380" t="s">
        <v>141</v>
      </c>
      <c r="D1380" t="s">
        <v>28</v>
      </c>
      <c r="E1380" t="s">
        <v>215</v>
      </c>
      <c r="F1380" t="s">
        <v>28</v>
      </c>
      <c r="H1380" t="s">
        <v>29</v>
      </c>
      <c r="I1380" t="s">
        <v>217</v>
      </c>
      <c r="J1380">
        <v>8</v>
      </c>
      <c r="N1380">
        <f>Таблица1[[#This Row],[Часов на заказчика  в работе]]+Таблица1[[#This Row],[Часов на заказчика  дежурство]]</f>
        <v>0</v>
      </c>
      <c r="O13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0" s="9">
        <v>110000</v>
      </c>
      <c r="R1380" s="9"/>
      <c r="S1380" s="5">
        <v>1</v>
      </c>
      <c r="T13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табеле]])*S1380,0)</f>
        <v>0</v>
      </c>
      <c r="U1380" s="5">
        <f>IF(Таблица1[[#This Row],[ТТН]]&gt;0,Таблица1[[#This Row],[Ставка за ТТН]]*Таблица1[[#This Row],[ТТН]],0)</f>
        <v>0</v>
      </c>
    </row>
    <row r="1381" spans="1:21" x14ac:dyDescent="0.25">
      <c r="A1381" t="s">
        <v>84</v>
      </c>
      <c r="B1381" s="24">
        <v>1</v>
      </c>
      <c r="C1381" t="s">
        <v>141</v>
      </c>
      <c r="D1381" t="s">
        <v>12</v>
      </c>
      <c r="E1381" t="s">
        <v>215</v>
      </c>
      <c r="F1381" t="s">
        <v>42</v>
      </c>
      <c r="H1381" t="s">
        <v>10</v>
      </c>
      <c r="I1381" t="s">
        <v>219</v>
      </c>
      <c r="J1381">
        <v>11</v>
      </c>
      <c r="N1381">
        <f>Таблица1[[#This Row],[Часов на заказчика  в работе]]+Таблица1[[#This Row],[Часов на заказчика  дежурство]]</f>
        <v>0</v>
      </c>
      <c r="O13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1" s="9">
        <v>145000</v>
      </c>
      <c r="R1381" s="9">
        <v>1660</v>
      </c>
      <c r="S1381" s="5">
        <v>1</v>
      </c>
      <c r="T13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табеле]])*S1381,0)</f>
        <v>4833.333333333333</v>
      </c>
      <c r="U1381" s="5">
        <f>IF(Таблица1[[#This Row],[ТТН]]&gt;0,Таблица1[[#This Row],[Ставка за ТТН]]*Таблица1[[#This Row],[ТТН]],0)</f>
        <v>0</v>
      </c>
    </row>
    <row r="1382" spans="1:21" x14ac:dyDescent="0.25">
      <c r="A1382" t="s">
        <v>84</v>
      </c>
      <c r="B1382" s="24">
        <v>2</v>
      </c>
      <c r="C1382" t="s">
        <v>141</v>
      </c>
      <c r="D1382" t="s">
        <v>12</v>
      </c>
      <c r="E1382" t="s">
        <v>215</v>
      </c>
      <c r="F1382" t="s">
        <v>42</v>
      </c>
      <c r="H1382" t="s">
        <v>10</v>
      </c>
      <c r="I1382" t="s">
        <v>219</v>
      </c>
      <c r="J1382">
        <v>11</v>
      </c>
      <c r="K1382">
        <v>1</v>
      </c>
      <c r="N1382">
        <f>Таблица1[[#This Row],[Часов на заказчика  в работе]]+Таблица1[[#This Row],[Часов на заказчика  дежурство]]</f>
        <v>0</v>
      </c>
      <c r="O13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2" s="9">
        <v>145000</v>
      </c>
      <c r="R1382" s="9">
        <v>1660</v>
      </c>
      <c r="S1382" s="5">
        <v>1</v>
      </c>
      <c r="T13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табеле]])*S1382,0)</f>
        <v>4833.333333333333</v>
      </c>
      <c r="U1382" s="5">
        <f>IF(Таблица1[[#This Row],[ТТН]]&gt;0,Таблица1[[#This Row],[Ставка за ТТН]]*Таблица1[[#This Row],[ТТН]],0)</f>
        <v>1660</v>
      </c>
    </row>
    <row r="1383" spans="1:21" x14ac:dyDescent="0.25">
      <c r="A1383" t="s">
        <v>84</v>
      </c>
      <c r="B1383" s="24">
        <v>3</v>
      </c>
      <c r="C1383" t="s">
        <v>141</v>
      </c>
      <c r="D1383" t="s">
        <v>12</v>
      </c>
      <c r="E1383" t="s">
        <v>215</v>
      </c>
      <c r="F1383" t="s">
        <v>42</v>
      </c>
      <c r="H1383" t="s">
        <v>10</v>
      </c>
      <c r="I1383" t="s">
        <v>219</v>
      </c>
      <c r="J1383">
        <v>11</v>
      </c>
      <c r="N1383">
        <f>Таблица1[[#This Row],[Часов на заказчика  в работе]]+Таблица1[[#This Row],[Часов на заказчика  дежурство]]</f>
        <v>0</v>
      </c>
      <c r="O13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3" s="9">
        <v>145000</v>
      </c>
      <c r="R1383" s="9">
        <v>1660</v>
      </c>
      <c r="S1383" s="5">
        <v>1</v>
      </c>
      <c r="T13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табеле]])*S1383,0)</f>
        <v>4833.333333333333</v>
      </c>
      <c r="U1383" s="5">
        <f>IF(Таблица1[[#This Row],[ТТН]]&gt;0,Таблица1[[#This Row],[Ставка за ТТН]]*Таблица1[[#This Row],[ТТН]],0)</f>
        <v>0</v>
      </c>
    </row>
    <row r="1384" spans="1:21" x14ac:dyDescent="0.25">
      <c r="A1384" t="s">
        <v>84</v>
      </c>
      <c r="B1384" s="24">
        <v>4</v>
      </c>
      <c r="C1384" t="s">
        <v>141</v>
      </c>
      <c r="D1384" t="s">
        <v>12</v>
      </c>
      <c r="E1384" t="s">
        <v>215</v>
      </c>
      <c r="F1384" t="s">
        <v>42</v>
      </c>
      <c r="H1384" t="s">
        <v>10</v>
      </c>
      <c r="I1384" t="s">
        <v>219</v>
      </c>
      <c r="J1384">
        <v>22</v>
      </c>
      <c r="K1384">
        <v>2</v>
      </c>
      <c r="N1384">
        <f>Таблица1[[#This Row],[Часов на заказчика  в работе]]+Таблица1[[#This Row],[Часов на заказчика  дежурство]]</f>
        <v>0</v>
      </c>
      <c r="O13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4" s="9">
        <v>145000</v>
      </c>
      <c r="R1384" s="9">
        <v>1660</v>
      </c>
      <c r="S1384" s="5">
        <v>1</v>
      </c>
      <c r="T13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табеле]])*S1384,0)</f>
        <v>9666.6666666666661</v>
      </c>
      <c r="U1384" s="5">
        <f>IF(Таблица1[[#This Row],[ТТН]]&gt;0,Таблица1[[#This Row],[Ставка за ТТН]]*Таблица1[[#This Row],[ТТН]],0)</f>
        <v>3320</v>
      </c>
    </row>
    <row r="1385" spans="1:21" x14ac:dyDescent="0.25">
      <c r="A1385" t="s">
        <v>84</v>
      </c>
      <c r="B1385" s="24">
        <v>5</v>
      </c>
      <c r="C1385" t="s">
        <v>141</v>
      </c>
      <c r="D1385" t="s">
        <v>12</v>
      </c>
      <c r="E1385" t="s">
        <v>215</v>
      </c>
      <c r="F1385" t="s">
        <v>42</v>
      </c>
      <c r="H1385" t="s">
        <v>38</v>
      </c>
      <c r="I1385" t="s">
        <v>219</v>
      </c>
      <c r="J1385">
        <v>11</v>
      </c>
      <c r="N1385">
        <f>Таблица1[[#This Row],[Часов на заказчика  в работе]]+Таблица1[[#This Row],[Часов на заказчика  дежурство]]</f>
        <v>0</v>
      </c>
      <c r="O13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5" s="9">
        <v>145000</v>
      </c>
      <c r="R1385" s="9">
        <v>1660</v>
      </c>
      <c r="S1385" s="5">
        <v>1</v>
      </c>
      <c r="T13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табеле]])*S1385,0)</f>
        <v>4833.333333333333</v>
      </c>
      <c r="U1385" s="5">
        <f>IF(Таблица1[[#This Row],[ТТН]]&gt;0,Таблица1[[#This Row],[Ставка за ТТН]]*Таблица1[[#This Row],[ТТН]],0)</f>
        <v>0</v>
      </c>
    </row>
    <row r="1386" spans="1:21" x14ac:dyDescent="0.25">
      <c r="A1386" t="s">
        <v>84</v>
      </c>
      <c r="B1386" s="24">
        <v>6</v>
      </c>
      <c r="C1386" t="s">
        <v>141</v>
      </c>
      <c r="D1386" t="s">
        <v>12</v>
      </c>
      <c r="E1386" t="s">
        <v>215</v>
      </c>
      <c r="F1386" t="s">
        <v>42</v>
      </c>
      <c r="H1386" t="s">
        <v>38</v>
      </c>
      <c r="I1386" t="s">
        <v>219</v>
      </c>
      <c r="J1386">
        <v>11</v>
      </c>
      <c r="N1386">
        <f>Таблица1[[#This Row],[Часов на заказчика  в работе]]+Таблица1[[#This Row],[Часов на заказчика  дежурство]]</f>
        <v>0</v>
      </c>
      <c r="O13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6" s="9">
        <v>145000</v>
      </c>
      <c r="R1386" s="9">
        <v>1660</v>
      </c>
      <c r="S1386" s="5">
        <v>1</v>
      </c>
      <c r="T13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табеле]])*S1386,0)</f>
        <v>4833.333333333333</v>
      </c>
      <c r="U1386" s="5">
        <f>IF(Таблица1[[#This Row],[ТТН]]&gt;0,Таблица1[[#This Row],[Ставка за ТТН]]*Таблица1[[#This Row],[ТТН]],0)</f>
        <v>0</v>
      </c>
    </row>
    <row r="1387" spans="1:21" x14ac:dyDescent="0.25">
      <c r="A1387" t="s">
        <v>84</v>
      </c>
      <c r="B1387" s="24">
        <v>7</v>
      </c>
      <c r="C1387" t="s">
        <v>141</v>
      </c>
      <c r="D1387" t="s">
        <v>12</v>
      </c>
      <c r="E1387" t="s">
        <v>215</v>
      </c>
      <c r="F1387" t="s">
        <v>42</v>
      </c>
      <c r="H1387" t="s">
        <v>38</v>
      </c>
      <c r="I1387" t="s">
        <v>219</v>
      </c>
      <c r="J1387">
        <v>11</v>
      </c>
      <c r="N1387">
        <f>Таблица1[[#This Row],[Часов на заказчика  в работе]]+Таблица1[[#This Row],[Часов на заказчика  дежурство]]</f>
        <v>0</v>
      </c>
      <c r="O13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7" s="9">
        <v>145000</v>
      </c>
      <c r="R1387" s="9">
        <v>1660</v>
      </c>
      <c r="S1387" s="5">
        <v>1</v>
      </c>
      <c r="T13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табеле]])*S1387,0)</f>
        <v>4833.333333333333</v>
      </c>
      <c r="U1387" s="5">
        <f>IF(Таблица1[[#This Row],[ТТН]]&gt;0,Таблица1[[#This Row],[Ставка за ТТН]]*Таблица1[[#This Row],[ТТН]],0)</f>
        <v>0</v>
      </c>
    </row>
    <row r="1388" spans="1:21" x14ac:dyDescent="0.25">
      <c r="A1388" t="s">
        <v>84</v>
      </c>
      <c r="B1388" s="24">
        <v>8</v>
      </c>
      <c r="C1388" t="s">
        <v>141</v>
      </c>
      <c r="D1388" t="s">
        <v>12</v>
      </c>
      <c r="E1388" t="s">
        <v>215</v>
      </c>
      <c r="F1388" t="s">
        <v>42</v>
      </c>
      <c r="H1388" t="s">
        <v>10</v>
      </c>
      <c r="I1388" t="s">
        <v>219</v>
      </c>
      <c r="J1388">
        <v>11</v>
      </c>
      <c r="N1388">
        <f>Таблица1[[#This Row],[Часов на заказчика  в работе]]+Таблица1[[#This Row],[Часов на заказчика  дежурство]]</f>
        <v>0</v>
      </c>
      <c r="O13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8" s="9">
        <v>145000</v>
      </c>
      <c r="R1388" s="9">
        <v>1660</v>
      </c>
      <c r="S1388" s="5">
        <v>1</v>
      </c>
      <c r="T13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табеле]])*S1388,0)</f>
        <v>4833.333333333333</v>
      </c>
      <c r="U1388" s="5">
        <f>IF(Таблица1[[#This Row],[ТТН]]&gt;0,Таблица1[[#This Row],[Ставка за ТТН]]*Таблица1[[#This Row],[ТТН]],0)</f>
        <v>0</v>
      </c>
    </row>
    <row r="1389" spans="1:21" x14ac:dyDescent="0.25">
      <c r="A1389" t="s">
        <v>84</v>
      </c>
      <c r="B1389" s="24">
        <v>9</v>
      </c>
      <c r="C1389" t="s">
        <v>141</v>
      </c>
      <c r="D1389" t="s">
        <v>12</v>
      </c>
      <c r="E1389" t="s">
        <v>215</v>
      </c>
      <c r="F1389" t="s">
        <v>42</v>
      </c>
      <c r="H1389" t="s">
        <v>10</v>
      </c>
      <c r="I1389" t="s">
        <v>219</v>
      </c>
      <c r="J1389">
        <v>22</v>
      </c>
      <c r="K1389">
        <v>2</v>
      </c>
      <c r="N1389">
        <f>Таблица1[[#This Row],[Часов на заказчика  в работе]]+Таблица1[[#This Row],[Часов на заказчика  дежурство]]</f>
        <v>0</v>
      </c>
      <c r="O13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89" s="9">
        <v>145000</v>
      </c>
      <c r="R1389" s="9">
        <v>1660</v>
      </c>
      <c r="S1389" s="5">
        <v>1</v>
      </c>
      <c r="T13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табеле]])*S1389,0)</f>
        <v>9666.6666666666661</v>
      </c>
      <c r="U1389" s="5">
        <f>IF(Таблица1[[#This Row],[ТТН]]&gt;0,Таблица1[[#This Row],[Ставка за ТТН]]*Таблица1[[#This Row],[ТТН]],0)</f>
        <v>3320</v>
      </c>
    </row>
    <row r="1390" spans="1:21" x14ac:dyDescent="0.25">
      <c r="A1390" t="s">
        <v>84</v>
      </c>
      <c r="B1390" s="24">
        <v>10</v>
      </c>
      <c r="C1390" t="s">
        <v>141</v>
      </c>
      <c r="D1390" t="s">
        <v>12</v>
      </c>
      <c r="E1390" t="s">
        <v>215</v>
      </c>
      <c r="F1390" t="s">
        <v>42</v>
      </c>
      <c r="H1390" t="s">
        <v>10</v>
      </c>
      <c r="I1390" t="s">
        <v>219</v>
      </c>
      <c r="J1390">
        <v>22</v>
      </c>
      <c r="K1390">
        <v>1</v>
      </c>
      <c r="N1390">
        <f>Таблица1[[#This Row],[Часов на заказчика  в работе]]+Таблица1[[#This Row],[Часов на заказчика  дежурство]]</f>
        <v>0</v>
      </c>
      <c r="O13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0" s="9">
        <v>145000</v>
      </c>
      <c r="R1390" s="9">
        <v>1660</v>
      </c>
      <c r="S1390" s="5">
        <v>1</v>
      </c>
      <c r="T13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табеле]])*S1390,0)</f>
        <v>9666.6666666666661</v>
      </c>
      <c r="U1390" s="5">
        <f>IF(Таблица1[[#This Row],[ТТН]]&gt;0,Таблица1[[#This Row],[Ставка за ТТН]]*Таблица1[[#This Row],[ТТН]],0)</f>
        <v>1660</v>
      </c>
    </row>
    <row r="1391" spans="1:21" x14ac:dyDescent="0.25">
      <c r="A1391" t="s">
        <v>84</v>
      </c>
      <c r="B1391" s="24">
        <v>11</v>
      </c>
      <c r="C1391" t="s">
        <v>141</v>
      </c>
      <c r="D1391" t="s">
        <v>12</v>
      </c>
      <c r="E1391" t="s">
        <v>215</v>
      </c>
      <c r="F1391" t="s">
        <v>42</v>
      </c>
      <c r="H1391" t="s">
        <v>10</v>
      </c>
      <c r="I1391" t="s">
        <v>219</v>
      </c>
      <c r="J1391">
        <v>11</v>
      </c>
      <c r="K1391">
        <v>1</v>
      </c>
      <c r="N1391">
        <f>Таблица1[[#This Row],[Часов на заказчика  в работе]]+Таблица1[[#This Row],[Часов на заказчика  дежурство]]</f>
        <v>0</v>
      </c>
      <c r="O13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1" s="9">
        <v>145000</v>
      </c>
      <c r="R1391" s="9">
        <v>1660</v>
      </c>
      <c r="S1391" s="5">
        <v>1</v>
      </c>
      <c r="T13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табеле]])*S1391,0)</f>
        <v>4833.333333333333</v>
      </c>
      <c r="U1391" s="5">
        <f>IF(Таблица1[[#This Row],[ТТН]]&gt;0,Таблица1[[#This Row],[Ставка за ТТН]]*Таблица1[[#This Row],[ТТН]],0)</f>
        <v>1660</v>
      </c>
    </row>
    <row r="1392" spans="1:21" x14ac:dyDescent="0.25">
      <c r="A1392" t="s">
        <v>84</v>
      </c>
      <c r="B1392" s="24">
        <v>12</v>
      </c>
      <c r="C1392" t="s">
        <v>141</v>
      </c>
      <c r="D1392" t="s">
        <v>12</v>
      </c>
      <c r="E1392" t="s">
        <v>215</v>
      </c>
      <c r="F1392" t="s">
        <v>42</v>
      </c>
      <c r="H1392" t="s">
        <v>38</v>
      </c>
      <c r="I1392" t="s">
        <v>219</v>
      </c>
      <c r="J1392">
        <v>11</v>
      </c>
      <c r="N1392">
        <f>Таблица1[[#This Row],[Часов на заказчика  в работе]]+Таблица1[[#This Row],[Часов на заказчика  дежурство]]</f>
        <v>0</v>
      </c>
      <c r="O13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2" s="9">
        <v>145000</v>
      </c>
      <c r="R1392" s="9">
        <v>1660</v>
      </c>
      <c r="S1392" s="5">
        <v>1</v>
      </c>
      <c r="T13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табеле]])*S1392,0)</f>
        <v>4833.333333333333</v>
      </c>
      <c r="U1392" s="5">
        <f>IF(Таблица1[[#This Row],[ТТН]]&gt;0,Таблица1[[#This Row],[Ставка за ТТН]]*Таблица1[[#This Row],[ТТН]],0)</f>
        <v>0</v>
      </c>
    </row>
    <row r="1393" spans="1:22" x14ac:dyDescent="0.25">
      <c r="A1393" t="s">
        <v>84</v>
      </c>
      <c r="B1393" s="24">
        <v>13</v>
      </c>
      <c r="C1393" t="s">
        <v>141</v>
      </c>
      <c r="D1393" t="s">
        <v>12</v>
      </c>
      <c r="E1393" t="s">
        <v>215</v>
      </c>
      <c r="F1393" t="s">
        <v>42</v>
      </c>
      <c r="H1393" t="s">
        <v>38</v>
      </c>
      <c r="I1393" t="s">
        <v>219</v>
      </c>
      <c r="J1393">
        <v>11</v>
      </c>
      <c r="N1393">
        <f>Таблица1[[#This Row],[Часов на заказчика  в работе]]+Таблица1[[#This Row],[Часов на заказчика  дежурство]]</f>
        <v>0</v>
      </c>
      <c r="O13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3" s="9">
        <v>145000</v>
      </c>
      <c r="R1393" s="9">
        <v>1660</v>
      </c>
      <c r="S1393" s="5">
        <v>1</v>
      </c>
      <c r="T13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табеле]])*S1393,0)</f>
        <v>4833.333333333333</v>
      </c>
      <c r="U1393" s="5">
        <f>IF(Таблица1[[#This Row],[ТТН]]&gt;0,Таблица1[[#This Row],[Ставка за ТТН]]*Таблица1[[#This Row],[ТТН]],0)</f>
        <v>0</v>
      </c>
    </row>
    <row r="1394" spans="1:22" x14ac:dyDescent="0.25">
      <c r="A1394" t="s">
        <v>84</v>
      </c>
      <c r="B1394" s="24">
        <v>14</v>
      </c>
      <c r="C1394" t="s">
        <v>141</v>
      </c>
      <c r="D1394" t="s">
        <v>12</v>
      </c>
      <c r="E1394" t="s">
        <v>215</v>
      </c>
      <c r="F1394" t="s">
        <v>42</v>
      </c>
      <c r="H1394" t="s">
        <v>10</v>
      </c>
      <c r="I1394" t="s">
        <v>219</v>
      </c>
      <c r="J1394">
        <v>22</v>
      </c>
      <c r="K1394">
        <v>1</v>
      </c>
      <c r="N1394">
        <f>Таблица1[[#This Row],[Часов на заказчика  в работе]]+Таблица1[[#This Row],[Часов на заказчика  дежурство]]</f>
        <v>0</v>
      </c>
      <c r="O13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4" s="9">
        <v>145000</v>
      </c>
      <c r="R1394" s="9">
        <v>1660</v>
      </c>
      <c r="S1394" s="5">
        <v>1</v>
      </c>
      <c r="T13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табеле]])*S1394,0)</f>
        <v>9666.6666666666661</v>
      </c>
      <c r="U1394" s="5">
        <f>IF(Таблица1[[#This Row],[ТТН]]&gt;0,Таблица1[[#This Row],[Ставка за ТТН]]*Таблица1[[#This Row],[ТТН]],0)</f>
        <v>1660</v>
      </c>
    </row>
    <row r="1395" spans="1:22" x14ac:dyDescent="0.25">
      <c r="A1395" t="s">
        <v>84</v>
      </c>
      <c r="B1395" s="24">
        <v>15</v>
      </c>
      <c r="C1395" t="s">
        <v>141</v>
      </c>
      <c r="D1395" t="s">
        <v>12</v>
      </c>
      <c r="E1395" t="s">
        <v>215</v>
      </c>
      <c r="F1395" t="s">
        <v>42</v>
      </c>
      <c r="H1395" t="s">
        <v>10</v>
      </c>
      <c r="I1395" t="s">
        <v>219</v>
      </c>
      <c r="J1395">
        <v>11</v>
      </c>
      <c r="K1395">
        <v>1</v>
      </c>
      <c r="N1395">
        <f>Таблица1[[#This Row],[Часов на заказчика  в работе]]+Таблица1[[#This Row],[Часов на заказчика  дежурство]]</f>
        <v>0</v>
      </c>
      <c r="O13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5" s="9">
        <v>145000</v>
      </c>
      <c r="R1395" s="9">
        <v>1660</v>
      </c>
      <c r="S1395" s="5">
        <v>1</v>
      </c>
      <c r="T13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табеле]])*S1395,0)</f>
        <v>4833.333333333333</v>
      </c>
      <c r="U1395" s="5">
        <f>IF(Таблица1[[#This Row],[ТТН]]&gt;0,Таблица1[[#This Row],[Ставка за ТТН]]*Таблица1[[#This Row],[ТТН]],0)</f>
        <v>1660</v>
      </c>
    </row>
    <row r="1396" spans="1:22" x14ac:dyDescent="0.25">
      <c r="A1396" t="s">
        <v>84</v>
      </c>
      <c r="B1396" s="24">
        <v>16</v>
      </c>
      <c r="C1396" t="s">
        <v>141</v>
      </c>
      <c r="D1396" t="s">
        <v>12</v>
      </c>
      <c r="E1396" t="s">
        <v>215</v>
      </c>
      <c r="F1396" t="s">
        <v>42</v>
      </c>
      <c r="H1396" t="s">
        <v>10</v>
      </c>
      <c r="I1396" t="s">
        <v>219</v>
      </c>
      <c r="J1396">
        <v>22</v>
      </c>
      <c r="K1396">
        <v>1</v>
      </c>
      <c r="N1396">
        <f>Таблица1[[#This Row],[Часов на заказчика  в работе]]+Таблица1[[#This Row],[Часов на заказчика  дежурство]]</f>
        <v>0</v>
      </c>
      <c r="O13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6" s="9">
        <v>145000</v>
      </c>
      <c r="R1396" s="9">
        <v>1660</v>
      </c>
      <c r="S1396" s="5">
        <v>1</v>
      </c>
      <c r="T13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табеле]])*S1396,0)</f>
        <v>9666.6666666666661</v>
      </c>
      <c r="U1396" s="5">
        <f>IF(Таблица1[[#This Row],[ТТН]]&gt;0,Таблица1[[#This Row],[Ставка за ТТН]]*Таблица1[[#This Row],[ТТН]],0)</f>
        <v>1660</v>
      </c>
    </row>
    <row r="1397" spans="1:22" x14ac:dyDescent="0.25">
      <c r="A1397" t="s">
        <v>84</v>
      </c>
      <c r="B1397" s="24">
        <v>17</v>
      </c>
      <c r="C1397" t="s">
        <v>141</v>
      </c>
      <c r="D1397" t="s">
        <v>12</v>
      </c>
      <c r="E1397" t="s">
        <v>215</v>
      </c>
      <c r="F1397" t="s">
        <v>42</v>
      </c>
      <c r="H1397" t="s">
        <v>10</v>
      </c>
      <c r="I1397" t="s">
        <v>219</v>
      </c>
      <c r="J1397">
        <v>22</v>
      </c>
      <c r="N1397">
        <f>Таблица1[[#This Row],[Часов на заказчика  в работе]]+Таблица1[[#This Row],[Часов на заказчика  дежурство]]</f>
        <v>0</v>
      </c>
      <c r="O13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7" s="9">
        <v>145000</v>
      </c>
      <c r="R1397" s="9">
        <v>1660</v>
      </c>
      <c r="S1397" s="5">
        <v>1</v>
      </c>
      <c r="T13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табеле]])*S1397,0)</f>
        <v>9666.6666666666661</v>
      </c>
      <c r="U1397" s="5">
        <f>IF(Таблица1[[#This Row],[ТТН]]&gt;0,Таблица1[[#This Row],[Ставка за ТТН]]*Таблица1[[#This Row],[ТТН]],0)</f>
        <v>0</v>
      </c>
    </row>
    <row r="1398" spans="1:22" x14ac:dyDescent="0.25">
      <c r="A1398" t="s">
        <v>84</v>
      </c>
      <c r="B1398" s="24">
        <v>18</v>
      </c>
      <c r="C1398" t="s">
        <v>141</v>
      </c>
      <c r="D1398" t="s">
        <v>12</v>
      </c>
      <c r="E1398" t="s">
        <v>215</v>
      </c>
      <c r="F1398" t="s">
        <v>42</v>
      </c>
      <c r="H1398" t="s">
        <v>10</v>
      </c>
      <c r="I1398" t="s">
        <v>219</v>
      </c>
      <c r="J1398">
        <v>22</v>
      </c>
      <c r="K1398">
        <v>1</v>
      </c>
      <c r="N1398">
        <f>Таблица1[[#This Row],[Часов на заказчика  в работе]]+Таблица1[[#This Row],[Часов на заказчика  дежурство]]</f>
        <v>0</v>
      </c>
      <c r="O13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8" s="9">
        <v>145000</v>
      </c>
      <c r="R1398" s="9">
        <v>1660</v>
      </c>
      <c r="S1398" s="5">
        <v>1</v>
      </c>
      <c r="T13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табеле]])*S1398,0)</f>
        <v>9666.6666666666661</v>
      </c>
      <c r="U1398" s="5">
        <f>IF(Таблица1[[#This Row],[ТТН]]&gt;0,Таблица1[[#This Row],[Ставка за ТТН]]*Таблица1[[#This Row],[ТТН]],0)</f>
        <v>1660</v>
      </c>
      <c r="V1398" t="s">
        <v>95</v>
      </c>
    </row>
    <row r="1399" spans="1:22" x14ac:dyDescent="0.25">
      <c r="A1399" t="s">
        <v>84</v>
      </c>
      <c r="B1399" s="24">
        <v>19</v>
      </c>
      <c r="C1399" t="s">
        <v>141</v>
      </c>
      <c r="D1399" t="s">
        <v>12</v>
      </c>
      <c r="E1399" t="s">
        <v>215</v>
      </c>
      <c r="F1399" t="s">
        <v>42</v>
      </c>
      <c r="H1399" t="s">
        <v>10</v>
      </c>
      <c r="I1399" t="s">
        <v>219</v>
      </c>
      <c r="J1399">
        <v>22</v>
      </c>
      <c r="N1399">
        <f>Таблица1[[#This Row],[Часов на заказчика  в работе]]+Таблица1[[#This Row],[Часов на заказчика  дежурство]]</f>
        <v>0</v>
      </c>
      <c r="O13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399" s="9">
        <v>145000</v>
      </c>
      <c r="R1399" s="9">
        <v>1660</v>
      </c>
      <c r="S1399" s="5">
        <v>1</v>
      </c>
      <c r="T13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табеле]])*S1399,0)</f>
        <v>9666.6666666666661</v>
      </c>
      <c r="U1399" s="5">
        <f>IF(Таблица1[[#This Row],[ТТН]]&gt;0,Таблица1[[#This Row],[Ставка за ТТН]]*Таблица1[[#This Row],[ТТН]],0)</f>
        <v>0</v>
      </c>
    </row>
    <row r="1400" spans="1:22" x14ac:dyDescent="0.25">
      <c r="A1400" t="s">
        <v>84</v>
      </c>
      <c r="B1400" s="24">
        <v>20</v>
      </c>
      <c r="C1400" t="s">
        <v>141</v>
      </c>
      <c r="D1400" t="s">
        <v>12</v>
      </c>
      <c r="E1400" t="s">
        <v>215</v>
      </c>
      <c r="F1400" t="s">
        <v>42</v>
      </c>
      <c r="H1400" t="s">
        <v>10</v>
      </c>
      <c r="I1400" t="s">
        <v>219</v>
      </c>
      <c r="J1400">
        <v>11</v>
      </c>
      <c r="N1400">
        <f>Таблица1[[#This Row],[Часов на заказчика  в работе]]+Таблица1[[#This Row],[Часов на заказчика  дежурство]]</f>
        <v>0</v>
      </c>
      <c r="O14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0" s="9">
        <v>145000</v>
      </c>
      <c r="R1400" s="9">
        <v>1660</v>
      </c>
      <c r="S1400" s="5">
        <v>1</v>
      </c>
      <c r="T14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табеле]])*S1400,0)</f>
        <v>4833.333333333333</v>
      </c>
      <c r="U1400" s="5">
        <f>IF(Таблица1[[#This Row],[ТТН]]&gt;0,Таблица1[[#This Row],[Ставка за ТТН]]*Таблица1[[#This Row],[ТТН]],0)</f>
        <v>0</v>
      </c>
    </row>
    <row r="1401" spans="1:22" x14ac:dyDescent="0.25">
      <c r="A1401" t="s">
        <v>84</v>
      </c>
      <c r="B1401" s="24">
        <v>21</v>
      </c>
      <c r="C1401" t="s">
        <v>141</v>
      </c>
      <c r="D1401" t="s">
        <v>12</v>
      </c>
      <c r="E1401" t="s">
        <v>215</v>
      </c>
      <c r="F1401" t="s">
        <v>42</v>
      </c>
      <c r="H1401" t="s">
        <v>10</v>
      </c>
      <c r="I1401" t="s">
        <v>219</v>
      </c>
      <c r="J1401">
        <v>22</v>
      </c>
      <c r="N1401">
        <f>Таблица1[[#This Row],[Часов на заказчика  в работе]]+Таблица1[[#This Row],[Часов на заказчика  дежурство]]</f>
        <v>0</v>
      </c>
      <c r="O14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1" s="9">
        <v>145000</v>
      </c>
      <c r="R1401" s="9">
        <v>1660</v>
      </c>
      <c r="S1401" s="5">
        <v>1</v>
      </c>
      <c r="T14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табеле]])*S1401,0)</f>
        <v>9666.6666666666661</v>
      </c>
      <c r="U1401" s="5">
        <f>IF(Таблица1[[#This Row],[ТТН]]&gt;0,Таблица1[[#This Row],[Ставка за ТТН]]*Таблица1[[#This Row],[ТТН]],0)</f>
        <v>0</v>
      </c>
    </row>
    <row r="1402" spans="1:22" x14ac:dyDescent="0.25">
      <c r="A1402" t="s">
        <v>84</v>
      </c>
      <c r="B1402" s="24">
        <v>22</v>
      </c>
      <c r="C1402" t="s">
        <v>141</v>
      </c>
      <c r="D1402" t="s">
        <v>12</v>
      </c>
      <c r="E1402" t="s">
        <v>215</v>
      </c>
      <c r="F1402" t="s">
        <v>42</v>
      </c>
      <c r="H1402" t="s">
        <v>10</v>
      </c>
      <c r="I1402" t="s">
        <v>219</v>
      </c>
      <c r="J1402">
        <v>22</v>
      </c>
      <c r="N1402">
        <f>Таблица1[[#This Row],[Часов на заказчика  в работе]]+Таблица1[[#This Row],[Часов на заказчика  дежурство]]</f>
        <v>0</v>
      </c>
      <c r="O14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2" s="9">
        <v>145000</v>
      </c>
      <c r="R1402" s="9">
        <v>1660</v>
      </c>
      <c r="S1402" s="5">
        <v>1</v>
      </c>
      <c r="T14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табеле]])*S1402,0)</f>
        <v>9666.6666666666661</v>
      </c>
      <c r="U1402" s="5">
        <f>IF(Таблица1[[#This Row],[ТТН]]&gt;0,Таблица1[[#This Row],[Ставка за ТТН]]*Таблица1[[#This Row],[ТТН]],0)</f>
        <v>0</v>
      </c>
    </row>
    <row r="1403" spans="1:22" x14ac:dyDescent="0.25">
      <c r="A1403" t="s">
        <v>84</v>
      </c>
      <c r="B1403" s="24">
        <v>23</v>
      </c>
      <c r="C1403" t="s">
        <v>141</v>
      </c>
      <c r="D1403" t="s">
        <v>12</v>
      </c>
      <c r="E1403" t="s">
        <v>215</v>
      </c>
      <c r="F1403" t="s">
        <v>42</v>
      </c>
      <c r="H1403" t="s">
        <v>10</v>
      </c>
      <c r="I1403" t="s">
        <v>219</v>
      </c>
      <c r="J1403">
        <v>11</v>
      </c>
      <c r="N1403">
        <f>Таблица1[[#This Row],[Часов на заказчика  в работе]]+Таблица1[[#This Row],[Часов на заказчика  дежурство]]</f>
        <v>0</v>
      </c>
      <c r="O14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3" s="9">
        <v>145000</v>
      </c>
      <c r="R1403" s="9">
        <v>1660</v>
      </c>
      <c r="S1403" s="5">
        <v>1</v>
      </c>
      <c r="T14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табеле]])*S1403,0)</f>
        <v>4833.333333333333</v>
      </c>
      <c r="U1403" s="5">
        <f>IF(Таблица1[[#This Row],[ТТН]]&gt;0,Таблица1[[#This Row],[Ставка за ТТН]]*Таблица1[[#This Row],[ТТН]],0)</f>
        <v>0</v>
      </c>
    </row>
    <row r="1404" spans="1:22" x14ac:dyDescent="0.25">
      <c r="A1404" t="s">
        <v>84</v>
      </c>
      <c r="B1404" s="24">
        <v>24</v>
      </c>
      <c r="C1404" t="s">
        <v>141</v>
      </c>
      <c r="D1404" t="s">
        <v>12</v>
      </c>
      <c r="E1404" t="s">
        <v>215</v>
      </c>
      <c r="F1404" t="s">
        <v>42</v>
      </c>
      <c r="H1404" t="s">
        <v>10</v>
      </c>
      <c r="I1404" t="s">
        <v>219</v>
      </c>
      <c r="J1404">
        <v>11</v>
      </c>
      <c r="N1404">
        <f>Таблица1[[#This Row],[Часов на заказчика  в работе]]+Таблица1[[#This Row],[Часов на заказчика  дежурство]]</f>
        <v>0</v>
      </c>
      <c r="O14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4" s="9">
        <v>145000</v>
      </c>
      <c r="R1404" s="9">
        <v>1660</v>
      </c>
      <c r="S1404" s="5">
        <v>1</v>
      </c>
      <c r="T14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табеле]])*S1404,0)</f>
        <v>4833.333333333333</v>
      </c>
      <c r="U1404" s="5">
        <f>IF(Таблица1[[#This Row],[ТТН]]&gt;0,Таблица1[[#This Row],[Ставка за ТТН]]*Таблица1[[#This Row],[ТТН]],0)</f>
        <v>0</v>
      </c>
    </row>
    <row r="1405" spans="1:22" x14ac:dyDescent="0.25">
      <c r="A1405" t="s">
        <v>84</v>
      </c>
      <c r="B1405" s="24">
        <v>25</v>
      </c>
      <c r="C1405" t="s">
        <v>141</v>
      </c>
      <c r="D1405" t="s">
        <v>12</v>
      </c>
      <c r="E1405" t="s">
        <v>215</v>
      </c>
      <c r="F1405" t="s">
        <v>42</v>
      </c>
      <c r="H1405" t="s">
        <v>10</v>
      </c>
      <c r="I1405" t="s">
        <v>219</v>
      </c>
      <c r="J1405">
        <v>11</v>
      </c>
      <c r="N1405">
        <f>Таблица1[[#This Row],[Часов на заказчика  в работе]]+Таблица1[[#This Row],[Часов на заказчика  дежурство]]</f>
        <v>0</v>
      </c>
      <c r="O14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5" s="9">
        <v>145000</v>
      </c>
      <c r="R1405" s="9">
        <v>1660</v>
      </c>
      <c r="S1405" s="5">
        <v>1</v>
      </c>
      <c r="T14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табеле]])*S1405,0)</f>
        <v>4833.333333333333</v>
      </c>
      <c r="U1405" s="5">
        <f>IF(Таблица1[[#This Row],[ТТН]]&gt;0,Таблица1[[#This Row],[Ставка за ТТН]]*Таблица1[[#This Row],[ТТН]],0)</f>
        <v>0</v>
      </c>
    </row>
    <row r="1406" spans="1:22" x14ac:dyDescent="0.25">
      <c r="A1406" t="s">
        <v>84</v>
      </c>
      <c r="B1406" s="24">
        <v>26</v>
      </c>
      <c r="C1406" t="s">
        <v>141</v>
      </c>
      <c r="D1406" t="s">
        <v>12</v>
      </c>
      <c r="E1406" t="s">
        <v>215</v>
      </c>
      <c r="F1406" t="s">
        <v>42</v>
      </c>
      <c r="H1406" t="s">
        <v>10</v>
      </c>
      <c r="I1406" t="s">
        <v>219</v>
      </c>
      <c r="J1406">
        <v>11</v>
      </c>
      <c r="N1406">
        <f>Таблица1[[#This Row],[Часов на заказчика  в работе]]+Таблица1[[#This Row],[Часов на заказчика  дежурство]]</f>
        <v>0</v>
      </c>
      <c r="O14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6" s="9">
        <v>145000</v>
      </c>
      <c r="R1406" s="9">
        <v>1660</v>
      </c>
      <c r="S1406" s="5">
        <v>1</v>
      </c>
      <c r="T14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табеле]])*S1406,0)</f>
        <v>4833.333333333333</v>
      </c>
      <c r="U1406" s="5">
        <f>IF(Таблица1[[#This Row],[ТТН]]&gt;0,Таблица1[[#This Row],[Ставка за ТТН]]*Таблица1[[#This Row],[ТТН]],0)</f>
        <v>0</v>
      </c>
    </row>
    <row r="1407" spans="1:22" x14ac:dyDescent="0.25">
      <c r="A1407" t="s">
        <v>84</v>
      </c>
      <c r="B1407" s="24">
        <v>27</v>
      </c>
      <c r="C1407" t="s">
        <v>141</v>
      </c>
      <c r="D1407" t="s">
        <v>12</v>
      </c>
      <c r="E1407" t="s">
        <v>215</v>
      </c>
      <c r="F1407" t="s">
        <v>42</v>
      </c>
      <c r="H1407" t="s">
        <v>10</v>
      </c>
      <c r="I1407" t="s">
        <v>219</v>
      </c>
      <c r="J1407">
        <v>11</v>
      </c>
      <c r="N1407">
        <f>Таблица1[[#This Row],[Часов на заказчика  в работе]]+Таблица1[[#This Row],[Часов на заказчика  дежурство]]</f>
        <v>0</v>
      </c>
      <c r="O14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7" s="9">
        <v>145000</v>
      </c>
      <c r="R1407" s="9">
        <v>1660</v>
      </c>
      <c r="S1407" s="5">
        <v>1</v>
      </c>
      <c r="T14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табеле]])*S1407,0)</f>
        <v>4833.333333333333</v>
      </c>
      <c r="U1407" s="5">
        <f>IF(Таблица1[[#This Row],[ТТН]]&gt;0,Таблица1[[#This Row],[Ставка за ТТН]]*Таблица1[[#This Row],[ТТН]],0)</f>
        <v>0</v>
      </c>
    </row>
    <row r="1408" spans="1:22" x14ac:dyDescent="0.25">
      <c r="A1408" t="s">
        <v>84</v>
      </c>
      <c r="B1408" s="24">
        <v>28</v>
      </c>
      <c r="C1408" t="s">
        <v>141</v>
      </c>
      <c r="D1408" t="s">
        <v>12</v>
      </c>
      <c r="E1408" t="s">
        <v>215</v>
      </c>
      <c r="F1408" t="s">
        <v>42</v>
      </c>
      <c r="H1408" t="s">
        <v>10</v>
      </c>
      <c r="I1408" t="s">
        <v>219</v>
      </c>
      <c r="J1408">
        <v>11</v>
      </c>
      <c r="N1408">
        <f>Таблица1[[#This Row],[Часов на заказчика  в работе]]+Таблица1[[#This Row],[Часов на заказчика  дежурство]]</f>
        <v>0</v>
      </c>
      <c r="O14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8" s="9">
        <v>145000</v>
      </c>
      <c r="R1408" s="9">
        <v>1660</v>
      </c>
      <c r="S1408" s="5">
        <v>1</v>
      </c>
      <c r="T14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табеле]])*S1408,0)</f>
        <v>4833.333333333333</v>
      </c>
      <c r="U1408" s="5">
        <f>IF(Таблица1[[#This Row],[ТТН]]&gt;0,Таблица1[[#This Row],[Ставка за ТТН]]*Таблица1[[#This Row],[ТТН]],0)</f>
        <v>0</v>
      </c>
    </row>
    <row r="1409" spans="1:21" x14ac:dyDescent="0.25">
      <c r="A1409" t="s">
        <v>84</v>
      </c>
      <c r="B1409" s="24">
        <v>29</v>
      </c>
      <c r="C1409" t="s">
        <v>141</v>
      </c>
      <c r="D1409" t="s">
        <v>12</v>
      </c>
      <c r="E1409" t="s">
        <v>215</v>
      </c>
      <c r="F1409" t="s">
        <v>42</v>
      </c>
      <c r="H1409" t="s">
        <v>10</v>
      </c>
      <c r="I1409" t="s">
        <v>219</v>
      </c>
      <c r="J1409">
        <v>11</v>
      </c>
      <c r="N1409">
        <f>Таблица1[[#This Row],[Часов на заказчика  в работе]]+Таблица1[[#This Row],[Часов на заказчика  дежурство]]</f>
        <v>0</v>
      </c>
      <c r="O14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09" s="9">
        <v>145000</v>
      </c>
      <c r="R1409" s="9">
        <v>1660</v>
      </c>
      <c r="S1409" s="5">
        <v>1</v>
      </c>
      <c r="T14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табеле]])*S1409,0)</f>
        <v>4833.333333333333</v>
      </c>
      <c r="U1409" s="5">
        <f>IF(Таблица1[[#This Row],[ТТН]]&gt;0,Таблица1[[#This Row],[Ставка за ТТН]]*Таблица1[[#This Row],[ТТН]],0)</f>
        <v>0</v>
      </c>
    </row>
    <row r="1410" spans="1:21" x14ac:dyDescent="0.25">
      <c r="A1410" t="s">
        <v>84</v>
      </c>
      <c r="B1410" s="24">
        <v>30</v>
      </c>
      <c r="C1410" t="s">
        <v>142</v>
      </c>
      <c r="D1410" t="s">
        <v>12</v>
      </c>
      <c r="E1410" t="s">
        <v>215</v>
      </c>
      <c r="F1410" t="s">
        <v>42</v>
      </c>
      <c r="H1410" t="s">
        <v>10</v>
      </c>
      <c r="I1410" t="s">
        <v>219</v>
      </c>
      <c r="J1410">
        <v>11</v>
      </c>
      <c r="N1410">
        <f>Таблица1[[#This Row],[Часов на заказчика  в работе]]+Таблица1[[#This Row],[Часов на заказчика  дежурство]]</f>
        <v>0</v>
      </c>
      <c r="O14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0" s="9">
        <v>145000</v>
      </c>
      <c r="R1410" s="9">
        <v>1660</v>
      </c>
      <c r="S1410" s="5">
        <v>1</v>
      </c>
      <c r="T14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табеле]])*S1410,0)</f>
        <v>4833.333333333333</v>
      </c>
      <c r="U1410" s="5">
        <f>IF(Таблица1[[#This Row],[ТТН]]&gt;0,Таблица1[[#This Row],[Ставка за ТТН]]*Таблица1[[#This Row],[ТТН]],0)</f>
        <v>0</v>
      </c>
    </row>
    <row r="1411" spans="1:21" x14ac:dyDescent="0.25">
      <c r="A1411" t="s">
        <v>84</v>
      </c>
      <c r="B1411" s="24">
        <v>1</v>
      </c>
      <c r="C1411" t="s">
        <v>142</v>
      </c>
      <c r="D1411" t="s">
        <v>28</v>
      </c>
      <c r="E1411" t="s">
        <v>215</v>
      </c>
      <c r="F1411" t="s">
        <v>28</v>
      </c>
      <c r="H1411" t="s">
        <v>10</v>
      </c>
      <c r="I1411" t="s">
        <v>219</v>
      </c>
      <c r="J1411">
        <v>16</v>
      </c>
      <c r="N1411">
        <f>Таблица1[[#This Row],[Часов на заказчика  в работе]]+Таблица1[[#This Row],[Часов на заказчика  дежурство]]</f>
        <v>0</v>
      </c>
      <c r="O14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1" s="9">
        <v>110000</v>
      </c>
      <c r="R1411" s="9"/>
      <c r="S1411" s="5">
        <v>1</v>
      </c>
      <c r="T14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табеле]])*S1411,0)</f>
        <v>5333.333333333333</v>
      </c>
      <c r="U1411" s="5">
        <f>IF(Таблица1[[#This Row],[ТТН]]&gt;0,Таблица1[[#This Row],[Ставка за ТТН]]*Таблица1[[#This Row],[ТТН]],0)</f>
        <v>0</v>
      </c>
    </row>
    <row r="1412" spans="1:21" x14ac:dyDescent="0.25">
      <c r="A1412" t="s">
        <v>84</v>
      </c>
      <c r="B1412" s="24">
        <v>2</v>
      </c>
      <c r="C1412" t="s">
        <v>142</v>
      </c>
      <c r="D1412" t="s">
        <v>28</v>
      </c>
      <c r="E1412" t="s">
        <v>215</v>
      </c>
      <c r="F1412" t="s">
        <v>28</v>
      </c>
      <c r="H1412" t="s">
        <v>10</v>
      </c>
      <c r="I1412" t="s">
        <v>219</v>
      </c>
      <c r="J1412">
        <v>16</v>
      </c>
      <c r="N1412">
        <f>Таблица1[[#This Row],[Часов на заказчика  в работе]]+Таблица1[[#This Row],[Часов на заказчика  дежурство]]</f>
        <v>0</v>
      </c>
      <c r="O14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2" s="9">
        <v>110000</v>
      </c>
      <c r="R1412" s="9"/>
      <c r="S1412" s="5">
        <v>1</v>
      </c>
      <c r="T14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табеле]])*S1412,0)</f>
        <v>5333.333333333333</v>
      </c>
      <c r="U1412" s="5">
        <f>IF(Таблица1[[#This Row],[ТТН]]&gt;0,Таблица1[[#This Row],[Ставка за ТТН]]*Таблица1[[#This Row],[ТТН]],0)</f>
        <v>0</v>
      </c>
    </row>
    <row r="1413" spans="1:21" x14ac:dyDescent="0.25">
      <c r="A1413" t="s">
        <v>84</v>
      </c>
      <c r="B1413" s="24">
        <v>3</v>
      </c>
      <c r="C1413" t="s">
        <v>142</v>
      </c>
      <c r="D1413" t="s">
        <v>28</v>
      </c>
      <c r="E1413" t="s">
        <v>215</v>
      </c>
      <c r="F1413" t="s">
        <v>28</v>
      </c>
      <c r="H1413" t="s">
        <v>10</v>
      </c>
      <c r="I1413" t="s">
        <v>219</v>
      </c>
      <c r="J1413">
        <v>16</v>
      </c>
      <c r="N1413">
        <f>Таблица1[[#This Row],[Часов на заказчика  в работе]]+Таблица1[[#This Row],[Часов на заказчика  дежурство]]</f>
        <v>0</v>
      </c>
      <c r="O14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3" s="9">
        <v>110000</v>
      </c>
      <c r="R1413" s="9"/>
      <c r="S1413" s="5">
        <v>1</v>
      </c>
      <c r="T14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табеле]])*S1413,0)</f>
        <v>5333.333333333333</v>
      </c>
      <c r="U1413" s="5">
        <f>IF(Таблица1[[#This Row],[ТТН]]&gt;0,Таблица1[[#This Row],[Ставка за ТТН]]*Таблица1[[#This Row],[ТТН]],0)</f>
        <v>0</v>
      </c>
    </row>
    <row r="1414" spans="1:21" x14ac:dyDescent="0.25">
      <c r="A1414" t="s">
        <v>84</v>
      </c>
      <c r="B1414" s="24">
        <v>4</v>
      </c>
      <c r="C1414" t="s">
        <v>142</v>
      </c>
      <c r="D1414" t="s">
        <v>28</v>
      </c>
      <c r="E1414" t="s">
        <v>215</v>
      </c>
      <c r="F1414" t="s">
        <v>28</v>
      </c>
      <c r="H1414" t="s">
        <v>10</v>
      </c>
      <c r="I1414" t="s">
        <v>219</v>
      </c>
      <c r="J1414">
        <v>16</v>
      </c>
      <c r="N1414">
        <f>Таблица1[[#This Row],[Часов на заказчика  в работе]]+Таблица1[[#This Row],[Часов на заказчика  дежурство]]</f>
        <v>0</v>
      </c>
      <c r="O14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4" s="9">
        <v>110000</v>
      </c>
      <c r="R1414" s="9"/>
      <c r="S1414" s="5">
        <v>1</v>
      </c>
      <c r="T14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табеле]])*S1414,0)</f>
        <v>5333.333333333333</v>
      </c>
      <c r="U1414" s="5">
        <f>IF(Таблица1[[#This Row],[ТТН]]&gt;0,Таблица1[[#This Row],[Ставка за ТТН]]*Таблица1[[#This Row],[ТТН]],0)</f>
        <v>0</v>
      </c>
    </row>
    <row r="1415" spans="1:21" x14ac:dyDescent="0.25">
      <c r="A1415" t="s">
        <v>84</v>
      </c>
      <c r="B1415" s="24">
        <v>5</v>
      </c>
      <c r="C1415" t="s">
        <v>142</v>
      </c>
      <c r="D1415" t="s">
        <v>28</v>
      </c>
      <c r="E1415" t="s">
        <v>215</v>
      </c>
      <c r="F1415" t="s">
        <v>28</v>
      </c>
      <c r="H1415" t="s">
        <v>10</v>
      </c>
      <c r="I1415" t="s">
        <v>219</v>
      </c>
      <c r="J1415">
        <v>16</v>
      </c>
      <c r="N1415">
        <f>Таблица1[[#This Row],[Часов на заказчика  в работе]]+Таблица1[[#This Row],[Часов на заказчика  дежурство]]</f>
        <v>0</v>
      </c>
      <c r="O14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5" s="9">
        <v>110000</v>
      </c>
      <c r="R1415" s="9"/>
      <c r="S1415" s="5">
        <v>1</v>
      </c>
      <c r="T14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табеле]])*S1415,0)</f>
        <v>5333.333333333333</v>
      </c>
      <c r="U1415" s="5">
        <f>IF(Таблица1[[#This Row],[ТТН]]&gt;0,Таблица1[[#This Row],[Ставка за ТТН]]*Таблица1[[#This Row],[ТТН]],0)</f>
        <v>0</v>
      </c>
    </row>
    <row r="1416" spans="1:21" x14ac:dyDescent="0.25">
      <c r="A1416" t="s">
        <v>84</v>
      </c>
      <c r="B1416" s="24">
        <v>6</v>
      </c>
      <c r="C1416" t="s">
        <v>142</v>
      </c>
      <c r="D1416" t="s">
        <v>28</v>
      </c>
      <c r="E1416" t="s">
        <v>215</v>
      </c>
      <c r="F1416" t="s">
        <v>28</v>
      </c>
      <c r="H1416" t="s">
        <v>10</v>
      </c>
      <c r="I1416" t="s">
        <v>219</v>
      </c>
      <c r="J1416">
        <v>16</v>
      </c>
      <c r="N1416">
        <f>Таблица1[[#This Row],[Часов на заказчика  в работе]]+Таблица1[[#This Row],[Часов на заказчика  дежурство]]</f>
        <v>0</v>
      </c>
      <c r="O14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6" s="9">
        <v>110000</v>
      </c>
      <c r="R1416" s="9"/>
      <c r="S1416" s="5">
        <v>1</v>
      </c>
      <c r="T14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табеле]])*S1416,0)</f>
        <v>5333.333333333333</v>
      </c>
      <c r="U1416" s="5">
        <f>IF(Таблица1[[#This Row],[ТТН]]&gt;0,Таблица1[[#This Row],[Ставка за ТТН]]*Таблица1[[#This Row],[ТТН]],0)</f>
        <v>0</v>
      </c>
    </row>
    <row r="1417" spans="1:21" x14ac:dyDescent="0.25">
      <c r="A1417" t="s">
        <v>84</v>
      </c>
      <c r="B1417" s="24">
        <v>7</v>
      </c>
      <c r="C1417" t="s">
        <v>142</v>
      </c>
      <c r="D1417" t="s">
        <v>28</v>
      </c>
      <c r="E1417" t="s">
        <v>215</v>
      </c>
      <c r="F1417" t="s">
        <v>28</v>
      </c>
      <c r="H1417" t="s">
        <v>10</v>
      </c>
      <c r="I1417" t="s">
        <v>219</v>
      </c>
      <c r="J1417">
        <v>16</v>
      </c>
      <c r="N1417">
        <f>Таблица1[[#This Row],[Часов на заказчика  в работе]]+Таблица1[[#This Row],[Часов на заказчика  дежурство]]</f>
        <v>0</v>
      </c>
      <c r="O14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7" s="9">
        <v>110000</v>
      </c>
      <c r="R1417" s="9"/>
      <c r="S1417" s="5">
        <v>1</v>
      </c>
      <c r="T14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табеле]])*S1417,0)</f>
        <v>5333.333333333333</v>
      </c>
      <c r="U1417" s="5">
        <f>IF(Таблица1[[#This Row],[ТТН]]&gt;0,Таблица1[[#This Row],[Ставка за ТТН]]*Таблица1[[#This Row],[ТТН]],0)</f>
        <v>0</v>
      </c>
    </row>
    <row r="1418" spans="1:21" x14ac:dyDescent="0.25">
      <c r="A1418" t="s">
        <v>84</v>
      </c>
      <c r="B1418" s="24">
        <v>8</v>
      </c>
      <c r="C1418" t="s">
        <v>142</v>
      </c>
      <c r="D1418" t="s">
        <v>28</v>
      </c>
      <c r="E1418" t="s">
        <v>215</v>
      </c>
      <c r="F1418" t="s">
        <v>28</v>
      </c>
      <c r="H1418" t="s">
        <v>10</v>
      </c>
      <c r="I1418" t="s">
        <v>219</v>
      </c>
      <c r="J1418">
        <v>16</v>
      </c>
      <c r="N1418">
        <f>Таблица1[[#This Row],[Часов на заказчика  в работе]]+Таблица1[[#This Row],[Часов на заказчика  дежурство]]</f>
        <v>0</v>
      </c>
      <c r="O14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8" s="9">
        <v>110000</v>
      </c>
      <c r="R1418" s="9"/>
      <c r="S1418" s="5">
        <v>1</v>
      </c>
      <c r="T14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табеле]])*S1418,0)</f>
        <v>5333.333333333333</v>
      </c>
      <c r="U1418" s="5">
        <f>IF(Таблица1[[#This Row],[ТТН]]&gt;0,Таблица1[[#This Row],[Ставка за ТТН]]*Таблица1[[#This Row],[ТТН]],0)</f>
        <v>0</v>
      </c>
    </row>
    <row r="1419" spans="1:21" x14ac:dyDescent="0.25">
      <c r="A1419" t="s">
        <v>84</v>
      </c>
      <c r="B1419" s="24">
        <v>9</v>
      </c>
      <c r="C1419" t="s">
        <v>142</v>
      </c>
      <c r="D1419" t="s">
        <v>28</v>
      </c>
      <c r="E1419" t="s">
        <v>215</v>
      </c>
      <c r="F1419" t="s">
        <v>28</v>
      </c>
      <c r="H1419" t="s">
        <v>10</v>
      </c>
      <c r="I1419" t="s">
        <v>219</v>
      </c>
      <c r="J1419">
        <v>16</v>
      </c>
      <c r="N1419">
        <f>Таблица1[[#This Row],[Часов на заказчика  в работе]]+Таблица1[[#This Row],[Часов на заказчика  дежурство]]</f>
        <v>0</v>
      </c>
      <c r="O14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19" s="9">
        <v>110000</v>
      </c>
      <c r="R1419" s="9"/>
      <c r="S1419" s="5">
        <v>1</v>
      </c>
      <c r="T14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табеле]])*S1419,0)</f>
        <v>5333.333333333333</v>
      </c>
      <c r="U1419" s="5">
        <f>IF(Таблица1[[#This Row],[ТТН]]&gt;0,Таблица1[[#This Row],[Ставка за ТТН]]*Таблица1[[#This Row],[ТТН]],0)</f>
        <v>0</v>
      </c>
    </row>
    <row r="1420" spans="1:21" x14ac:dyDescent="0.25">
      <c r="A1420" t="s">
        <v>84</v>
      </c>
      <c r="B1420" s="24">
        <v>10</v>
      </c>
      <c r="C1420" t="s">
        <v>142</v>
      </c>
      <c r="D1420" t="s">
        <v>28</v>
      </c>
      <c r="E1420" t="s">
        <v>215</v>
      </c>
      <c r="F1420" t="s">
        <v>28</v>
      </c>
      <c r="H1420" t="s">
        <v>24</v>
      </c>
      <c r="I1420" t="s">
        <v>217</v>
      </c>
      <c r="J1420">
        <v>8</v>
      </c>
      <c r="N1420">
        <f>Таблица1[[#This Row],[Часов на заказчика  в работе]]+Таблица1[[#This Row],[Часов на заказчика  дежурство]]</f>
        <v>0</v>
      </c>
      <c r="O14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0" s="9">
        <v>110000</v>
      </c>
      <c r="R1420" s="9"/>
      <c r="S1420" s="5">
        <v>1</v>
      </c>
      <c r="T14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табеле]])*S1420,0)</f>
        <v>0</v>
      </c>
      <c r="U1420" s="5">
        <f>IF(Таблица1[[#This Row],[ТТН]]&gt;0,Таблица1[[#This Row],[Ставка за ТТН]]*Таблица1[[#This Row],[ТТН]],0)</f>
        <v>0</v>
      </c>
    </row>
    <row r="1421" spans="1:21" x14ac:dyDescent="0.25">
      <c r="A1421" t="s">
        <v>84</v>
      </c>
      <c r="B1421" s="24">
        <v>11</v>
      </c>
      <c r="C1421" t="s">
        <v>142</v>
      </c>
      <c r="D1421" t="s">
        <v>28</v>
      </c>
      <c r="E1421" t="s">
        <v>215</v>
      </c>
      <c r="F1421" t="s">
        <v>28</v>
      </c>
      <c r="H1421" t="s">
        <v>24</v>
      </c>
      <c r="I1421" t="s">
        <v>217</v>
      </c>
      <c r="J1421">
        <v>8</v>
      </c>
      <c r="N1421">
        <f>Таблица1[[#This Row],[Часов на заказчика  в работе]]+Таблица1[[#This Row],[Часов на заказчика  дежурство]]</f>
        <v>0</v>
      </c>
      <c r="O14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1" s="9">
        <v>110000</v>
      </c>
      <c r="R1421" s="9"/>
      <c r="S1421" s="5">
        <v>1</v>
      </c>
      <c r="T14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табеле]])*S1421,0)</f>
        <v>0</v>
      </c>
      <c r="U1421" s="5">
        <f>IF(Таблица1[[#This Row],[ТТН]]&gt;0,Таблица1[[#This Row],[Ставка за ТТН]]*Таблица1[[#This Row],[ТТН]],0)</f>
        <v>0</v>
      </c>
    </row>
    <row r="1422" spans="1:21" x14ac:dyDescent="0.25">
      <c r="A1422" t="s">
        <v>84</v>
      </c>
      <c r="B1422" s="24">
        <v>12</v>
      </c>
      <c r="C1422" t="s">
        <v>142</v>
      </c>
      <c r="D1422" t="s">
        <v>28</v>
      </c>
      <c r="E1422" t="s">
        <v>215</v>
      </c>
      <c r="F1422" t="s">
        <v>28</v>
      </c>
      <c r="H1422" t="s">
        <v>24</v>
      </c>
      <c r="I1422" t="s">
        <v>217</v>
      </c>
      <c r="J1422">
        <v>8</v>
      </c>
      <c r="N1422">
        <f>Таблица1[[#This Row],[Часов на заказчика  в работе]]+Таблица1[[#This Row],[Часов на заказчика  дежурство]]</f>
        <v>0</v>
      </c>
      <c r="O14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2" s="9">
        <v>110000</v>
      </c>
      <c r="R1422" s="9"/>
      <c r="S1422" s="5">
        <v>1</v>
      </c>
      <c r="T14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табеле]])*S1422,0)</f>
        <v>0</v>
      </c>
      <c r="U1422" s="5">
        <f>IF(Таблица1[[#This Row],[ТТН]]&gt;0,Таблица1[[#This Row],[Ставка за ТТН]]*Таблица1[[#This Row],[ТТН]],0)</f>
        <v>0</v>
      </c>
    </row>
    <row r="1423" spans="1:21" x14ac:dyDescent="0.25">
      <c r="A1423" t="s">
        <v>84</v>
      </c>
      <c r="B1423" s="24">
        <v>13</v>
      </c>
      <c r="C1423" t="s">
        <v>142</v>
      </c>
      <c r="D1423" t="s">
        <v>28</v>
      </c>
      <c r="E1423" t="s">
        <v>215</v>
      </c>
      <c r="F1423" t="s">
        <v>28</v>
      </c>
      <c r="H1423" t="s">
        <v>24</v>
      </c>
      <c r="I1423" t="s">
        <v>217</v>
      </c>
      <c r="J1423">
        <v>8</v>
      </c>
      <c r="N1423">
        <f>Таблица1[[#This Row],[Часов на заказчика  в работе]]+Таблица1[[#This Row],[Часов на заказчика  дежурство]]</f>
        <v>0</v>
      </c>
      <c r="O14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3" s="9">
        <v>110000</v>
      </c>
      <c r="R1423" s="9"/>
      <c r="S1423" s="5">
        <v>1</v>
      </c>
      <c r="T14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табеле]])*S1423,0)</f>
        <v>0</v>
      </c>
      <c r="U1423" s="5">
        <f>IF(Таблица1[[#This Row],[ТТН]]&gt;0,Таблица1[[#This Row],[Ставка за ТТН]]*Таблица1[[#This Row],[ТТН]],0)</f>
        <v>0</v>
      </c>
    </row>
    <row r="1424" spans="1:21" x14ac:dyDescent="0.25">
      <c r="A1424" t="s">
        <v>84</v>
      </c>
      <c r="B1424" s="24">
        <v>14</v>
      </c>
      <c r="C1424" t="s">
        <v>142</v>
      </c>
      <c r="D1424" t="s">
        <v>28</v>
      </c>
      <c r="E1424" t="s">
        <v>215</v>
      </c>
      <c r="F1424" t="s">
        <v>28</v>
      </c>
      <c r="H1424" t="s">
        <v>30</v>
      </c>
      <c r="I1424" t="s">
        <v>217</v>
      </c>
      <c r="J1424">
        <v>1</v>
      </c>
      <c r="N1424">
        <f>Таблица1[[#This Row],[Часов на заказчика  в работе]]+Таблица1[[#This Row],[Часов на заказчика  дежурство]]</f>
        <v>0</v>
      </c>
      <c r="O14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4" s="9">
        <v>110000</v>
      </c>
      <c r="R1424" s="9"/>
      <c r="S1424" s="5">
        <v>1</v>
      </c>
      <c r="T14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табеле]])*S1424,0)</f>
        <v>0</v>
      </c>
      <c r="U1424" s="5">
        <f>IF(Таблица1[[#This Row],[ТТН]]&gt;0,Таблица1[[#This Row],[Ставка за ТТН]]*Таблица1[[#This Row],[ТТН]],0)</f>
        <v>0</v>
      </c>
    </row>
    <row r="1425" spans="1:21" x14ac:dyDescent="0.25">
      <c r="A1425" t="s">
        <v>84</v>
      </c>
      <c r="B1425" s="24">
        <v>15</v>
      </c>
      <c r="C1425" t="s">
        <v>142</v>
      </c>
      <c r="D1425" t="s">
        <v>28</v>
      </c>
      <c r="E1425" t="s">
        <v>215</v>
      </c>
      <c r="F1425" t="s">
        <v>28</v>
      </c>
      <c r="H1425" t="s">
        <v>29</v>
      </c>
      <c r="I1425" t="s">
        <v>217</v>
      </c>
      <c r="J1425">
        <v>8</v>
      </c>
      <c r="N1425">
        <f>Таблица1[[#This Row],[Часов на заказчика  в работе]]+Таблица1[[#This Row],[Часов на заказчика  дежурство]]</f>
        <v>0</v>
      </c>
      <c r="O14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5" s="9">
        <v>110000</v>
      </c>
      <c r="R1425" s="9"/>
      <c r="S1425" s="5">
        <v>1</v>
      </c>
      <c r="T14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табеле]])*S1425,0)</f>
        <v>0</v>
      </c>
      <c r="U1425" s="5">
        <f>IF(Таблица1[[#This Row],[ТТН]]&gt;0,Таблица1[[#This Row],[Ставка за ТТН]]*Таблица1[[#This Row],[ТТН]],0)</f>
        <v>0</v>
      </c>
    </row>
    <row r="1426" spans="1:21" x14ac:dyDescent="0.25">
      <c r="A1426" t="s">
        <v>84</v>
      </c>
      <c r="B1426" s="24">
        <v>16</v>
      </c>
      <c r="C1426" t="s">
        <v>142</v>
      </c>
      <c r="D1426" t="s">
        <v>28</v>
      </c>
      <c r="E1426" t="s">
        <v>215</v>
      </c>
      <c r="F1426" t="s">
        <v>28</v>
      </c>
      <c r="H1426" t="s">
        <v>29</v>
      </c>
      <c r="I1426" t="s">
        <v>217</v>
      </c>
      <c r="J1426">
        <v>8</v>
      </c>
      <c r="N1426">
        <f>Таблица1[[#This Row],[Часов на заказчика  в работе]]+Таблица1[[#This Row],[Часов на заказчика  дежурство]]</f>
        <v>0</v>
      </c>
      <c r="O14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6" s="9">
        <v>110000</v>
      </c>
      <c r="R1426" s="9"/>
      <c r="S1426" s="5">
        <v>1</v>
      </c>
      <c r="T14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табеле]])*S1426,0)</f>
        <v>0</v>
      </c>
      <c r="U1426" s="5">
        <f>IF(Таблица1[[#This Row],[ТТН]]&gt;0,Таблица1[[#This Row],[Ставка за ТТН]]*Таблица1[[#This Row],[ТТН]],0)</f>
        <v>0</v>
      </c>
    </row>
    <row r="1427" spans="1:21" x14ac:dyDescent="0.25">
      <c r="A1427" t="s">
        <v>84</v>
      </c>
      <c r="B1427" s="24">
        <v>17</v>
      </c>
      <c r="C1427" t="s">
        <v>142</v>
      </c>
      <c r="D1427" t="s">
        <v>28</v>
      </c>
      <c r="E1427" t="s">
        <v>215</v>
      </c>
      <c r="F1427" t="s">
        <v>28</v>
      </c>
      <c r="H1427" t="s">
        <v>29</v>
      </c>
      <c r="I1427" t="s">
        <v>217</v>
      </c>
      <c r="J1427">
        <v>8</v>
      </c>
      <c r="N1427">
        <f>Таблица1[[#This Row],[Часов на заказчика  в работе]]+Таблица1[[#This Row],[Часов на заказчика  дежурство]]</f>
        <v>0</v>
      </c>
      <c r="O14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7" s="9">
        <v>110000</v>
      </c>
      <c r="R1427" s="9"/>
      <c r="S1427" s="5">
        <v>1</v>
      </c>
      <c r="T14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табеле]])*S1427,0)</f>
        <v>0</v>
      </c>
      <c r="U1427" s="5">
        <f>IF(Таблица1[[#This Row],[ТТН]]&gt;0,Таблица1[[#This Row],[Ставка за ТТН]]*Таблица1[[#This Row],[ТТН]],0)</f>
        <v>0</v>
      </c>
    </row>
    <row r="1428" spans="1:21" x14ac:dyDescent="0.25">
      <c r="A1428" t="s">
        <v>84</v>
      </c>
      <c r="B1428" s="24">
        <v>18</v>
      </c>
      <c r="C1428" t="s">
        <v>142</v>
      </c>
      <c r="D1428" t="s">
        <v>28</v>
      </c>
      <c r="E1428" t="s">
        <v>215</v>
      </c>
      <c r="F1428" t="s">
        <v>28</v>
      </c>
      <c r="H1428" t="s">
        <v>29</v>
      </c>
      <c r="I1428" t="s">
        <v>217</v>
      </c>
      <c r="J1428">
        <v>8</v>
      </c>
      <c r="N1428">
        <f>Таблица1[[#This Row],[Часов на заказчика  в работе]]+Таблица1[[#This Row],[Часов на заказчика  дежурство]]</f>
        <v>0</v>
      </c>
      <c r="O14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8" s="9">
        <v>110000</v>
      </c>
      <c r="R1428" s="9"/>
      <c r="S1428" s="5">
        <v>1</v>
      </c>
      <c r="T14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табеле]])*S1428,0)</f>
        <v>0</v>
      </c>
      <c r="U1428" s="5">
        <f>IF(Таблица1[[#This Row],[ТТН]]&gt;0,Таблица1[[#This Row],[Ставка за ТТН]]*Таблица1[[#This Row],[ТТН]],0)</f>
        <v>0</v>
      </c>
    </row>
    <row r="1429" spans="1:21" x14ac:dyDescent="0.25">
      <c r="A1429" t="s">
        <v>84</v>
      </c>
      <c r="B1429" s="24">
        <v>19</v>
      </c>
      <c r="C1429" t="s">
        <v>142</v>
      </c>
      <c r="D1429" t="s">
        <v>28</v>
      </c>
      <c r="E1429" t="s">
        <v>215</v>
      </c>
      <c r="F1429" t="s">
        <v>28</v>
      </c>
      <c r="H1429" t="s">
        <v>29</v>
      </c>
      <c r="I1429" t="s">
        <v>217</v>
      </c>
      <c r="J1429">
        <v>8</v>
      </c>
      <c r="N1429">
        <f>Таблица1[[#This Row],[Часов на заказчика  в работе]]+Таблица1[[#This Row],[Часов на заказчика  дежурство]]</f>
        <v>0</v>
      </c>
      <c r="O14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29" s="9">
        <v>110000</v>
      </c>
      <c r="R1429" s="9"/>
      <c r="S1429" s="5">
        <v>1</v>
      </c>
      <c r="T14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табеле]])*S1429,0)</f>
        <v>0</v>
      </c>
      <c r="U1429" s="5">
        <f>IF(Таблица1[[#This Row],[ТТН]]&gt;0,Таблица1[[#This Row],[Ставка за ТТН]]*Таблица1[[#This Row],[ТТН]],0)</f>
        <v>0</v>
      </c>
    </row>
    <row r="1430" spans="1:21" x14ac:dyDescent="0.25">
      <c r="A1430" t="s">
        <v>84</v>
      </c>
      <c r="B1430" s="24">
        <v>20</v>
      </c>
      <c r="C1430" t="s">
        <v>142</v>
      </c>
      <c r="D1430" t="s">
        <v>28</v>
      </c>
      <c r="E1430" t="s">
        <v>215</v>
      </c>
      <c r="F1430" t="s">
        <v>28</v>
      </c>
      <c r="H1430" t="s">
        <v>30</v>
      </c>
      <c r="I1430" t="s">
        <v>217</v>
      </c>
      <c r="J1430">
        <v>1</v>
      </c>
      <c r="N1430">
        <f>Таблица1[[#This Row],[Часов на заказчика  в работе]]+Таблица1[[#This Row],[Часов на заказчика  дежурство]]</f>
        <v>0</v>
      </c>
      <c r="O14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0" s="9">
        <v>110000</v>
      </c>
      <c r="R1430" s="9"/>
      <c r="S1430" s="5">
        <v>1</v>
      </c>
      <c r="T14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табеле]])*S1430,0)</f>
        <v>0</v>
      </c>
      <c r="U1430" s="5">
        <f>IF(Таблица1[[#This Row],[ТТН]]&gt;0,Таблица1[[#This Row],[Ставка за ТТН]]*Таблица1[[#This Row],[ТТН]],0)</f>
        <v>0</v>
      </c>
    </row>
    <row r="1431" spans="1:21" x14ac:dyDescent="0.25">
      <c r="A1431" t="s">
        <v>84</v>
      </c>
      <c r="B1431" s="24">
        <v>21</v>
      </c>
      <c r="C1431" t="s">
        <v>142</v>
      </c>
      <c r="D1431" t="s">
        <v>28</v>
      </c>
      <c r="E1431" t="s">
        <v>215</v>
      </c>
      <c r="F1431" t="s">
        <v>28</v>
      </c>
      <c r="H1431" t="s">
        <v>30</v>
      </c>
      <c r="I1431" t="s">
        <v>217</v>
      </c>
      <c r="J1431">
        <v>1</v>
      </c>
      <c r="N1431">
        <f>Таблица1[[#This Row],[Часов на заказчика  в работе]]+Таблица1[[#This Row],[Часов на заказчика  дежурство]]</f>
        <v>0</v>
      </c>
      <c r="O14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1" s="9">
        <v>110000</v>
      </c>
      <c r="R1431" s="9"/>
      <c r="S1431" s="5">
        <v>1</v>
      </c>
      <c r="T14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табеле]])*S1431,0)</f>
        <v>0</v>
      </c>
      <c r="U1431" s="5">
        <f>IF(Таблица1[[#This Row],[ТТН]]&gt;0,Таблица1[[#This Row],[Ставка за ТТН]]*Таблица1[[#This Row],[ТТН]],0)</f>
        <v>0</v>
      </c>
    </row>
    <row r="1432" spans="1:21" x14ac:dyDescent="0.25">
      <c r="A1432" t="s">
        <v>84</v>
      </c>
      <c r="B1432" s="24">
        <v>22</v>
      </c>
      <c r="C1432" t="s">
        <v>142</v>
      </c>
      <c r="D1432" t="s">
        <v>28</v>
      </c>
      <c r="E1432" t="s">
        <v>215</v>
      </c>
      <c r="F1432" t="s">
        <v>28</v>
      </c>
      <c r="H1432" t="s">
        <v>29</v>
      </c>
      <c r="I1432" t="s">
        <v>217</v>
      </c>
      <c r="J1432">
        <v>8</v>
      </c>
      <c r="N1432">
        <f>Таблица1[[#This Row],[Часов на заказчика  в работе]]+Таблица1[[#This Row],[Часов на заказчика  дежурство]]</f>
        <v>0</v>
      </c>
      <c r="O14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2" s="9">
        <v>110000</v>
      </c>
      <c r="R1432" s="9"/>
      <c r="S1432" s="5">
        <v>1</v>
      </c>
      <c r="T14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табеле]])*S1432,0)</f>
        <v>0</v>
      </c>
      <c r="U1432" s="5">
        <f>IF(Таблица1[[#This Row],[ТТН]]&gt;0,Таблица1[[#This Row],[Ставка за ТТН]]*Таблица1[[#This Row],[ТТН]],0)</f>
        <v>0</v>
      </c>
    </row>
    <row r="1433" spans="1:21" x14ac:dyDescent="0.25">
      <c r="A1433" t="s">
        <v>84</v>
      </c>
      <c r="B1433" s="24">
        <v>23</v>
      </c>
      <c r="C1433" t="s">
        <v>142</v>
      </c>
      <c r="D1433" t="s">
        <v>28</v>
      </c>
      <c r="E1433" t="s">
        <v>215</v>
      </c>
      <c r="F1433" t="s">
        <v>28</v>
      </c>
      <c r="H1433" t="s">
        <v>29</v>
      </c>
      <c r="I1433" t="s">
        <v>217</v>
      </c>
      <c r="J1433">
        <v>8</v>
      </c>
      <c r="N1433">
        <f>Таблица1[[#This Row],[Часов на заказчика  в работе]]+Таблица1[[#This Row],[Часов на заказчика  дежурство]]</f>
        <v>0</v>
      </c>
      <c r="O14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3" s="9">
        <v>110000</v>
      </c>
      <c r="R1433" s="9"/>
      <c r="S1433" s="5">
        <v>1</v>
      </c>
      <c r="T14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табеле]])*S1433,0)</f>
        <v>0</v>
      </c>
      <c r="U1433" s="5">
        <f>IF(Таблица1[[#This Row],[ТТН]]&gt;0,Таблица1[[#This Row],[Ставка за ТТН]]*Таблица1[[#This Row],[ТТН]],0)</f>
        <v>0</v>
      </c>
    </row>
    <row r="1434" spans="1:21" x14ac:dyDescent="0.25">
      <c r="A1434" t="s">
        <v>84</v>
      </c>
      <c r="B1434" s="24">
        <v>24</v>
      </c>
      <c r="C1434" t="s">
        <v>142</v>
      </c>
      <c r="D1434" t="s">
        <v>28</v>
      </c>
      <c r="E1434" t="s">
        <v>215</v>
      </c>
      <c r="F1434" t="s">
        <v>28</v>
      </c>
      <c r="H1434" t="s">
        <v>29</v>
      </c>
      <c r="I1434" t="s">
        <v>217</v>
      </c>
      <c r="J1434">
        <v>8</v>
      </c>
      <c r="N1434">
        <f>Таблица1[[#This Row],[Часов на заказчика  в работе]]+Таблица1[[#This Row],[Часов на заказчика  дежурство]]</f>
        <v>0</v>
      </c>
      <c r="O14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4" s="9">
        <v>110000</v>
      </c>
      <c r="R1434" s="9"/>
      <c r="S1434" s="5">
        <v>1</v>
      </c>
      <c r="T14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табеле]])*S1434,0)</f>
        <v>0</v>
      </c>
      <c r="U1434" s="5">
        <f>IF(Таблица1[[#This Row],[ТТН]]&gt;0,Таблица1[[#This Row],[Ставка за ТТН]]*Таблица1[[#This Row],[ТТН]],0)</f>
        <v>0</v>
      </c>
    </row>
    <row r="1435" spans="1:21" x14ac:dyDescent="0.25">
      <c r="A1435" t="s">
        <v>84</v>
      </c>
      <c r="B1435" s="24">
        <v>25</v>
      </c>
      <c r="C1435" t="s">
        <v>142</v>
      </c>
      <c r="D1435" t="s">
        <v>28</v>
      </c>
      <c r="E1435" t="s">
        <v>215</v>
      </c>
      <c r="F1435" t="s">
        <v>28</v>
      </c>
      <c r="H1435" t="s">
        <v>29</v>
      </c>
      <c r="I1435" t="s">
        <v>217</v>
      </c>
      <c r="J1435">
        <v>8</v>
      </c>
      <c r="N1435">
        <f>Таблица1[[#This Row],[Часов на заказчика  в работе]]+Таблица1[[#This Row],[Часов на заказчика  дежурство]]</f>
        <v>0</v>
      </c>
      <c r="O14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5" s="9">
        <v>110000</v>
      </c>
      <c r="R1435" s="9"/>
      <c r="S1435" s="5">
        <v>1</v>
      </c>
      <c r="T14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табеле]])*S1435,0)</f>
        <v>0</v>
      </c>
      <c r="U1435" s="5">
        <f>IF(Таблица1[[#This Row],[ТТН]]&gt;0,Таблица1[[#This Row],[Ставка за ТТН]]*Таблица1[[#This Row],[ТТН]],0)</f>
        <v>0</v>
      </c>
    </row>
    <row r="1436" spans="1:21" x14ac:dyDescent="0.25">
      <c r="A1436" t="s">
        <v>84</v>
      </c>
      <c r="B1436" s="24">
        <v>26</v>
      </c>
      <c r="C1436" t="s">
        <v>142</v>
      </c>
      <c r="D1436" t="s">
        <v>28</v>
      </c>
      <c r="E1436" t="s">
        <v>215</v>
      </c>
      <c r="F1436" t="s">
        <v>28</v>
      </c>
      <c r="H1436" t="s">
        <v>29</v>
      </c>
      <c r="I1436" t="s">
        <v>217</v>
      </c>
      <c r="J1436">
        <v>8</v>
      </c>
      <c r="N1436">
        <f>Таблица1[[#This Row],[Часов на заказчика  в работе]]+Таблица1[[#This Row],[Часов на заказчика  дежурство]]</f>
        <v>0</v>
      </c>
      <c r="O14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6" s="9">
        <v>110000</v>
      </c>
      <c r="R1436" s="9"/>
      <c r="S1436" s="5">
        <v>1</v>
      </c>
      <c r="T14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табеле]])*S1436,0)</f>
        <v>0</v>
      </c>
      <c r="U1436" s="5">
        <f>IF(Таблица1[[#This Row],[ТТН]]&gt;0,Таблица1[[#This Row],[Ставка за ТТН]]*Таблица1[[#This Row],[ТТН]],0)</f>
        <v>0</v>
      </c>
    </row>
    <row r="1437" spans="1:21" x14ac:dyDescent="0.25">
      <c r="A1437" t="s">
        <v>84</v>
      </c>
      <c r="B1437" s="24">
        <v>27</v>
      </c>
      <c r="C1437" t="s">
        <v>142</v>
      </c>
      <c r="D1437" t="s">
        <v>28</v>
      </c>
      <c r="E1437" t="s">
        <v>215</v>
      </c>
      <c r="F1437" t="s">
        <v>28</v>
      </c>
      <c r="H1437" t="s">
        <v>30</v>
      </c>
      <c r="I1437" t="s">
        <v>217</v>
      </c>
      <c r="J1437">
        <v>1</v>
      </c>
      <c r="N1437">
        <f>Таблица1[[#This Row],[Часов на заказчика  в работе]]+Таблица1[[#This Row],[Часов на заказчика  дежурство]]</f>
        <v>0</v>
      </c>
      <c r="O14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7" s="9">
        <v>110000</v>
      </c>
      <c r="R1437" s="9"/>
      <c r="S1437" s="5">
        <v>1</v>
      </c>
      <c r="T14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табеле]])*S1437,0)</f>
        <v>0</v>
      </c>
      <c r="U1437" s="5">
        <f>IF(Таблица1[[#This Row],[ТТН]]&gt;0,Таблица1[[#This Row],[Ставка за ТТН]]*Таблица1[[#This Row],[ТТН]],0)</f>
        <v>0</v>
      </c>
    </row>
    <row r="1438" spans="1:21" x14ac:dyDescent="0.25">
      <c r="A1438" t="s">
        <v>84</v>
      </c>
      <c r="B1438" s="24">
        <v>28</v>
      </c>
      <c r="C1438" t="s">
        <v>142</v>
      </c>
      <c r="D1438" t="s">
        <v>28</v>
      </c>
      <c r="E1438" t="s">
        <v>215</v>
      </c>
      <c r="F1438" t="s">
        <v>28</v>
      </c>
      <c r="H1438" t="s">
        <v>30</v>
      </c>
      <c r="I1438" t="s">
        <v>217</v>
      </c>
      <c r="J1438">
        <v>1</v>
      </c>
      <c r="N1438">
        <f>Таблица1[[#This Row],[Часов на заказчика  в работе]]+Таблица1[[#This Row],[Часов на заказчика  дежурство]]</f>
        <v>0</v>
      </c>
      <c r="O14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8" s="9">
        <v>110000</v>
      </c>
      <c r="R1438" s="9"/>
      <c r="S1438" s="5">
        <v>1</v>
      </c>
      <c r="T14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табеле]])*S1438,0)</f>
        <v>0</v>
      </c>
      <c r="U1438" s="5">
        <f>IF(Таблица1[[#This Row],[ТТН]]&gt;0,Таблица1[[#This Row],[Ставка за ТТН]]*Таблица1[[#This Row],[ТТН]],0)</f>
        <v>0</v>
      </c>
    </row>
    <row r="1439" spans="1:21" x14ac:dyDescent="0.25">
      <c r="A1439" t="s">
        <v>84</v>
      </c>
      <c r="B1439" s="24">
        <v>29</v>
      </c>
      <c r="C1439" t="s">
        <v>142</v>
      </c>
      <c r="D1439" t="s">
        <v>28</v>
      </c>
      <c r="E1439" t="s">
        <v>215</v>
      </c>
      <c r="F1439" t="s">
        <v>28</v>
      </c>
      <c r="H1439" t="s">
        <v>29</v>
      </c>
      <c r="I1439" t="s">
        <v>217</v>
      </c>
      <c r="J1439">
        <v>8</v>
      </c>
      <c r="N1439">
        <f>Таблица1[[#This Row],[Часов на заказчика  в работе]]+Таблица1[[#This Row],[Часов на заказчика  дежурство]]</f>
        <v>0</v>
      </c>
      <c r="O14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39" s="9">
        <v>110000</v>
      </c>
      <c r="R1439" s="9"/>
      <c r="S1439" s="5">
        <v>1</v>
      </c>
      <c r="T14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табеле]])*S1439,0)</f>
        <v>0</v>
      </c>
      <c r="U1439" s="5">
        <f>IF(Таблица1[[#This Row],[ТТН]]&gt;0,Таблица1[[#This Row],[Ставка за ТТН]]*Таблица1[[#This Row],[ТТН]],0)</f>
        <v>0</v>
      </c>
    </row>
    <row r="1440" spans="1:21" x14ac:dyDescent="0.25">
      <c r="A1440" t="s">
        <v>84</v>
      </c>
      <c r="B1440" s="24">
        <v>30</v>
      </c>
      <c r="C1440" t="s">
        <v>143</v>
      </c>
      <c r="D1440" t="s">
        <v>28</v>
      </c>
      <c r="E1440" t="s">
        <v>215</v>
      </c>
      <c r="F1440" t="s">
        <v>28</v>
      </c>
      <c r="H1440" t="s">
        <v>29</v>
      </c>
      <c r="I1440" t="s">
        <v>217</v>
      </c>
      <c r="J1440">
        <v>8</v>
      </c>
      <c r="N1440">
        <f>Таблица1[[#This Row],[Часов на заказчика  в работе]]+Таблица1[[#This Row],[Часов на заказчика  дежурство]]</f>
        <v>0</v>
      </c>
      <c r="O14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0" s="9">
        <v>110000</v>
      </c>
      <c r="R1440" s="9"/>
      <c r="S1440" s="5">
        <v>1</v>
      </c>
      <c r="T14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табеле]])*S1440,0)</f>
        <v>0</v>
      </c>
      <c r="U1440" s="5">
        <f>IF(Таблица1[[#This Row],[ТТН]]&gt;0,Таблица1[[#This Row],[Ставка за ТТН]]*Таблица1[[#This Row],[ТТН]],0)</f>
        <v>0</v>
      </c>
    </row>
    <row r="1441" spans="1:22" x14ac:dyDescent="0.25">
      <c r="A1441" t="s">
        <v>84</v>
      </c>
      <c r="B1441" s="24">
        <v>1</v>
      </c>
      <c r="C1441" t="s">
        <v>143</v>
      </c>
      <c r="D1441" t="s">
        <v>12</v>
      </c>
      <c r="E1441" t="s">
        <v>215</v>
      </c>
      <c r="F1441" t="s">
        <v>66</v>
      </c>
      <c r="H1441" t="s">
        <v>10</v>
      </c>
      <c r="I1441" t="s">
        <v>219</v>
      </c>
      <c r="J1441">
        <v>11</v>
      </c>
      <c r="K1441">
        <v>1</v>
      </c>
      <c r="N1441">
        <f>Таблица1[[#This Row],[Часов на заказчика  в работе]]+Таблица1[[#This Row],[Часов на заказчика  дежурство]]</f>
        <v>0</v>
      </c>
      <c r="O14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1" s="9">
        <v>162000</v>
      </c>
      <c r="R1441" s="9">
        <v>5000</v>
      </c>
      <c r="S1441" s="5">
        <v>1</v>
      </c>
      <c r="T14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табеле]])*S1441,0)</f>
        <v>5400</v>
      </c>
      <c r="U1441" s="5">
        <f>IF(Таблица1[[#This Row],[ТТН]]&gt;0,Таблица1[[#This Row],[Ставка за ТТН]]*Таблица1[[#This Row],[ТТН]],0)</f>
        <v>5000</v>
      </c>
      <c r="V1441" t="s">
        <v>90</v>
      </c>
    </row>
    <row r="1442" spans="1:22" x14ac:dyDescent="0.25">
      <c r="A1442" t="s">
        <v>84</v>
      </c>
      <c r="B1442" s="24">
        <v>2</v>
      </c>
      <c r="C1442" t="s">
        <v>143</v>
      </c>
      <c r="D1442" t="s">
        <v>12</v>
      </c>
      <c r="E1442" t="s">
        <v>215</v>
      </c>
      <c r="F1442" t="s">
        <v>66</v>
      </c>
      <c r="H1442" t="s">
        <v>10</v>
      </c>
      <c r="I1442" t="s">
        <v>219</v>
      </c>
      <c r="J1442">
        <v>22</v>
      </c>
      <c r="N1442">
        <f>Таблица1[[#This Row],[Часов на заказчика  в работе]]+Таблица1[[#This Row],[Часов на заказчика  дежурство]]</f>
        <v>0</v>
      </c>
      <c r="O14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2" s="9">
        <v>162000</v>
      </c>
      <c r="R1442" s="9"/>
      <c r="S1442" s="5">
        <v>1</v>
      </c>
      <c r="T14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табеле]])*S1442,0)</f>
        <v>10800</v>
      </c>
      <c r="U1442" s="5">
        <f>IF(Таблица1[[#This Row],[ТТН]]&gt;0,Таблица1[[#This Row],[Ставка за ТТН]]*Таблица1[[#This Row],[ТТН]],0)</f>
        <v>0</v>
      </c>
    </row>
    <row r="1443" spans="1:22" x14ac:dyDescent="0.25">
      <c r="A1443" t="s">
        <v>84</v>
      </c>
      <c r="B1443" s="24">
        <v>3</v>
      </c>
      <c r="C1443" t="s">
        <v>143</v>
      </c>
      <c r="D1443" t="s">
        <v>12</v>
      </c>
      <c r="E1443" t="s">
        <v>215</v>
      </c>
      <c r="F1443" t="s">
        <v>66</v>
      </c>
      <c r="H1443" t="s">
        <v>10</v>
      </c>
      <c r="I1443" t="s">
        <v>219</v>
      </c>
      <c r="J1443">
        <v>11</v>
      </c>
      <c r="N1443">
        <f>Таблица1[[#This Row],[Часов на заказчика  в работе]]+Таблица1[[#This Row],[Часов на заказчика  дежурство]]</f>
        <v>0</v>
      </c>
      <c r="O14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3" s="9">
        <v>162000</v>
      </c>
      <c r="R1443" s="9"/>
      <c r="S1443" s="5">
        <v>1</v>
      </c>
      <c r="T14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табеле]])*S1443,0)</f>
        <v>5400</v>
      </c>
      <c r="U1443" s="5">
        <f>IF(Таблица1[[#This Row],[ТТН]]&gt;0,Таблица1[[#This Row],[Ставка за ТТН]]*Таблица1[[#This Row],[ТТН]],0)</f>
        <v>0</v>
      </c>
    </row>
    <row r="1444" spans="1:22" x14ac:dyDescent="0.25">
      <c r="A1444" t="s">
        <v>84</v>
      </c>
      <c r="B1444" s="24">
        <v>4</v>
      </c>
      <c r="C1444" t="s">
        <v>143</v>
      </c>
      <c r="D1444" t="s">
        <v>12</v>
      </c>
      <c r="E1444" t="s">
        <v>215</v>
      </c>
      <c r="F1444" t="s">
        <v>66</v>
      </c>
      <c r="H1444" t="s">
        <v>10</v>
      </c>
      <c r="I1444" t="s">
        <v>219</v>
      </c>
      <c r="J1444">
        <v>11</v>
      </c>
      <c r="K1444">
        <v>1</v>
      </c>
      <c r="N1444">
        <f>Таблица1[[#This Row],[Часов на заказчика  в работе]]+Таблица1[[#This Row],[Часов на заказчика  дежурство]]</f>
        <v>0</v>
      </c>
      <c r="O14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4" s="9">
        <v>162000</v>
      </c>
      <c r="R1444" s="9">
        <v>2000</v>
      </c>
      <c r="S1444" s="5">
        <v>1</v>
      </c>
      <c r="T14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табеле]])*S1444,0)</f>
        <v>5400</v>
      </c>
      <c r="U1444" s="5">
        <f>IF(Таблица1[[#This Row],[ТТН]]&gt;0,Таблица1[[#This Row],[Ставка за ТТН]]*Таблица1[[#This Row],[ТТН]],0)</f>
        <v>2000</v>
      </c>
    </row>
    <row r="1445" spans="1:22" x14ac:dyDescent="0.25">
      <c r="A1445" t="s">
        <v>84</v>
      </c>
      <c r="B1445" s="24">
        <v>5</v>
      </c>
      <c r="C1445" t="s">
        <v>143</v>
      </c>
      <c r="D1445" t="s">
        <v>12</v>
      </c>
      <c r="E1445" t="s">
        <v>215</v>
      </c>
      <c r="F1445" t="s">
        <v>66</v>
      </c>
      <c r="H1445" t="s">
        <v>10</v>
      </c>
      <c r="I1445" t="s">
        <v>219</v>
      </c>
      <c r="J1445">
        <v>11</v>
      </c>
      <c r="K1445">
        <v>1</v>
      </c>
      <c r="N1445">
        <f>Таблица1[[#This Row],[Часов на заказчика  в работе]]+Таблица1[[#This Row],[Часов на заказчика  дежурство]]</f>
        <v>0</v>
      </c>
      <c r="O14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5" s="9">
        <v>162000</v>
      </c>
      <c r="R1445" s="9">
        <v>2000</v>
      </c>
      <c r="S1445" s="5">
        <v>1</v>
      </c>
      <c r="T14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табеле]])*S1445,0)</f>
        <v>5400</v>
      </c>
      <c r="U1445" s="5">
        <f>IF(Таблица1[[#This Row],[ТТН]]&gt;0,Таблица1[[#This Row],[Ставка за ТТН]]*Таблица1[[#This Row],[ТТН]],0)</f>
        <v>2000</v>
      </c>
    </row>
    <row r="1446" spans="1:22" x14ac:dyDescent="0.25">
      <c r="A1446" t="s">
        <v>84</v>
      </c>
      <c r="B1446" s="24">
        <v>6</v>
      </c>
      <c r="C1446" t="s">
        <v>143</v>
      </c>
      <c r="D1446" t="s">
        <v>12</v>
      </c>
      <c r="E1446" t="s">
        <v>215</v>
      </c>
      <c r="F1446" t="s">
        <v>66</v>
      </c>
      <c r="H1446" t="s">
        <v>10</v>
      </c>
      <c r="I1446" t="s">
        <v>219</v>
      </c>
      <c r="J1446">
        <v>22</v>
      </c>
      <c r="N1446">
        <f>Таблица1[[#This Row],[Часов на заказчика  в работе]]+Таблица1[[#This Row],[Часов на заказчика  дежурство]]</f>
        <v>0</v>
      </c>
      <c r="O14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6" s="9">
        <v>162000</v>
      </c>
      <c r="R1446" s="9"/>
      <c r="S1446" s="5">
        <v>1</v>
      </c>
      <c r="T14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табеле]])*S1446,0)</f>
        <v>10800</v>
      </c>
      <c r="U1446" s="5">
        <f>IF(Таблица1[[#This Row],[ТТН]]&gt;0,Таблица1[[#This Row],[Ставка за ТТН]]*Таблица1[[#This Row],[ТТН]],0)</f>
        <v>0</v>
      </c>
    </row>
    <row r="1447" spans="1:22" x14ac:dyDescent="0.25">
      <c r="A1447" t="s">
        <v>84</v>
      </c>
      <c r="B1447" s="24">
        <v>7</v>
      </c>
      <c r="C1447" t="s">
        <v>143</v>
      </c>
      <c r="D1447" t="s">
        <v>12</v>
      </c>
      <c r="E1447" t="s">
        <v>215</v>
      </c>
      <c r="F1447" t="s">
        <v>66</v>
      </c>
      <c r="H1447" t="s">
        <v>10</v>
      </c>
      <c r="I1447" t="s">
        <v>219</v>
      </c>
      <c r="J1447">
        <v>11</v>
      </c>
      <c r="K1447">
        <v>1</v>
      </c>
      <c r="N1447">
        <f>Таблица1[[#This Row],[Часов на заказчика  в работе]]+Таблица1[[#This Row],[Часов на заказчика  дежурство]]</f>
        <v>0</v>
      </c>
      <c r="O14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7" s="9">
        <v>162000</v>
      </c>
      <c r="R1447" s="9">
        <v>5000</v>
      </c>
      <c r="S1447" s="5">
        <v>1</v>
      </c>
      <c r="T14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табеле]])*S1447,0)</f>
        <v>5400</v>
      </c>
      <c r="U1447" s="5">
        <f>IF(Таблица1[[#This Row],[ТТН]]&gt;0,Таблица1[[#This Row],[Ставка за ТТН]]*Таблица1[[#This Row],[ТТН]],0)</f>
        <v>5000</v>
      </c>
      <c r="V1447" t="s">
        <v>91</v>
      </c>
    </row>
    <row r="1448" spans="1:22" x14ac:dyDescent="0.25">
      <c r="A1448" t="s">
        <v>84</v>
      </c>
      <c r="B1448" s="24">
        <v>8</v>
      </c>
      <c r="C1448" t="s">
        <v>143</v>
      </c>
      <c r="D1448" t="s">
        <v>12</v>
      </c>
      <c r="E1448" t="s">
        <v>215</v>
      </c>
      <c r="F1448" t="s">
        <v>66</v>
      </c>
      <c r="H1448" t="s">
        <v>10</v>
      </c>
      <c r="I1448" t="s">
        <v>219</v>
      </c>
      <c r="J1448">
        <v>22</v>
      </c>
      <c r="N1448">
        <f>Таблица1[[#This Row],[Часов на заказчика  в работе]]+Таблица1[[#This Row],[Часов на заказчика  дежурство]]</f>
        <v>0</v>
      </c>
      <c r="O14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8" s="9">
        <v>162000</v>
      </c>
      <c r="R1448" s="9"/>
      <c r="S1448" s="5">
        <v>1</v>
      </c>
      <c r="T14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табеле]])*S1448,0)</f>
        <v>10800</v>
      </c>
      <c r="U1448" s="5">
        <f>IF(Таблица1[[#This Row],[ТТН]]&gt;0,Таблица1[[#This Row],[Ставка за ТТН]]*Таблица1[[#This Row],[ТТН]],0)</f>
        <v>0</v>
      </c>
    </row>
    <row r="1449" spans="1:22" x14ac:dyDescent="0.25">
      <c r="A1449" t="s">
        <v>84</v>
      </c>
      <c r="B1449" s="24">
        <v>9</v>
      </c>
      <c r="C1449" t="s">
        <v>143</v>
      </c>
      <c r="D1449" t="s">
        <v>12</v>
      </c>
      <c r="E1449" t="s">
        <v>215</v>
      </c>
      <c r="F1449" t="s">
        <v>66</v>
      </c>
      <c r="H1449" t="s">
        <v>10</v>
      </c>
      <c r="I1449" t="s">
        <v>219</v>
      </c>
      <c r="J1449">
        <v>11</v>
      </c>
      <c r="N1449">
        <f>Таблица1[[#This Row],[Часов на заказчика  в работе]]+Таблица1[[#This Row],[Часов на заказчика  дежурство]]</f>
        <v>0</v>
      </c>
      <c r="O14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49" s="9">
        <v>162000</v>
      </c>
      <c r="R1449" s="9"/>
      <c r="S1449" s="5">
        <v>1</v>
      </c>
      <c r="T14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табеле]])*S1449,0)</f>
        <v>5400</v>
      </c>
      <c r="U1449" s="5">
        <f>IF(Таблица1[[#This Row],[ТТН]]&gt;0,Таблица1[[#This Row],[Ставка за ТТН]]*Таблица1[[#This Row],[ТТН]],0)</f>
        <v>0</v>
      </c>
    </row>
    <row r="1450" spans="1:22" x14ac:dyDescent="0.25">
      <c r="A1450" t="s">
        <v>84</v>
      </c>
      <c r="B1450" s="24">
        <v>10</v>
      </c>
      <c r="C1450" t="s">
        <v>143</v>
      </c>
      <c r="D1450" t="s">
        <v>12</v>
      </c>
      <c r="E1450" t="s">
        <v>215</v>
      </c>
      <c r="F1450" t="s">
        <v>66</v>
      </c>
      <c r="H1450" t="s">
        <v>10</v>
      </c>
      <c r="I1450" t="s">
        <v>219</v>
      </c>
      <c r="J1450">
        <v>11</v>
      </c>
      <c r="K1450">
        <v>1</v>
      </c>
      <c r="N1450">
        <f>Таблица1[[#This Row],[Часов на заказчика  в работе]]+Таблица1[[#This Row],[Часов на заказчика  дежурство]]</f>
        <v>0</v>
      </c>
      <c r="O14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0" s="9">
        <v>162000</v>
      </c>
      <c r="R1450" s="9">
        <v>2000</v>
      </c>
      <c r="S1450" s="5">
        <v>1</v>
      </c>
      <c r="T14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табеле]])*S1450,0)</f>
        <v>5400</v>
      </c>
      <c r="U1450" s="5">
        <f>IF(Таблица1[[#This Row],[ТТН]]&gt;0,Таблица1[[#This Row],[Ставка за ТТН]]*Таблица1[[#This Row],[ТТН]],0)</f>
        <v>2000</v>
      </c>
    </row>
    <row r="1451" spans="1:22" x14ac:dyDescent="0.25">
      <c r="A1451" t="s">
        <v>84</v>
      </c>
      <c r="B1451" s="24">
        <v>11</v>
      </c>
      <c r="C1451" t="s">
        <v>143</v>
      </c>
      <c r="D1451" t="s">
        <v>12</v>
      </c>
      <c r="E1451" t="s">
        <v>215</v>
      </c>
      <c r="F1451" t="s">
        <v>66</v>
      </c>
      <c r="H1451" t="s">
        <v>10</v>
      </c>
      <c r="I1451" t="s">
        <v>219</v>
      </c>
      <c r="J1451">
        <v>11</v>
      </c>
      <c r="K1451">
        <v>1</v>
      </c>
      <c r="N1451">
        <f>Таблица1[[#This Row],[Часов на заказчика  в работе]]+Таблица1[[#This Row],[Часов на заказчика  дежурство]]</f>
        <v>0</v>
      </c>
      <c r="O14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1" s="9">
        <v>162000</v>
      </c>
      <c r="R1451" s="9">
        <v>2000</v>
      </c>
      <c r="S1451" s="5">
        <v>1</v>
      </c>
      <c r="T14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табеле]])*S1451,0)</f>
        <v>5400</v>
      </c>
      <c r="U1451" s="5">
        <f>IF(Таблица1[[#This Row],[ТТН]]&gt;0,Таблица1[[#This Row],[Ставка за ТТН]]*Таблица1[[#This Row],[ТТН]],0)</f>
        <v>2000</v>
      </c>
    </row>
    <row r="1452" spans="1:22" x14ac:dyDescent="0.25">
      <c r="A1452" t="s">
        <v>84</v>
      </c>
      <c r="B1452" s="24">
        <v>12</v>
      </c>
      <c r="C1452" t="s">
        <v>143</v>
      </c>
      <c r="D1452" t="s">
        <v>12</v>
      </c>
      <c r="E1452" t="s">
        <v>215</v>
      </c>
      <c r="F1452" t="s">
        <v>66</v>
      </c>
      <c r="H1452" t="s">
        <v>10</v>
      </c>
      <c r="I1452" t="s">
        <v>219</v>
      </c>
      <c r="J1452">
        <v>22</v>
      </c>
      <c r="K1452">
        <v>1</v>
      </c>
      <c r="N1452">
        <f>Таблица1[[#This Row],[Часов на заказчика  в работе]]+Таблица1[[#This Row],[Часов на заказчика  дежурство]]</f>
        <v>0</v>
      </c>
      <c r="O14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2" s="9">
        <v>162000</v>
      </c>
      <c r="R1452" s="9">
        <v>2000</v>
      </c>
      <c r="S1452" s="5">
        <v>1</v>
      </c>
      <c r="T14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табеле]])*S1452,0)</f>
        <v>10800</v>
      </c>
      <c r="U1452" s="5">
        <f>IF(Таблица1[[#This Row],[ТТН]]&gt;0,Таблица1[[#This Row],[Ставка за ТТН]]*Таблица1[[#This Row],[ТТН]],0)</f>
        <v>2000</v>
      </c>
    </row>
    <row r="1453" spans="1:22" x14ac:dyDescent="0.25">
      <c r="A1453" t="s">
        <v>84</v>
      </c>
      <c r="B1453" s="24">
        <v>13</v>
      </c>
      <c r="C1453" t="s">
        <v>143</v>
      </c>
      <c r="D1453" t="s">
        <v>12</v>
      </c>
      <c r="E1453" t="s">
        <v>215</v>
      </c>
      <c r="F1453" t="s">
        <v>66</v>
      </c>
      <c r="H1453" t="s">
        <v>38</v>
      </c>
      <c r="I1453" t="s">
        <v>217</v>
      </c>
      <c r="J1453">
        <v>11</v>
      </c>
      <c r="N1453">
        <f>Таблица1[[#This Row],[Часов на заказчика  в работе]]+Таблица1[[#This Row],[Часов на заказчика  дежурство]]</f>
        <v>0</v>
      </c>
      <c r="O14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3" s="9">
        <v>162000</v>
      </c>
      <c r="R1453" s="9"/>
      <c r="S1453" s="5">
        <v>1</v>
      </c>
      <c r="T14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табеле]])*S1453,0)</f>
        <v>5400</v>
      </c>
      <c r="U1453" s="5">
        <f>IF(Таблица1[[#This Row],[ТТН]]&gt;0,Таблица1[[#This Row],[Ставка за ТТН]]*Таблица1[[#This Row],[ТТН]],0)</f>
        <v>0</v>
      </c>
    </row>
    <row r="1454" spans="1:22" x14ac:dyDescent="0.25">
      <c r="A1454" t="s">
        <v>84</v>
      </c>
      <c r="B1454" s="24">
        <v>14</v>
      </c>
      <c r="C1454" t="s">
        <v>143</v>
      </c>
      <c r="D1454" t="s">
        <v>12</v>
      </c>
      <c r="E1454" t="s">
        <v>215</v>
      </c>
      <c r="F1454" t="s">
        <v>66</v>
      </c>
      <c r="H1454" t="s">
        <v>10</v>
      </c>
      <c r="I1454" t="s">
        <v>219</v>
      </c>
      <c r="J1454">
        <v>22</v>
      </c>
      <c r="N1454">
        <f>Таблица1[[#This Row],[Часов на заказчика  в работе]]+Таблица1[[#This Row],[Часов на заказчика  дежурство]]</f>
        <v>0</v>
      </c>
      <c r="O14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4" s="9">
        <v>162000</v>
      </c>
      <c r="R1454" s="9"/>
      <c r="S1454" s="5">
        <v>1</v>
      </c>
      <c r="T14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табеле]])*S1454,0)</f>
        <v>10800</v>
      </c>
      <c r="U1454" s="5">
        <f>IF(Таблица1[[#This Row],[ТТН]]&gt;0,Таблица1[[#This Row],[Ставка за ТТН]]*Таблица1[[#This Row],[ТТН]],0)</f>
        <v>0</v>
      </c>
    </row>
    <row r="1455" spans="1:22" x14ac:dyDescent="0.25">
      <c r="A1455" t="s">
        <v>84</v>
      </c>
      <c r="B1455" s="24">
        <v>15</v>
      </c>
      <c r="C1455" t="s">
        <v>143</v>
      </c>
      <c r="D1455" t="s">
        <v>12</v>
      </c>
      <c r="E1455" t="s">
        <v>215</v>
      </c>
      <c r="F1455" t="s">
        <v>66</v>
      </c>
      <c r="H1455" t="s">
        <v>23</v>
      </c>
      <c r="I1455" t="s">
        <v>217</v>
      </c>
      <c r="J1455">
        <v>11</v>
      </c>
      <c r="N1455">
        <f>Таблица1[[#This Row],[Часов на заказчика  в работе]]+Таблица1[[#This Row],[Часов на заказчика  дежурство]]</f>
        <v>0</v>
      </c>
      <c r="O14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5" s="9">
        <v>162000</v>
      </c>
      <c r="R1455" s="9"/>
      <c r="S1455" s="5">
        <v>1</v>
      </c>
      <c r="T14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табеле]])*S1455,0)</f>
        <v>5400</v>
      </c>
      <c r="U1455" s="5">
        <f>IF(Таблица1[[#This Row],[ТТН]]&gt;0,Таблица1[[#This Row],[Ставка за ТТН]]*Таблица1[[#This Row],[ТТН]],0)</f>
        <v>0</v>
      </c>
    </row>
    <row r="1456" spans="1:22" x14ac:dyDescent="0.25">
      <c r="A1456" t="s">
        <v>84</v>
      </c>
      <c r="B1456" s="24">
        <v>16</v>
      </c>
      <c r="C1456" t="s">
        <v>143</v>
      </c>
      <c r="D1456" t="s">
        <v>12</v>
      </c>
      <c r="E1456" t="s">
        <v>215</v>
      </c>
      <c r="F1456" t="s">
        <v>66</v>
      </c>
      <c r="H1456" t="s">
        <v>23</v>
      </c>
      <c r="I1456" t="s">
        <v>217</v>
      </c>
      <c r="J1456">
        <v>11</v>
      </c>
      <c r="N1456">
        <f>Таблица1[[#This Row],[Часов на заказчика  в работе]]+Таблица1[[#This Row],[Часов на заказчика  дежурство]]</f>
        <v>0</v>
      </c>
      <c r="O14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6" s="9">
        <v>162000</v>
      </c>
      <c r="R1456" s="9"/>
      <c r="S1456" s="5">
        <v>1</v>
      </c>
      <c r="T14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табеле]])*S1456,0)</f>
        <v>5400</v>
      </c>
      <c r="U1456" s="5">
        <f>IF(Таблица1[[#This Row],[ТТН]]&gt;0,Таблица1[[#This Row],[Ставка за ТТН]]*Таблица1[[#This Row],[ТТН]],0)</f>
        <v>0</v>
      </c>
    </row>
    <row r="1457" spans="1:22" x14ac:dyDescent="0.25">
      <c r="A1457" t="s">
        <v>84</v>
      </c>
      <c r="B1457" s="24">
        <v>17</v>
      </c>
      <c r="C1457" t="s">
        <v>143</v>
      </c>
      <c r="D1457" t="s">
        <v>12</v>
      </c>
      <c r="E1457" t="s">
        <v>215</v>
      </c>
      <c r="F1457" t="s">
        <v>66</v>
      </c>
      <c r="H1457" t="s">
        <v>10</v>
      </c>
      <c r="I1457" t="s">
        <v>219</v>
      </c>
      <c r="J1457">
        <v>11</v>
      </c>
      <c r="K1457">
        <v>1</v>
      </c>
      <c r="N1457">
        <f>Таблица1[[#This Row],[Часов на заказчика  в работе]]+Таблица1[[#This Row],[Часов на заказчика  дежурство]]</f>
        <v>0</v>
      </c>
      <c r="O14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7" s="9">
        <v>162000</v>
      </c>
      <c r="R1457" s="9">
        <v>5000</v>
      </c>
      <c r="S1457" s="5">
        <v>1</v>
      </c>
      <c r="T14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табеле]])*S1457,0)</f>
        <v>5400</v>
      </c>
      <c r="U1457" s="5">
        <f>IF(Таблица1[[#This Row],[ТТН]]&gt;0,Таблица1[[#This Row],[Ставка за ТТН]]*Таблица1[[#This Row],[ТТН]],0)</f>
        <v>5000</v>
      </c>
    </row>
    <row r="1458" spans="1:22" x14ac:dyDescent="0.25">
      <c r="A1458" t="s">
        <v>84</v>
      </c>
      <c r="B1458" s="24">
        <v>18</v>
      </c>
      <c r="C1458" t="s">
        <v>143</v>
      </c>
      <c r="D1458" t="s">
        <v>12</v>
      </c>
      <c r="E1458" t="s">
        <v>215</v>
      </c>
      <c r="F1458" t="s">
        <v>66</v>
      </c>
      <c r="H1458" t="s">
        <v>10</v>
      </c>
      <c r="I1458" t="s">
        <v>219</v>
      </c>
      <c r="J1458">
        <v>22</v>
      </c>
      <c r="N1458">
        <f>Таблица1[[#This Row],[Часов на заказчика  в работе]]+Таблица1[[#This Row],[Часов на заказчика  дежурство]]</f>
        <v>0</v>
      </c>
      <c r="O14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8" s="9">
        <v>162000</v>
      </c>
      <c r="R1458" s="9"/>
      <c r="S1458" s="5">
        <v>1</v>
      </c>
      <c r="T14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табеле]])*S1458,0)</f>
        <v>10800</v>
      </c>
      <c r="U1458" s="5">
        <f>IF(Таблица1[[#This Row],[ТТН]]&gt;0,Таблица1[[#This Row],[Ставка за ТТН]]*Таблица1[[#This Row],[ТТН]],0)</f>
        <v>0</v>
      </c>
    </row>
    <row r="1459" spans="1:22" x14ac:dyDescent="0.25">
      <c r="A1459" t="s">
        <v>84</v>
      </c>
      <c r="B1459" s="24">
        <v>19</v>
      </c>
      <c r="C1459" t="s">
        <v>143</v>
      </c>
      <c r="D1459" t="s">
        <v>12</v>
      </c>
      <c r="E1459" t="s">
        <v>215</v>
      </c>
      <c r="F1459" t="s">
        <v>66</v>
      </c>
      <c r="H1459" t="s">
        <v>10</v>
      </c>
      <c r="I1459" t="s">
        <v>219</v>
      </c>
      <c r="J1459">
        <v>11</v>
      </c>
      <c r="N1459">
        <f>Таблица1[[#This Row],[Часов на заказчика  в работе]]+Таблица1[[#This Row],[Часов на заказчика  дежурство]]</f>
        <v>0</v>
      </c>
      <c r="O14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59" s="9">
        <v>162000</v>
      </c>
      <c r="R1459" s="9"/>
      <c r="S1459" s="5">
        <v>1</v>
      </c>
      <c r="T14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табеле]])*S1459,0)</f>
        <v>5400</v>
      </c>
      <c r="U1459" s="5">
        <f>IF(Таблица1[[#This Row],[ТТН]]&gt;0,Таблица1[[#This Row],[Ставка за ТТН]]*Таблица1[[#This Row],[ТТН]],0)</f>
        <v>0</v>
      </c>
    </row>
    <row r="1460" spans="1:22" x14ac:dyDescent="0.25">
      <c r="A1460" t="s">
        <v>84</v>
      </c>
      <c r="B1460" s="24">
        <v>20</v>
      </c>
      <c r="C1460" t="s">
        <v>143</v>
      </c>
      <c r="D1460" t="s">
        <v>12</v>
      </c>
      <c r="E1460" t="s">
        <v>215</v>
      </c>
      <c r="F1460" t="s">
        <v>66</v>
      </c>
      <c r="H1460" t="s">
        <v>10</v>
      </c>
      <c r="I1460" t="s">
        <v>219</v>
      </c>
      <c r="J1460">
        <v>22</v>
      </c>
      <c r="N1460">
        <f>Таблица1[[#This Row],[Часов на заказчика  в работе]]+Таблица1[[#This Row],[Часов на заказчика  дежурство]]</f>
        <v>0</v>
      </c>
      <c r="O14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0" s="9">
        <v>162000</v>
      </c>
      <c r="R1460" s="9"/>
      <c r="S1460" s="5">
        <v>1</v>
      </c>
      <c r="T14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табеле]])*S1460,0)</f>
        <v>10800</v>
      </c>
      <c r="U1460" s="5">
        <f>IF(Таблица1[[#This Row],[ТТН]]&gt;0,Таблица1[[#This Row],[Ставка за ТТН]]*Таблица1[[#This Row],[ТТН]],0)</f>
        <v>0</v>
      </c>
    </row>
    <row r="1461" spans="1:22" x14ac:dyDescent="0.25">
      <c r="A1461" t="s">
        <v>84</v>
      </c>
      <c r="B1461" s="24">
        <v>21</v>
      </c>
      <c r="C1461" t="s">
        <v>143</v>
      </c>
      <c r="D1461" t="s">
        <v>12</v>
      </c>
      <c r="E1461" t="s">
        <v>215</v>
      </c>
      <c r="F1461" t="s">
        <v>66</v>
      </c>
      <c r="H1461" t="s">
        <v>23</v>
      </c>
      <c r="I1461" t="s">
        <v>217</v>
      </c>
      <c r="J1461">
        <v>11</v>
      </c>
      <c r="N1461">
        <f>Таблица1[[#This Row],[Часов на заказчика  в работе]]+Таблица1[[#This Row],[Часов на заказчика  дежурство]]</f>
        <v>0</v>
      </c>
      <c r="O14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1" s="9">
        <v>162000</v>
      </c>
      <c r="R1461" s="9"/>
      <c r="S1461" s="5">
        <v>1</v>
      </c>
      <c r="T14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табеле]])*S1461,0)</f>
        <v>5400</v>
      </c>
      <c r="U1461" s="5">
        <f>IF(Таблица1[[#This Row],[ТТН]]&gt;0,Таблица1[[#This Row],[Ставка за ТТН]]*Таблица1[[#This Row],[ТТН]],0)</f>
        <v>0</v>
      </c>
    </row>
    <row r="1462" spans="1:22" x14ac:dyDescent="0.25">
      <c r="A1462" t="s">
        <v>84</v>
      </c>
      <c r="B1462" s="24">
        <v>22</v>
      </c>
      <c r="C1462" t="s">
        <v>143</v>
      </c>
      <c r="D1462" t="s">
        <v>12</v>
      </c>
      <c r="E1462" t="s">
        <v>215</v>
      </c>
      <c r="F1462" t="s">
        <v>66</v>
      </c>
      <c r="H1462" t="s">
        <v>10</v>
      </c>
      <c r="I1462" t="s">
        <v>217</v>
      </c>
      <c r="J1462">
        <v>11</v>
      </c>
      <c r="N1462">
        <f>Таблица1[[#This Row],[Часов на заказчика  в работе]]+Таблица1[[#This Row],[Часов на заказчика  дежурство]]</f>
        <v>0</v>
      </c>
      <c r="O14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2" s="9">
        <v>162000</v>
      </c>
      <c r="R1462" s="9"/>
      <c r="S1462" s="5">
        <v>1</v>
      </c>
      <c r="T14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табеле]])*S1462,0)</f>
        <v>5400</v>
      </c>
      <c r="U1462" s="5">
        <f>IF(Таблица1[[#This Row],[ТТН]]&gt;0,Таблица1[[#This Row],[Ставка за ТТН]]*Таблица1[[#This Row],[ТТН]],0)</f>
        <v>0</v>
      </c>
    </row>
    <row r="1463" spans="1:22" x14ac:dyDescent="0.25">
      <c r="A1463" t="s">
        <v>84</v>
      </c>
      <c r="B1463" s="24">
        <v>23</v>
      </c>
      <c r="C1463" t="s">
        <v>143</v>
      </c>
      <c r="D1463" t="s">
        <v>12</v>
      </c>
      <c r="E1463" t="s">
        <v>215</v>
      </c>
      <c r="F1463" t="s">
        <v>66</v>
      </c>
      <c r="H1463" t="s">
        <v>10</v>
      </c>
      <c r="I1463" t="s">
        <v>217</v>
      </c>
      <c r="J1463">
        <v>11</v>
      </c>
      <c r="N1463">
        <f>Таблица1[[#This Row],[Часов на заказчика  в работе]]+Таблица1[[#This Row],[Часов на заказчика  дежурство]]</f>
        <v>0</v>
      </c>
      <c r="O14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3" s="9">
        <v>162000</v>
      </c>
      <c r="R1463" s="9"/>
      <c r="S1463" s="5">
        <v>1</v>
      </c>
      <c r="T14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табеле]])*S1463,0)</f>
        <v>5400</v>
      </c>
      <c r="U1463" s="5">
        <f>IF(Таблица1[[#This Row],[ТТН]]&gt;0,Таблица1[[#This Row],[Ставка за ТТН]]*Таблица1[[#This Row],[ТТН]],0)</f>
        <v>0</v>
      </c>
    </row>
    <row r="1464" spans="1:22" x14ac:dyDescent="0.25">
      <c r="A1464" t="s">
        <v>84</v>
      </c>
      <c r="B1464" s="24">
        <v>24</v>
      </c>
      <c r="C1464" t="s">
        <v>143</v>
      </c>
      <c r="D1464" t="s">
        <v>12</v>
      </c>
      <c r="E1464" t="s">
        <v>215</v>
      </c>
      <c r="F1464" t="s">
        <v>66</v>
      </c>
      <c r="H1464" t="s">
        <v>10</v>
      </c>
      <c r="I1464" t="s">
        <v>217</v>
      </c>
      <c r="J1464">
        <v>11</v>
      </c>
      <c r="N1464">
        <f>Таблица1[[#This Row],[Часов на заказчика  в работе]]+Таблица1[[#This Row],[Часов на заказчика  дежурство]]</f>
        <v>0</v>
      </c>
      <c r="O14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4" s="9">
        <v>162000</v>
      </c>
      <c r="R1464" s="9"/>
      <c r="S1464" s="5">
        <v>1</v>
      </c>
      <c r="T14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табеле]])*S1464,0)</f>
        <v>5400</v>
      </c>
      <c r="U1464" s="5">
        <f>IF(Таблица1[[#This Row],[ТТН]]&gt;0,Таблица1[[#This Row],[Ставка за ТТН]]*Таблица1[[#This Row],[ТТН]],0)</f>
        <v>0</v>
      </c>
    </row>
    <row r="1465" spans="1:22" x14ac:dyDescent="0.25">
      <c r="A1465" t="s">
        <v>84</v>
      </c>
      <c r="B1465" s="24">
        <v>25</v>
      </c>
      <c r="C1465" t="s">
        <v>143</v>
      </c>
      <c r="D1465" t="s">
        <v>12</v>
      </c>
      <c r="E1465" t="s">
        <v>215</v>
      </c>
      <c r="F1465" t="s">
        <v>66</v>
      </c>
      <c r="H1465" t="s">
        <v>10</v>
      </c>
      <c r="I1465" t="s">
        <v>217</v>
      </c>
      <c r="J1465">
        <v>11</v>
      </c>
      <c r="N1465">
        <f>Таблица1[[#This Row],[Часов на заказчика  в работе]]+Таблица1[[#This Row],[Часов на заказчика  дежурство]]</f>
        <v>0</v>
      </c>
      <c r="O14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5" s="9">
        <v>162000</v>
      </c>
      <c r="R1465" s="9"/>
      <c r="S1465" s="5">
        <v>1</v>
      </c>
      <c r="T14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табеле]])*S1465,0)</f>
        <v>5400</v>
      </c>
      <c r="U1465" s="5">
        <f>IF(Таблица1[[#This Row],[ТТН]]&gt;0,Таблица1[[#This Row],[Ставка за ТТН]]*Таблица1[[#This Row],[ТТН]],0)</f>
        <v>0</v>
      </c>
    </row>
    <row r="1466" spans="1:22" x14ac:dyDescent="0.25">
      <c r="A1466" t="s">
        <v>84</v>
      </c>
      <c r="B1466" s="24">
        <v>26</v>
      </c>
      <c r="C1466" t="s">
        <v>143</v>
      </c>
      <c r="D1466" t="s">
        <v>12</v>
      </c>
      <c r="E1466" t="s">
        <v>215</v>
      </c>
      <c r="F1466" t="s">
        <v>66</v>
      </c>
      <c r="H1466" t="s">
        <v>10</v>
      </c>
      <c r="I1466" t="s">
        <v>217</v>
      </c>
      <c r="J1466">
        <v>11</v>
      </c>
      <c r="N1466">
        <f>Таблица1[[#This Row],[Часов на заказчика  в работе]]+Таблица1[[#This Row],[Часов на заказчика  дежурство]]</f>
        <v>0</v>
      </c>
      <c r="O14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6" s="9">
        <v>162000</v>
      </c>
      <c r="R1466" s="9"/>
      <c r="S1466" s="5">
        <v>1</v>
      </c>
      <c r="T14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табеле]])*S1466,0)</f>
        <v>5400</v>
      </c>
      <c r="U1466" s="5">
        <f>IF(Таблица1[[#This Row],[ТТН]]&gt;0,Таблица1[[#This Row],[Ставка за ТТН]]*Таблица1[[#This Row],[ТТН]],0)</f>
        <v>0</v>
      </c>
    </row>
    <row r="1467" spans="1:22" x14ac:dyDescent="0.25">
      <c r="A1467" t="s">
        <v>84</v>
      </c>
      <c r="B1467" s="24">
        <v>27</v>
      </c>
      <c r="C1467" t="s">
        <v>143</v>
      </c>
      <c r="D1467" t="s">
        <v>12</v>
      </c>
      <c r="E1467" t="s">
        <v>215</v>
      </c>
      <c r="F1467" t="s">
        <v>73</v>
      </c>
      <c r="H1467" t="s">
        <v>10</v>
      </c>
      <c r="I1467" t="s">
        <v>219</v>
      </c>
      <c r="J1467">
        <v>11</v>
      </c>
      <c r="K1467">
        <v>1</v>
      </c>
      <c r="N1467">
        <f>Таблица1[[#This Row],[Часов на заказчика  в работе]]+Таблица1[[#This Row],[Часов на заказчика  дежурство]]</f>
        <v>0</v>
      </c>
      <c r="O14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7" s="9">
        <v>162000</v>
      </c>
      <c r="R1467" s="9">
        <v>5000</v>
      </c>
      <c r="S1467" s="5">
        <v>1</v>
      </c>
      <c r="T14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табеле]])*S1467,0)</f>
        <v>5400</v>
      </c>
      <c r="U1467" s="5">
        <f>IF(Таблица1[[#This Row],[ТТН]]&gt;0,Таблица1[[#This Row],[Ставка за ТТН]]*Таблица1[[#This Row],[ТТН]],0)</f>
        <v>5000</v>
      </c>
    </row>
    <row r="1468" spans="1:22" x14ac:dyDescent="0.25">
      <c r="A1468" t="s">
        <v>84</v>
      </c>
      <c r="B1468" s="24">
        <v>28</v>
      </c>
      <c r="C1468" t="s">
        <v>143</v>
      </c>
      <c r="D1468" t="s">
        <v>12</v>
      </c>
      <c r="E1468" t="s">
        <v>215</v>
      </c>
      <c r="F1468" t="s">
        <v>73</v>
      </c>
      <c r="H1468" t="s">
        <v>10</v>
      </c>
      <c r="I1468" t="s">
        <v>219</v>
      </c>
      <c r="J1468">
        <v>22</v>
      </c>
      <c r="N1468">
        <f>Таблица1[[#This Row],[Часов на заказчика  в работе]]+Таблица1[[#This Row],[Часов на заказчика  дежурство]]</f>
        <v>0</v>
      </c>
      <c r="O14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8" s="9">
        <v>174000</v>
      </c>
      <c r="R1468" s="9"/>
      <c r="S1468" s="5">
        <v>1</v>
      </c>
      <c r="T14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табеле]])*S1468,0)</f>
        <v>11600</v>
      </c>
      <c r="U1468" s="5">
        <f>IF(Таблица1[[#This Row],[ТТН]]&gt;0,Таблица1[[#This Row],[Ставка за ТТН]]*Таблица1[[#This Row],[ТТН]],0)</f>
        <v>0</v>
      </c>
      <c r="V1468" t="s">
        <v>67</v>
      </c>
    </row>
    <row r="1469" spans="1:22" x14ac:dyDescent="0.25">
      <c r="A1469" t="s">
        <v>84</v>
      </c>
      <c r="B1469" s="24">
        <v>29</v>
      </c>
      <c r="C1469" t="s">
        <v>143</v>
      </c>
      <c r="D1469" t="s">
        <v>12</v>
      </c>
      <c r="E1469" t="s">
        <v>215</v>
      </c>
      <c r="F1469" t="s">
        <v>73</v>
      </c>
      <c r="H1469" t="s">
        <v>10</v>
      </c>
      <c r="I1469" t="s">
        <v>219</v>
      </c>
      <c r="J1469">
        <v>11</v>
      </c>
      <c r="N1469">
        <f>Таблица1[[#This Row],[Часов на заказчика  в работе]]+Таблица1[[#This Row],[Часов на заказчика  дежурство]]</f>
        <v>0</v>
      </c>
      <c r="O14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69" s="9">
        <v>174000</v>
      </c>
      <c r="R1469" s="9"/>
      <c r="S1469" s="5">
        <v>1</v>
      </c>
      <c r="T14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табеле]])*S1469,0)</f>
        <v>5800</v>
      </c>
      <c r="U1469" s="5">
        <f>IF(Таблица1[[#This Row],[ТТН]]&gt;0,Таблица1[[#This Row],[Ставка за ТТН]]*Таблица1[[#This Row],[ТТН]],0)</f>
        <v>0</v>
      </c>
    </row>
    <row r="1470" spans="1:22" x14ac:dyDescent="0.25">
      <c r="A1470" t="s">
        <v>84</v>
      </c>
      <c r="B1470" s="24">
        <v>30</v>
      </c>
      <c r="C1470" t="s">
        <v>144</v>
      </c>
      <c r="D1470" t="s">
        <v>12</v>
      </c>
      <c r="E1470" t="s">
        <v>215</v>
      </c>
      <c r="F1470" t="s">
        <v>73</v>
      </c>
      <c r="H1470" t="s">
        <v>10</v>
      </c>
      <c r="I1470" t="s">
        <v>219</v>
      </c>
      <c r="J1470">
        <v>22</v>
      </c>
      <c r="N1470">
        <f>Таблица1[[#This Row],[Часов на заказчика  в работе]]+Таблица1[[#This Row],[Часов на заказчика  дежурство]]</f>
        <v>0</v>
      </c>
      <c r="O14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0" s="9">
        <v>174000</v>
      </c>
      <c r="R1470" s="9"/>
      <c r="S1470" s="5">
        <v>1</v>
      </c>
      <c r="T14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табеле]])*S1470,0)</f>
        <v>11600</v>
      </c>
      <c r="U1470" s="5">
        <f>IF(Таблица1[[#This Row],[ТТН]]&gt;0,Таблица1[[#This Row],[Ставка за ТТН]]*Таблица1[[#This Row],[ТТН]],0)</f>
        <v>0</v>
      </c>
    </row>
    <row r="1471" spans="1:22" x14ac:dyDescent="0.25">
      <c r="A1471" t="s">
        <v>84</v>
      </c>
      <c r="B1471" s="24">
        <v>1</v>
      </c>
      <c r="C1471" t="s">
        <v>144</v>
      </c>
      <c r="D1471" t="s">
        <v>12</v>
      </c>
      <c r="E1471" t="s">
        <v>215</v>
      </c>
      <c r="F1471" t="s">
        <v>68</v>
      </c>
      <c r="H1471" t="s">
        <v>10</v>
      </c>
      <c r="I1471" t="s">
        <v>219</v>
      </c>
      <c r="J1471">
        <v>11</v>
      </c>
      <c r="L1471">
        <v>11</v>
      </c>
      <c r="N1471">
        <f>Таблица1[[#This Row],[Часов на заказчика  в работе]]+Таблица1[[#This Row],[Часов на заказчика  дежурство]]</f>
        <v>11</v>
      </c>
      <c r="O14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1" s="9">
        <v>170000</v>
      </c>
      <c r="R1471" s="9"/>
      <c r="S1471" s="5">
        <v>1</v>
      </c>
      <c r="T14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табеле]])*S1471,0)</f>
        <v>5666.6666666666661</v>
      </c>
      <c r="U1471" s="5">
        <f>IF(Таблица1[[#This Row],[ТТН]]&gt;0,Таблица1[[#This Row],[Ставка за ТТН]]*Таблица1[[#This Row],[ТТН]],0)</f>
        <v>0</v>
      </c>
    </row>
    <row r="1472" spans="1:22" x14ac:dyDescent="0.25">
      <c r="A1472" t="s">
        <v>84</v>
      </c>
      <c r="B1472" s="24">
        <v>2</v>
      </c>
      <c r="C1472" t="s">
        <v>144</v>
      </c>
      <c r="D1472" t="s">
        <v>12</v>
      </c>
      <c r="E1472" t="s">
        <v>215</v>
      </c>
      <c r="F1472" t="s">
        <v>68</v>
      </c>
      <c r="H1472" t="s">
        <v>10</v>
      </c>
      <c r="I1472" t="s">
        <v>219</v>
      </c>
      <c r="J1472">
        <v>11</v>
      </c>
      <c r="L1472">
        <v>11</v>
      </c>
      <c r="N1472">
        <f>Таблица1[[#This Row],[Часов на заказчика  в работе]]+Таблица1[[#This Row],[Часов на заказчика  дежурство]]</f>
        <v>11</v>
      </c>
      <c r="O14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2" s="9">
        <v>170000</v>
      </c>
      <c r="R1472" s="9"/>
      <c r="S1472" s="5">
        <v>1</v>
      </c>
      <c r="T14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табеле]])*S1472,0)</f>
        <v>5666.6666666666661</v>
      </c>
      <c r="U1472" s="5">
        <f>IF(Таблица1[[#This Row],[ТТН]]&gt;0,Таблица1[[#This Row],[Ставка за ТТН]]*Таблица1[[#This Row],[ТТН]],0)</f>
        <v>0</v>
      </c>
    </row>
    <row r="1473" spans="1:21" x14ac:dyDescent="0.25">
      <c r="A1473" t="s">
        <v>84</v>
      </c>
      <c r="B1473" s="24">
        <v>3</v>
      </c>
      <c r="C1473" t="s">
        <v>144</v>
      </c>
      <c r="D1473" t="s">
        <v>12</v>
      </c>
      <c r="E1473" t="s">
        <v>215</v>
      </c>
      <c r="F1473" t="s">
        <v>68</v>
      </c>
      <c r="H1473" t="s">
        <v>10</v>
      </c>
      <c r="I1473" t="s">
        <v>219</v>
      </c>
      <c r="J1473">
        <v>11</v>
      </c>
      <c r="L1473">
        <v>11</v>
      </c>
      <c r="N1473">
        <f>Таблица1[[#This Row],[Часов на заказчика  в работе]]+Таблица1[[#This Row],[Часов на заказчика  дежурство]]</f>
        <v>11</v>
      </c>
      <c r="O14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3" s="9">
        <v>170000</v>
      </c>
      <c r="R1473" s="9"/>
      <c r="S1473" s="5">
        <v>1</v>
      </c>
      <c r="T14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табеле]])*S1473,0)</f>
        <v>5666.6666666666661</v>
      </c>
      <c r="U1473" s="5">
        <f>IF(Таблица1[[#This Row],[ТТН]]&gt;0,Таблица1[[#This Row],[Ставка за ТТН]]*Таблица1[[#This Row],[ТТН]],0)</f>
        <v>0</v>
      </c>
    </row>
    <row r="1474" spans="1:21" x14ac:dyDescent="0.25">
      <c r="A1474" t="s">
        <v>84</v>
      </c>
      <c r="B1474" s="24">
        <v>4</v>
      </c>
      <c r="C1474" t="s">
        <v>144</v>
      </c>
      <c r="D1474" t="s">
        <v>12</v>
      </c>
      <c r="E1474" t="s">
        <v>215</v>
      </c>
      <c r="F1474" t="s">
        <v>68</v>
      </c>
      <c r="H1474" t="s">
        <v>10</v>
      </c>
      <c r="I1474" t="s">
        <v>219</v>
      </c>
      <c r="J1474">
        <v>11</v>
      </c>
      <c r="L1474">
        <v>11</v>
      </c>
      <c r="N1474">
        <f>Таблица1[[#This Row],[Часов на заказчика  в работе]]+Таблица1[[#This Row],[Часов на заказчика  дежурство]]</f>
        <v>11</v>
      </c>
      <c r="O14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4" s="9">
        <v>170000</v>
      </c>
      <c r="R1474" s="9"/>
      <c r="S1474" s="5">
        <v>1</v>
      </c>
      <c r="T14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табеле]])*S1474,0)</f>
        <v>5666.6666666666661</v>
      </c>
      <c r="U1474" s="5">
        <f>IF(Таблица1[[#This Row],[ТТН]]&gt;0,Таблица1[[#This Row],[Ставка за ТТН]]*Таблица1[[#This Row],[ТТН]],0)</f>
        <v>0</v>
      </c>
    </row>
    <row r="1475" spans="1:21" x14ac:dyDescent="0.25">
      <c r="A1475" t="s">
        <v>84</v>
      </c>
      <c r="B1475" s="24">
        <v>5</v>
      </c>
      <c r="C1475" t="s">
        <v>144</v>
      </c>
      <c r="D1475" t="s">
        <v>12</v>
      </c>
      <c r="E1475" t="s">
        <v>215</v>
      </c>
      <c r="F1475" t="s">
        <v>68</v>
      </c>
      <c r="H1475" t="s">
        <v>10</v>
      </c>
      <c r="I1475" t="s">
        <v>219</v>
      </c>
      <c r="J1475">
        <v>11</v>
      </c>
      <c r="L1475">
        <v>11</v>
      </c>
      <c r="N1475">
        <f>Таблица1[[#This Row],[Часов на заказчика  в работе]]+Таблица1[[#This Row],[Часов на заказчика  дежурство]]</f>
        <v>11</v>
      </c>
      <c r="O14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5" s="9">
        <v>170000</v>
      </c>
      <c r="R1475" s="9"/>
      <c r="S1475" s="5">
        <v>1</v>
      </c>
      <c r="T14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табеле]])*S1475,0)</f>
        <v>5666.6666666666661</v>
      </c>
      <c r="U1475" s="5">
        <f>IF(Таблица1[[#This Row],[ТТН]]&gt;0,Таблица1[[#This Row],[Ставка за ТТН]]*Таблица1[[#This Row],[ТТН]],0)</f>
        <v>0</v>
      </c>
    </row>
    <row r="1476" spans="1:21" x14ac:dyDescent="0.25">
      <c r="A1476" t="s">
        <v>84</v>
      </c>
      <c r="B1476" s="24">
        <v>6</v>
      </c>
      <c r="C1476" t="s">
        <v>144</v>
      </c>
      <c r="D1476" t="s">
        <v>12</v>
      </c>
      <c r="E1476" t="s">
        <v>215</v>
      </c>
      <c r="F1476" t="s">
        <v>68</v>
      </c>
      <c r="H1476" t="s">
        <v>10</v>
      </c>
      <c r="I1476" t="s">
        <v>219</v>
      </c>
      <c r="J1476">
        <v>11</v>
      </c>
      <c r="L1476">
        <v>11</v>
      </c>
      <c r="N1476">
        <f>Таблица1[[#This Row],[Часов на заказчика  в работе]]+Таблица1[[#This Row],[Часов на заказчика  дежурство]]</f>
        <v>11</v>
      </c>
      <c r="O14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6" s="9">
        <v>170000</v>
      </c>
      <c r="R1476" s="9"/>
      <c r="S1476" s="5">
        <v>1</v>
      </c>
      <c r="T14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табеле]])*S1476,0)</f>
        <v>5666.6666666666661</v>
      </c>
      <c r="U1476" s="5">
        <f>IF(Таблица1[[#This Row],[ТТН]]&gt;0,Таблица1[[#This Row],[Ставка за ТТН]]*Таблица1[[#This Row],[ТТН]],0)</f>
        <v>0</v>
      </c>
    </row>
    <row r="1477" spans="1:21" x14ac:dyDescent="0.25">
      <c r="A1477" t="s">
        <v>84</v>
      </c>
      <c r="B1477" s="24">
        <v>7</v>
      </c>
      <c r="C1477" t="s">
        <v>144</v>
      </c>
      <c r="D1477" t="s">
        <v>12</v>
      </c>
      <c r="E1477" t="s">
        <v>215</v>
      </c>
      <c r="F1477" t="s">
        <v>68</v>
      </c>
      <c r="H1477" t="s">
        <v>10</v>
      </c>
      <c r="I1477" t="s">
        <v>219</v>
      </c>
      <c r="J1477">
        <v>11</v>
      </c>
      <c r="L1477">
        <v>11</v>
      </c>
      <c r="N1477">
        <f>Таблица1[[#This Row],[Часов на заказчика  в работе]]+Таблица1[[#This Row],[Часов на заказчика  дежурство]]</f>
        <v>11</v>
      </c>
      <c r="O14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7" s="9">
        <v>170000</v>
      </c>
      <c r="R1477" s="9"/>
      <c r="S1477" s="5">
        <v>1</v>
      </c>
      <c r="T14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табеле]])*S1477,0)</f>
        <v>5666.6666666666661</v>
      </c>
      <c r="U1477" s="5">
        <f>IF(Таблица1[[#This Row],[ТТН]]&gt;0,Таблица1[[#This Row],[Ставка за ТТН]]*Таблица1[[#This Row],[ТТН]],0)</f>
        <v>0</v>
      </c>
    </row>
    <row r="1478" spans="1:21" x14ac:dyDescent="0.25">
      <c r="A1478" t="s">
        <v>84</v>
      </c>
      <c r="B1478" s="24">
        <v>8</v>
      </c>
      <c r="C1478" t="s">
        <v>144</v>
      </c>
      <c r="D1478" t="s">
        <v>12</v>
      </c>
      <c r="E1478" t="s">
        <v>215</v>
      </c>
      <c r="F1478" t="s">
        <v>68</v>
      </c>
      <c r="H1478" t="s">
        <v>10</v>
      </c>
      <c r="I1478" t="s">
        <v>219</v>
      </c>
      <c r="J1478">
        <v>11</v>
      </c>
      <c r="L1478">
        <v>11</v>
      </c>
      <c r="N1478">
        <f>Таблица1[[#This Row],[Часов на заказчика  в работе]]+Таблица1[[#This Row],[Часов на заказчика  дежурство]]</f>
        <v>11</v>
      </c>
      <c r="O14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8" s="9">
        <v>170000</v>
      </c>
      <c r="R1478" s="9"/>
      <c r="S1478" s="5">
        <v>1</v>
      </c>
      <c r="T14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табеле]])*S1478,0)</f>
        <v>5666.6666666666661</v>
      </c>
      <c r="U1478" s="5">
        <f>IF(Таблица1[[#This Row],[ТТН]]&gt;0,Таблица1[[#This Row],[Ставка за ТТН]]*Таблица1[[#This Row],[ТТН]],0)</f>
        <v>0</v>
      </c>
    </row>
    <row r="1479" spans="1:21" x14ac:dyDescent="0.25">
      <c r="A1479" t="s">
        <v>84</v>
      </c>
      <c r="B1479" s="24">
        <v>9</v>
      </c>
      <c r="C1479" t="s">
        <v>144</v>
      </c>
      <c r="D1479" t="s">
        <v>12</v>
      </c>
      <c r="E1479" t="s">
        <v>215</v>
      </c>
      <c r="F1479" t="s">
        <v>68</v>
      </c>
      <c r="H1479" t="s">
        <v>23</v>
      </c>
      <c r="I1479" t="s">
        <v>217</v>
      </c>
      <c r="J1479">
        <v>11</v>
      </c>
      <c r="N1479">
        <f>Таблица1[[#This Row],[Часов на заказчика  в работе]]+Таблица1[[#This Row],[Часов на заказчика  дежурство]]</f>
        <v>0</v>
      </c>
      <c r="O14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79" s="9">
        <v>170000</v>
      </c>
      <c r="R1479" s="9"/>
      <c r="S1479" s="5">
        <v>1</v>
      </c>
      <c r="T14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табеле]])*S1479,0)</f>
        <v>5666.6666666666661</v>
      </c>
      <c r="U1479" s="5">
        <f>IF(Таблица1[[#This Row],[ТТН]]&gt;0,Таблица1[[#This Row],[Ставка за ТТН]]*Таблица1[[#This Row],[ТТН]],0)</f>
        <v>0</v>
      </c>
    </row>
    <row r="1480" spans="1:21" x14ac:dyDescent="0.25">
      <c r="A1480" t="s">
        <v>84</v>
      </c>
      <c r="B1480" s="24">
        <v>10</v>
      </c>
      <c r="C1480" t="s">
        <v>144</v>
      </c>
      <c r="D1480" t="s">
        <v>12</v>
      </c>
      <c r="E1480" t="s">
        <v>215</v>
      </c>
      <c r="F1480" t="s">
        <v>68</v>
      </c>
      <c r="H1480" t="s">
        <v>23</v>
      </c>
      <c r="I1480" t="s">
        <v>217</v>
      </c>
      <c r="J1480">
        <v>11</v>
      </c>
      <c r="N1480">
        <f>Таблица1[[#This Row],[Часов на заказчика  в работе]]+Таблица1[[#This Row],[Часов на заказчика  дежурство]]</f>
        <v>0</v>
      </c>
      <c r="O14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0" s="9">
        <v>170000</v>
      </c>
      <c r="R1480" s="9"/>
      <c r="S1480" s="5">
        <v>1</v>
      </c>
      <c r="T14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табеле]])*S1480,0)</f>
        <v>5666.6666666666661</v>
      </c>
      <c r="U1480" s="5">
        <f>IF(Таблица1[[#This Row],[ТТН]]&gt;0,Таблица1[[#This Row],[Ставка за ТТН]]*Таблица1[[#This Row],[ТТН]],0)</f>
        <v>0</v>
      </c>
    </row>
    <row r="1481" spans="1:21" x14ac:dyDescent="0.25">
      <c r="A1481" t="s">
        <v>84</v>
      </c>
      <c r="B1481" s="24">
        <v>11</v>
      </c>
      <c r="C1481" t="s">
        <v>144</v>
      </c>
      <c r="D1481" t="s">
        <v>12</v>
      </c>
      <c r="E1481" t="s">
        <v>215</v>
      </c>
      <c r="F1481" t="s">
        <v>68</v>
      </c>
      <c r="H1481" t="s">
        <v>23</v>
      </c>
      <c r="I1481" t="s">
        <v>217</v>
      </c>
      <c r="J1481">
        <v>11</v>
      </c>
      <c r="N1481">
        <f>Таблица1[[#This Row],[Часов на заказчика  в работе]]+Таблица1[[#This Row],[Часов на заказчика  дежурство]]</f>
        <v>0</v>
      </c>
      <c r="O14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1" s="9">
        <v>170000</v>
      </c>
      <c r="R1481" s="9"/>
      <c r="S1481" s="5">
        <v>1</v>
      </c>
      <c r="T14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табеле]])*S1481,0)</f>
        <v>5666.6666666666661</v>
      </c>
      <c r="U1481" s="5">
        <f>IF(Таблица1[[#This Row],[ТТН]]&gt;0,Таблица1[[#This Row],[Ставка за ТТН]]*Таблица1[[#This Row],[ТТН]],0)</f>
        <v>0</v>
      </c>
    </row>
    <row r="1482" spans="1:21" x14ac:dyDescent="0.25">
      <c r="A1482" t="s">
        <v>84</v>
      </c>
      <c r="B1482" s="24">
        <v>12</v>
      </c>
      <c r="C1482" t="s">
        <v>144</v>
      </c>
      <c r="D1482" t="s">
        <v>12</v>
      </c>
      <c r="E1482" t="s">
        <v>215</v>
      </c>
      <c r="F1482" t="s">
        <v>68</v>
      </c>
      <c r="H1482" t="s">
        <v>23</v>
      </c>
      <c r="I1482" t="s">
        <v>217</v>
      </c>
      <c r="J1482">
        <v>11</v>
      </c>
      <c r="N1482">
        <f>Таблица1[[#This Row],[Часов на заказчика  в работе]]+Таблица1[[#This Row],[Часов на заказчика  дежурство]]</f>
        <v>0</v>
      </c>
      <c r="O14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2" s="9">
        <v>170000</v>
      </c>
      <c r="R1482" s="9"/>
      <c r="S1482" s="5">
        <v>1</v>
      </c>
      <c r="T14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табеле]])*S1482,0)</f>
        <v>5666.6666666666661</v>
      </c>
      <c r="U1482" s="5">
        <f>IF(Таблица1[[#This Row],[ТТН]]&gt;0,Таблица1[[#This Row],[Ставка за ТТН]]*Таблица1[[#This Row],[ТТН]],0)</f>
        <v>0</v>
      </c>
    </row>
    <row r="1483" spans="1:21" x14ac:dyDescent="0.25">
      <c r="A1483" t="s">
        <v>84</v>
      </c>
      <c r="B1483" s="24">
        <v>13</v>
      </c>
      <c r="C1483" t="s">
        <v>144</v>
      </c>
      <c r="D1483" t="s">
        <v>12</v>
      </c>
      <c r="E1483" t="s">
        <v>215</v>
      </c>
      <c r="F1483" t="s">
        <v>68</v>
      </c>
      <c r="H1483" t="s">
        <v>23</v>
      </c>
      <c r="I1483" t="s">
        <v>217</v>
      </c>
      <c r="J1483">
        <v>11</v>
      </c>
      <c r="N1483">
        <f>Таблица1[[#This Row],[Часов на заказчика  в работе]]+Таблица1[[#This Row],[Часов на заказчика  дежурство]]</f>
        <v>0</v>
      </c>
      <c r="O14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3" s="9">
        <v>170000</v>
      </c>
      <c r="R1483" s="9"/>
      <c r="S1483" s="5">
        <v>1</v>
      </c>
      <c r="T14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табеле]])*S1483,0)</f>
        <v>5666.6666666666661</v>
      </c>
      <c r="U1483" s="5">
        <f>IF(Таблица1[[#This Row],[ТТН]]&gt;0,Таблица1[[#This Row],[Ставка за ТТН]]*Таблица1[[#This Row],[ТТН]],0)</f>
        <v>0</v>
      </c>
    </row>
    <row r="1484" spans="1:21" x14ac:dyDescent="0.25">
      <c r="A1484" t="s">
        <v>84</v>
      </c>
      <c r="B1484" s="24">
        <v>14</v>
      </c>
      <c r="C1484" t="s">
        <v>144</v>
      </c>
      <c r="D1484" t="s">
        <v>12</v>
      </c>
      <c r="E1484" t="s">
        <v>215</v>
      </c>
      <c r="F1484" t="s">
        <v>68</v>
      </c>
      <c r="H1484" t="s">
        <v>23</v>
      </c>
      <c r="I1484" t="s">
        <v>217</v>
      </c>
      <c r="J1484">
        <v>11</v>
      </c>
      <c r="N1484">
        <f>Таблица1[[#This Row],[Часов на заказчика  в работе]]+Таблица1[[#This Row],[Часов на заказчика  дежурство]]</f>
        <v>0</v>
      </c>
      <c r="O14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4" s="9">
        <v>170000</v>
      </c>
      <c r="R1484" s="9"/>
      <c r="S1484" s="5">
        <v>1</v>
      </c>
      <c r="T14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табеле]])*S1484,0)</f>
        <v>5666.6666666666661</v>
      </c>
      <c r="U1484" s="5">
        <f>IF(Таблица1[[#This Row],[ТТН]]&gt;0,Таблица1[[#This Row],[Ставка за ТТН]]*Таблица1[[#This Row],[ТТН]],0)</f>
        <v>0</v>
      </c>
    </row>
    <row r="1485" spans="1:21" x14ac:dyDescent="0.25">
      <c r="A1485" t="s">
        <v>84</v>
      </c>
      <c r="B1485" s="24">
        <v>15</v>
      </c>
      <c r="C1485" t="s">
        <v>144</v>
      </c>
      <c r="D1485" t="s">
        <v>12</v>
      </c>
      <c r="E1485" t="s">
        <v>215</v>
      </c>
      <c r="F1485" t="s">
        <v>68</v>
      </c>
      <c r="H1485" t="s">
        <v>23</v>
      </c>
      <c r="I1485" t="s">
        <v>217</v>
      </c>
      <c r="J1485">
        <v>11</v>
      </c>
      <c r="N1485">
        <f>Таблица1[[#This Row],[Часов на заказчика  в работе]]+Таблица1[[#This Row],[Часов на заказчика  дежурство]]</f>
        <v>0</v>
      </c>
      <c r="O14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5" s="9">
        <v>170000</v>
      </c>
      <c r="R1485" s="9"/>
      <c r="S1485" s="5">
        <v>1</v>
      </c>
      <c r="T14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табеле]])*S1485,0)</f>
        <v>5666.6666666666661</v>
      </c>
      <c r="U1485" s="5">
        <f>IF(Таблица1[[#This Row],[ТТН]]&gt;0,Таблица1[[#This Row],[Ставка за ТТН]]*Таблица1[[#This Row],[ТТН]],0)</f>
        <v>0</v>
      </c>
    </row>
    <row r="1486" spans="1:21" x14ac:dyDescent="0.25">
      <c r="A1486" t="s">
        <v>84</v>
      </c>
      <c r="B1486" s="24">
        <v>16</v>
      </c>
      <c r="C1486" t="s">
        <v>144</v>
      </c>
      <c r="D1486" t="s">
        <v>12</v>
      </c>
      <c r="E1486" t="s">
        <v>215</v>
      </c>
      <c r="F1486" t="s">
        <v>68</v>
      </c>
      <c r="H1486" t="s">
        <v>23</v>
      </c>
      <c r="I1486" t="s">
        <v>217</v>
      </c>
      <c r="J1486">
        <v>11</v>
      </c>
      <c r="N1486">
        <f>Таблица1[[#This Row],[Часов на заказчика  в работе]]+Таблица1[[#This Row],[Часов на заказчика  дежурство]]</f>
        <v>0</v>
      </c>
      <c r="O14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6" s="9">
        <v>170000</v>
      </c>
      <c r="R1486" s="9"/>
      <c r="S1486" s="5">
        <v>1</v>
      </c>
      <c r="T14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табеле]])*S1486,0)</f>
        <v>5666.6666666666661</v>
      </c>
      <c r="U1486" s="5">
        <f>IF(Таблица1[[#This Row],[ТТН]]&gt;0,Таблица1[[#This Row],[Ставка за ТТН]]*Таблица1[[#This Row],[ТТН]],0)</f>
        <v>0</v>
      </c>
    </row>
    <row r="1487" spans="1:21" x14ac:dyDescent="0.25">
      <c r="A1487" t="s">
        <v>84</v>
      </c>
      <c r="B1487" s="24">
        <v>17</v>
      </c>
      <c r="C1487" t="s">
        <v>144</v>
      </c>
      <c r="D1487" t="s">
        <v>12</v>
      </c>
      <c r="E1487" t="s">
        <v>215</v>
      </c>
      <c r="F1487" t="s">
        <v>68</v>
      </c>
      <c r="H1487" t="s">
        <v>23</v>
      </c>
      <c r="I1487" t="s">
        <v>217</v>
      </c>
      <c r="J1487">
        <v>11</v>
      </c>
      <c r="N1487">
        <f>Таблица1[[#This Row],[Часов на заказчика  в работе]]+Таблица1[[#This Row],[Часов на заказчика  дежурство]]</f>
        <v>0</v>
      </c>
      <c r="O14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7" s="9">
        <v>170000</v>
      </c>
      <c r="R1487" s="9"/>
      <c r="S1487" s="5">
        <v>1</v>
      </c>
      <c r="T14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табеле]])*S1487,0)</f>
        <v>5666.6666666666661</v>
      </c>
      <c r="U1487" s="5">
        <f>IF(Таблица1[[#This Row],[ТТН]]&gt;0,Таблица1[[#This Row],[Ставка за ТТН]]*Таблица1[[#This Row],[ТТН]],0)</f>
        <v>0</v>
      </c>
    </row>
    <row r="1488" spans="1:21" x14ac:dyDescent="0.25">
      <c r="A1488" t="s">
        <v>84</v>
      </c>
      <c r="B1488" s="24">
        <v>18</v>
      </c>
      <c r="C1488" t="s">
        <v>144</v>
      </c>
      <c r="D1488" t="s">
        <v>12</v>
      </c>
      <c r="E1488" t="s">
        <v>215</v>
      </c>
      <c r="F1488" t="s">
        <v>68</v>
      </c>
      <c r="H1488" t="s">
        <v>23</v>
      </c>
      <c r="I1488" t="s">
        <v>217</v>
      </c>
      <c r="J1488">
        <v>11</v>
      </c>
      <c r="N1488">
        <f>Таблица1[[#This Row],[Часов на заказчика  в работе]]+Таблица1[[#This Row],[Часов на заказчика  дежурство]]</f>
        <v>0</v>
      </c>
      <c r="O14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8" s="9">
        <v>170000</v>
      </c>
      <c r="R1488" s="9"/>
      <c r="S1488" s="5">
        <v>1</v>
      </c>
      <c r="T14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табеле]])*S1488,0)</f>
        <v>5666.6666666666661</v>
      </c>
      <c r="U1488" s="5">
        <f>IF(Таблица1[[#This Row],[ТТН]]&gt;0,Таблица1[[#This Row],[Ставка за ТТН]]*Таблица1[[#This Row],[ТТН]],0)</f>
        <v>0</v>
      </c>
    </row>
    <row r="1489" spans="1:21" x14ac:dyDescent="0.25">
      <c r="A1489" t="s">
        <v>84</v>
      </c>
      <c r="B1489" s="24">
        <v>19</v>
      </c>
      <c r="C1489" t="s">
        <v>144</v>
      </c>
      <c r="D1489" t="s">
        <v>12</v>
      </c>
      <c r="E1489" t="s">
        <v>215</v>
      </c>
      <c r="F1489" t="s">
        <v>68</v>
      </c>
      <c r="H1489" t="s">
        <v>24</v>
      </c>
      <c r="I1489" t="s">
        <v>217</v>
      </c>
      <c r="J1489">
        <v>8</v>
      </c>
      <c r="N1489">
        <f>Таблица1[[#This Row],[Часов на заказчика  в работе]]+Таблица1[[#This Row],[Часов на заказчика  дежурство]]</f>
        <v>0</v>
      </c>
      <c r="O14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89" s="9">
        <v>170000</v>
      </c>
      <c r="R1489" s="9"/>
      <c r="S1489" s="5">
        <v>1</v>
      </c>
      <c r="T14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табеле]])*S1489,0)</f>
        <v>0</v>
      </c>
      <c r="U1489" s="5">
        <f>IF(Таблица1[[#This Row],[ТТН]]&gt;0,Таблица1[[#This Row],[Ставка за ТТН]]*Таблица1[[#This Row],[ТТН]],0)</f>
        <v>0</v>
      </c>
    </row>
    <row r="1490" spans="1:21" x14ac:dyDescent="0.25">
      <c r="A1490" t="s">
        <v>84</v>
      </c>
      <c r="B1490" s="24">
        <v>20</v>
      </c>
      <c r="C1490" t="s">
        <v>144</v>
      </c>
      <c r="D1490" t="s">
        <v>12</v>
      </c>
      <c r="E1490" t="s">
        <v>215</v>
      </c>
      <c r="F1490" t="s">
        <v>68</v>
      </c>
      <c r="H1490" t="s">
        <v>24</v>
      </c>
      <c r="I1490" t="s">
        <v>217</v>
      </c>
      <c r="J1490">
        <v>8</v>
      </c>
      <c r="N1490">
        <f>Таблица1[[#This Row],[Часов на заказчика  в работе]]+Таблица1[[#This Row],[Часов на заказчика  дежурство]]</f>
        <v>0</v>
      </c>
      <c r="O14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0" s="9">
        <v>170000</v>
      </c>
      <c r="R1490" s="9"/>
      <c r="S1490" s="5">
        <v>1</v>
      </c>
      <c r="T14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табеле]])*S1490,0)</f>
        <v>0</v>
      </c>
      <c r="U1490" s="5">
        <f>IF(Таблица1[[#This Row],[ТТН]]&gt;0,Таблица1[[#This Row],[Ставка за ТТН]]*Таблица1[[#This Row],[ТТН]],0)</f>
        <v>0</v>
      </c>
    </row>
    <row r="1491" spans="1:21" x14ac:dyDescent="0.25">
      <c r="A1491" t="s">
        <v>84</v>
      </c>
      <c r="B1491" s="24">
        <v>21</v>
      </c>
      <c r="C1491" t="s">
        <v>144</v>
      </c>
      <c r="D1491" t="s">
        <v>12</v>
      </c>
      <c r="E1491" t="s">
        <v>215</v>
      </c>
      <c r="F1491" t="s">
        <v>68</v>
      </c>
      <c r="H1491" t="s">
        <v>24</v>
      </c>
      <c r="I1491" t="s">
        <v>217</v>
      </c>
      <c r="J1491">
        <v>8</v>
      </c>
      <c r="N1491">
        <f>Таблица1[[#This Row],[Часов на заказчика  в работе]]+Таблица1[[#This Row],[Часов на заказчика  дежурство]]</f>
        <v>0</v>
      </c>
      <c r="O14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1" s="9">
        <v>170000</v>
      </c>
      <c r="R1491" s="9"/>
      <c r="S1491" s="5">
        <v>1</v>
      </c>
      <c r="T14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табеле]])*S1491,0)</f>
        <v>0</v>
      </c>
      <c r="U1491" s="5">
        <f>IF(Таблица1[[#This Row],[ТТН]]&gt;0,Таблица1[[#This Row],[Ставка за ТТН]]*Таблица1[[#This Row],[ТТН]],0)</f>
        <v>0</v>
      </c>
    </row>
    <row r="1492" spans="1:21" x14ac:dyDescent="0.25">
      <c r="A1492" t="s">
        <v>84</v>
      </c>
      <c r="B1492" s="24">
        <v>22</v>
      </c>
      <c r="C1492" t="s">
        <v>144</v>
      </c>
      <c r="D1492" t="s">
        <v>12</v>
      </c>
      <c r="E1492" t="s">
        <v>215</v>
      </c>
      <c r="F1492" t="s">
        <v>68</v>
      </c>
      <c r="H1492" t="s">
        <v>24</v>
      </c>
      <c r="I1492" t="s">
        <v>217</v>
      </c>
      <c r="J1492">
        <v>8</v>
      </c>
      <c r="N1492">
        <f>Таблица1[[#This Row],[Часов на заказчика  в работе]]+Таблица1[[#This Row],[Часов на заказчика  дежурство]]</f>
        <v>0</v>
      </c>
      <c r="O14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2" s="9">
        <v>170000</v>
      </c>
      <c r="R1492" s="9"/>
      <c r="S1492" s="5">
        <v>1</v>
      </c>
      <c r="T14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табеле]])*S1492,0)</f>
        <v>0</v>
      </c>
      <c r="U1492" s="5">
        <f>IF(Таблица1[[#This Row],[ТТН]]&gt;0,Таблица1[[#This Row],[Ставка за ТТН]]*Таблица1[[#This Row],[ТТН]],0)</f>
        <v>0</v>
      </c>
    </row>
    <row r="1493" spans="1:21" x14ac:dyDescent="0.25">
      <c r="A1493" t="s">
        <v>84</v>
      </c>
      <c r="B1493" s="24">
        <v>23</v>
      </c>
      <c r="C1493" t="s">
        <v>144</v>
      </c>
      <c r="D1493" t="s">
        <v>12</v>
      </c>
      <c r="E1493" t="s">
        <v>215</v>
      </c>
      <c r="F1493" t="s">
        <v>68</v>
      </c>
      <c r="H1493" t="s">
        <v>29</v>
      </c>
      <c r="I1493" t="s">
        <v>217</v>
      </c>
      <c r="J1493">
        <v>8</v>
      </c>
      <c r="N1493">
        <f>Таблица1[[#This Row],[Часов на заказчика  в работе]]+Таблица1[[#This Row],[Часов на заказчика  дежурство]]</f>
        <v>0</v>
      </c>
      <c r="O14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3" s="9">
        <v>170000</v>
      </c>
      <c r="R1493" s="9"/>
      <c r="S1493" s="5">
        <v>1</v>
      </c>
      <c r="T14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табеле]])*S1493,0)</f>
        <v>0</v>
      </c>
      <c r="U1493" s="5">
        <f>IF(Таблица1[[#This Row],[ТТН]]&gt;0,Таблица1[[#This Row],[Ставка за ТТН]]*Таблица1[[#This Row],[ТТН]],0)</f>
        <v>0</v>
      </c>
    </row>
    <row r="1494" spans="1:21" x14ac:dyDescent="0.25">
      <c r="A1494" t="s">
        <v>84</v>
      </c>
      <c r="B1494" s="24">
        <v>24</v>
      </c>
      <c r="C1494" t="s">
        <v>144</v>
      </c>
      <c r="D1494" t="s">
        <v>12</v>
      </c>
      <c r="E1494" t="s">
        <v>215</v>
      </c>
      <c r="F1494" t="s">
        <v>68</v>
      </c>
      <c r="H1494" t="s">
        <v>29</v>
      </c>
      <c r="I1494" t="s">
        <v>217</v>
      </c>
      <c r="J1494">
        <v>8</v>
      </c>
      <c r="N1494">
        <f>Таблица1[[#This Row],[Часов на заказчика  в работе]]+Таблица1[[#This Row],[Часов на заказчика  дежурство]]</f>
        <v>0</v>
      </c>
      <c r="O14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4" s="9">
        <v>170000</v>
      </c>
      <c r="R1494" s="9"/>
      <c r="S1494" s="5">
        <v>1</v>
      </c>
      <c r="T14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табеле]])*S1494,0)</f>
        <v>0</v>
      </c>
      <c r="U1494" s="5">
        <f>IF(Таблица1[[#This Row],[ТТН]]&gt;0,Таблица1[[#This Row],[Ставка за ТТН]]*Таблица1[[#This Row],[ТТН]],0)</f>
        <v>0</v>
      </c>
    </row>
    <row r="1495" spans="1:21" x14ac:dyDescent="0.25">
      <c r="A1495" t="s">
        <v>84</v>
      </c>
      <c r="B1495" s="24">
        <v>25</v>
      </c>
      <c r="C1495" t="s">
        <v>144</v>
      </c>
      <c r="D1495" t="s">
        <v>12</v>
      </c>
      <c r="E1495" t="s">
        <v>215</v>
      </c>
      <c r="F1495" t="s">
        <v>68</v>
      </c>
      <c r="H1495" t="s">
        <v>29</v>
      </c>
      <c r="I1495" t="s">
        <v>217</v>
      </c>
      <c r="J1495">
        <v>8</v>
      </c>
      <c r="N1495">
        <f>Таблица1[[#This Row],[Часов на заказчика  в работе]]+Таблица1[[#This Row],[Часов на заказчика  дежурство]]</f>
        <v>0</v>
      </c>
      <c r="O14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5" s="9">
        <v>170000</v>
      </c>
      <c r="R1495" s="9"/>
      <c r="S1495" s="5">
        <v>1</v>
      </c>
      <c r="T14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табеле]])*S1495,0)</f>
        <v>0</v>
      </c>
      <c r="U1495" s="5">
        <f>IF(Таблица1[[#This Row],[ТТН]]&gt;0,Таблица1[[#This Row],[Ставка за ТТН]]*Таблица1[[#This Row],[ТТН]],0)</f>
        <v>0</v>
      </c>
    </row>
    <row r="1496" spans="1:21" x14ac:dyDescent="0.25">
      <c r="A1496" t="s">
        <v>84</v>
      </c>
      <c r="B1496" s="24">
        <v>26</v>
      </c>
      <c r="C1496" t="s">
        <v>144</v>
      </c>
      <c r="D1496" t="s">
        <v>12</v>
      </c>
      <c r="E1496" t="s">
        <v>215</v>
      </c>
      <c r="F1496" t="s">
        <v>68</v>
      </c>
      <c r="H1496" t="s">
        <v>29</v>
      </c>
      <c r="I1496" t="s">
        <v>217</v>
      </c>
      <c r="J1496">
        <v>8</v>
      </c>
      <c r="N1496">
        <f>Таблица1[[#This Row],[Часов на заказчика  в работе]]+Таблица1[[#This Row],[Часов на заказчика  дежурство]]</f>
        <v>0</v>
      </c>
      <c r="O14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6" s="9">
        <v>170000</v>
      </c>
      <c r="R1496" s="9"/>
      <c r="S1496" s="5">
        <v>1</v>
      </c>
      <c r="T14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табеле]])*S1496,0)</f>
        <v>0</v>
      </c>
      <c r="U1496" s="5">
        <f>IF(Таблица1[[#This Row],[ТТН]]&gt;0,Таблица1[[#This Row],[Ставка за ТТН]]*Таблица1[[#This Row],[ТТН]],0)</f>
        <v>0</v>
      </c>
    </row>
    <row r="1497" spans="1:21" x14ac:dyDescent="0.25">
      <c r="A1497" t="s">
        <v>84</v>
      </c>
      <c r="B1497" s="24">
        <v>27</v>
      </c>
      <c r="C1497" t="s">
        <v>144</v>
      </c>
      <c r="D1497" t="s">
        <v>12</v>
      </c>
      <c r="E1497" t="s">
        <v>215</v>
      </c>
      <c r="F1497" t="s">
        <v>68</v>
      </c>
      <c r="H1497" t="s">
        <v>30</v>
      </c>
      <c r="I1497" t="s">
        <v>217</v>
      </c>
      <c r="J1497">
        <v>1</v>
      </c>
      <c r="N1497">
        <f>Таблица1[[#This Row],[Часов на заказчика  в работе]]+Таблица1[[#This Row],[Часов на заказчика  дежурство]]</f>
        <v>0</v>
      </c>
      <c r="O14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7" s="9">
        <v>170000</v>
      </c>
      <c r="R1497" s="9"/>
      <c r="S1497" s="5">
        <v>1</v>
      </c>
      <c r="T14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табеле]])*S1497,0)</f>
        <v>0</v>
      </c>
      <c r="U1497" s="5">
        <f>IF(Таблица1[[#This Row],[ТТН]]&gt;0,Таблица1[[#This Row],[Ставка за ТТН]]*Таблица1[[#This Row],[ТТН]],0)</f>
        <v>0</v>
      </c>
    </row>
    <row r="1498" spans="1:21" x14ac:dyDescent="0.25">
      <c r="A1498" t="s">
        <v>84</v>
      </c>
      <c r="B1498" s="24">
        <v>28</v>
      </c>
      <c r="C1498" t="s">
        <v>144</v>
      </c>
      <c r="D1498" t="s">
        <v>12</v>
      </c>
      <c r="E1498" t="s">
        <v>215</v>
      </c>
      <c r="F1498" t="s">
        <v>68</v>
      </c>
      <c r="H1498" t="s">
        <v>30</v>
      </c>
      <c r="I1498" t="s">
        <v>217</v>
      </c>
      <c r="J1498">
        <v>1</v>
      </c>
      <c r="N1498">
        <f>Таблица1[[#This Row],[Часов на заказчика  в работе]]+Таблица1[[#This Row],[Часов на заказчика  дежурство]]</f>
        <v>0</v>
      </c>
      <c r="O14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8" s="9">
        <v>170000</v>
      </c>
      <c r="R1498" s="9"/>
      <c r="S1498" s="5">
        <v>1</v>
      </c>
      <c r="T14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табеле]])*S1498,0)</f>
        <v>0</v>
      </c>
      <c r="U1498" s="5">
        <f>IF(Таблица1[[#This Row],[ТТН]]&gt;0,Таблица1[[#This Row],[Ставка за ТТН]]*Таблица1[[#This Row],[ТТН]],0)</f>
        <v>0</v>
      </c>
    </row>
    <row r="1499" spans="1:21" x14ac:dyDescent="0.25">
      <c r="A1499" t="s">
        <v>84</v>
      </c>
      <c r="B1499" s="24">
        <v>29</v>
      </c>
      <c r="C1499" t="s">
        <v>144</v>
      </c>
      <c r="D1499" t="s">
        <v>12</v>
      </c>
      <c r="E1499" t="s">
        <v>215</v>
      </c>
      <c r="F1499" t="s">
        <v>68</v>
      </c>
      <c r="H1499" t="s">
        <v>29</v>
      </c>
      <c r="I1499" t="s">
        <v>217</v>
      </c>
      <c r="J1499">
        <v>8</v>
      </c>
      <c r="N1499">
        <f>Таблица1[[#This Row],[Часов на заказчика  в работе]]+Таблица1[[#This Row],[Часов на заказчика  дежурство]]</f>
        <v>0</v>
      </c>
      <c r="O14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499" s="9">
        <v>170000</v>
      </c>
      <c r="R1499" s="9"/>
      <c r="S1499" s="5">
        <v>1</v>
      </c>
      <c r="T14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табеле]])*S1499,0)</f>
        <v>0</v>
      </c>
      <c r="U1499" s="5">
        <f>IF(Таблица1[[#This Row],[ТТН]]&gt;0,Таблица1[[#This Row],[Ставка за ТТН]]*Таблица1[[#This Row],[ТТН]],0)</f>
        <v>0</v>
      </c>
    </row>
    <row r="1500" spans="1:21" x14ac:dyDescent="0.25">
      <c r="A1500" t="s">
        <v>84</v>
      </c>
      <c r="B1500" s="24">
        <v>30</v>
      </c>
      <c r="C1500" t="s">
        <v>145</v>
      </c>
      <c r="D1500" t="s">
        <v>12</v>
      </c>
      <c r="E1500" t="s">
        <v>215</v>
      </c>
      <c r="F1500" t="s">
        <v>68</v>
      </c>
      <c r="H1500" t="s">
        <v>29</v>
      </c>
      <c r="I1500" t="s">
        <v>217</v>
      </c>
      <c r="J1500">
        <v>8</v>
      </c>
      <c r="N1500">
        <f>Таблица1[[#This Row],[Часов на заказчика  в работе]]+Таблица1[[#This Row],[Часов на заказчика  дежурство]]</f>
        <v>0</v>
      </c>
      <c r="O15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0" s="9">
        <v>170000</v>
      </c>
      <c r="R1500" s="9"/>
      <c r="S1500" s="5">
        <v>1</v>
      </c>
      <c r="T15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табеле]])*S1500,0)</f>
        <v>0</v>
      </c>
      <c r="U1500" s="5">
        <f>IF(Таблица1[[#This Row],[ТТН]]&gt;0,Таблица1[[#This Row],[Ставка за ТТН]]*Таблица1[[#This Row],[ТТН]],0)</f>
        <v>0</v>
      </c>
    </row>
    <row r="1501" spans="1:21" x14ac:dyDescent="0.25">
      <c r="A1501" t="s">
        <v>84</v>
      </c>
      <c r="B1501" s="24">
        <v>1</v>
      </c>
      <c r="C1501" t="s">
        <v>145</v>
      </c>
      <c r="D1501" t="s">
        <v>69</v>
      </c>
      <c r="E1501" t="s">
        <v>215</v>
      </c>
      <c r="F1501" t="s">
        <v>69</v>
      </c>
      <c r="H1501" t="s">
        <v>10</v>
      </c>
      <c r="I1501" t="s">
        <v>217</v>
      </c>
      <c r="J1501">
        <v>19</v>
      </c>
      <c r="N1501">
        <f>Таблица1[[#This Row],[Часов на заказчика  в работе]]+Таблица1[[#This Row],[Часов на заказчика  дежурство]]</f>
        <v>0</v>
      </c>
      <c r="O15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1" s="9"/>
      <c r="R1501" s="9"/>
      <c r="S1501" s="5">
        <v>1</v>
      </c>
      <c r="T15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табеле]])*S1501,0)</f>
        <v>0</v>
      </c>
      <c r="U1501" s="5">
        <f>IF(Таблица1[[#This Row],[ТТН]]&gt;0,Таблица1[[#This Row],[Ставка за ТТН]]*Таблица1[[#This Row],[ТТН]],0)</f>
        <v>0</v>
      </c>
    </row>
    <row r="1502" spans="1:21" x14ac:dyDescent="0.25">
      <c r="A1502" t="s">
        <v>84</v>
      </c>
      <c r="B1502" s="24">
        <v>2</v>
      </c>
      <c r="C1502" t="s">
        <v>145</v>
      </c>
      <c r="D1502" t="s">
        <v>69</v>
      </c>
      <c r="E1502" t="s">
        <v>215</v>
      </c>
      <c r="F1502" t="s">
        <v>69</v>
      </c>
      <c r="H1502" t="s">
        <v>10</v>
      </c>
      <c r="I1502" t="s">
        <v>217</v>
      </c>
      <c r="J1502">
        <v>17</v>
      </c>
      <c r="N1502">
        <f>Таблица1[[#This Row],[Часов на заказчика  в работе]]+Таблица1[[#This Row],[Часов на заказчика  дежурство]]</f>
        <v>0</v>
      </c>
      <c r="O15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2" s="9"/>
      <c r="R1502" s="9"/>
      <c r="S1502" s="5">
        <v>1</v>
      </c>
      <c r="T15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табеле]])*S1502,0)</f>
        <v>0</v>
      </c>
      <c r="U1502" s="5">
        <f>IF(Таблица1[[#This Row],[ТТН]]&gt;0,Таблица1[[#This Row],[Ставка за ТТН]]*Таблица1[[#This Row],[ТТН]],0)</f>
        <v>0</v>
      </c>
    </row>
    <row r="1503" spans="1:21" x14ac:dyDescent="0.25">
      <c r="A1503" t="s">
        <v>84</v>
      </c>
      <c r="B1503" s="24">
        <v>3</v>
      </c>
      <c r="C1503" t="s">
        <v>145</v>
      </c>
      <c r="D1503" t="s">
        <v>69</v>
      </c>
      <c r="E1503" t="s">
        <v>215</v>
      </c>
      <c r="F1503" t="s">
        <v>69</v>
      </c>
      <c r="H1503" t="s">
        <v>10</v>
      </c>
      <c r="I1503" t="s">
        <v>217</v>
      </c>
      <c r="J1503">
        <v>13</v>
      </c>
      <c r="N1503">
        <f>Таблица1[[#This Row],[Часов на заказчика  в работе]]+Таблица1[[#This Row],[Часов на заказчика  дежурство]]</f>
        <v>0</v>
      </c>
      <c r="O15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3" s="9"/>
      <c r="R1503" s="9"/>
      <c r="S1503" s="5">
        <v>1</v>
      </c>
      <c r="T15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табеле]])*S1503,0)</f>
        <v>0</v>
      </c>
      <c r="U1503" s="5">
        <f>IF(Таблица1[[#This Row],[ТТН]]&gt;0,Таблица1[[#This Row],[Ставка за ТТН]]*Таблица1[[#This Row],[ТТН]],0)</f>
        <v>0</v>
      </c>
    </row>
    <row r="1504" spans="1:21" x14ac:dyDescent="0.25">
      <c r="A1504" t="s">
        <v>84</v>
      </c>
      <c r="B1504" s="24">
        <v>4</v>
      </c>
      <c r="C1504" t="s">
        <v>145</v>
      </c>
      <c r="D1504" t="s">
        <v>69</v>
      </c>
      <c r="E1504" t="s">
        <v>215</v>
      </c>
      <c r="F1504" t="s">
        <v>69</v>
      </c>
      <c r="H1504" t="s">
        <v>10</v>
      </c>
      <c r="I1504" t="s">
        <v>217</v>
      </c>
      <c r="J1504">
        <v>22</v>
      </c>
      <c r="N1504">
        <f>Таблица1[[#This Row],[Часов на заказчика  в работе]]+Таблица1[[#This Row],[Часов на заказчика  дежурство]]</f>
        <v>0</v>
      </c>
      <c r="O15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4" s="9"/>
      <c r="R1504" s="9"/>
      <c r="S1504" s="5">
        <v>1</v>
      </c>
      <c r="T15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табеле]])*S1504,0)</f>
        <v>0</v>
      </c>
      <c r="U1504" s="5">
        <f>IF(Таблица1[[#This Row],[ТТН]]&gt;0,Таблица1[[#This Row],[Ставка за ТТН]]*Таблица1[[#This Row],[ТТН]],0)</f>
        <v>0</v>
      </c>
    </row>
    <row r="1505" spans="1:21" x14ac:dyDescent="0.25">
      <c r="A1505" t="s">
        <v>84</v>
      </c>
      <c r="B1505" s="24">
        <v>5</v>
      </c>
      <c r="C1505" t="s">
        <v>145</v>
      </c>
      <c r="D1505" t="s">
        <v>69</v>
      </c>
      <c r="E1505" t="s">
        <v>215</v>
      </c>
      <c r="F1505" t="s">
        <v>69</v>
      </c>
      <c r="H1505" t="s">
        <v>10</v>
      </c>
      <c r="I1505" t="s">
        <v>217</v>
      </c>
      <c r="J1505">
        <v>22</v>
      </c>
      <c r="N1505">
        <f>Таблица1[[#This Row],[Часов на заказчика  в работе]]+Таблица1[[#This Row],[Часов на заказчика  дежурство]]</f>
        <v>0</v>
      </c>
      <c r="O15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5" s="9"/>
      <c r="R1505" s="9"/>
      <c r="S1505" s="5">
        <v>1</v>
      </c>
      <c r="T15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табеле]])*S1505,0)</f>
        <v>0</v>
      </c>
      <c r="U1505" s="5">
        <f>IF(Таблица1[[#This Row],[ТТН]]&gt;0,Таблица1[[#This Row],[Ставка за ТТН]]*Таблица1[[#This Row],[ТТН]],0)</f>
        <v>0</v>
      </c>
    </row>
    <row r="1506" spans="1:21" x14ac:dyDescent="0.25">
      <c r="A1506" t="s">
        <v>84</v>
      </c>
      <c r="B1506" s="24">
        <v>6</v>
      </c>
      <c r="C1506" t="s">
        <v>145</v>
      </c>
      <c r="D1506" t="s">
        <v>69</v>
      </c>
      <c r="E1506" t="s">
        <v>215</v>
      </c>
      <c r="F1506" t="s">
        <v>69</v>
      </c>
      <c r="H1506" t="s">
        <v>10</v>
      </c>
      <c r="I1506" t="s">
        <v>217</v>
      </c>
      <c r="J1506">
        <v>22</v>
      </c>
      <c r="N1506">
        <f>Таблица1[[#This Row],[Часов на заказчика  в работе]]+Таблица1[[#This Row],[Часов на заказчика  дежурство]]</f>
        <v>0</v>
      </c>
      <c r="O15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6" s="9"/>
      <c r="R1506" s="9"/>
      <c r="S1506" s="5">
        <v>1</v>
      </c>
      <c r="T15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табеле]])*S1506,0)</f>
        <v>0</v>
      </c>
      <c r="U1506" s="5">
        <f>IF(Таблица1[[#This Row],[ТТН]]&gt;0,Таблица1[[#This Row],[Ставка за ТТН]]*Таблица1[[#This Row],[ТТН]],0)</f>
        <v>0</v>
      </c>
    </row>
    <row r="1507" spans="1:21" x14ac:dyDescent="0.25">
      <c r="A1507" t="s">
        <v>84</v>
      </c>
      <c r="B1507" s="24">
        <v>7</v>
      </c>
      <c r="C1507" t="s">
        <v>145</v>
      </c>
      <c r="D1507" t="s">
        <v>69</v>
      </c>
      <c r="E1507" t="s">
        <v>215</v>
      </c>
      <c r="F1507" t="s">
        <v>69</v>
      </c>
      <c r="H1507" t="s">
        <v>10</v>
      </c>
      <c r="I1507" t="s">
        <v>217</v>
      </c>
      <c r="J1507">
        <v>11</v>
      </c>
      <c r="N1507">
        <f>Таблица1[[#This Row],[Часов на заказчика  в работе]]+Таблица1[[#This Row],[Часов на заказчика  дежурство]]</f>
        <v>0</v>
      </c>
      <c r="O15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7" s="9"/>
      <c r="R1507" s="9"/>
      <c r="S1507" s="5">
        <v>1</v>
      </c>
      <c r="T15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табеле]])*S1507,0)</f>
        <v>0</v>
      </c>
      <c r="U1507" s="5">
        <f>IF(Таблица1[[#This Row],[ТТН]]&gt;0,Таблица1[[#This Row],[Ставка за ТТН]]*Таблица1[[#This Row],[ТТН]],0)</f>
        <v>0</v>
      </c>
    </row>
    <row r="1508" spans="1:21" x14ac:dyDescent="0.25">
      <c r="A1508" t="s">
        <v>84</v>
      </c>
      <c r="B1508" s="24">
        <v>8</v>
      </c>
      <c r="C1508" t="s">
        <v>145</v>
      </c>
      <c r="D1508" t="s">
        <v>69</v>
      </c>
      <c r="E1508" t="s">
        <v>215</v>
      </c>
      <c r="F1508" t="s">
        <v>69</v>
      </c>
      <c r="H1508" t="s">
        <v>10</v>
      </c>
      <c r="I1508" t="s">
        <v>217</v>
      </c>
      <c r="J1508">
        <v>11</v>
      </c>
      <c r="N1508">
        <f>Таблица1[[#This Row],[Часов на заказчика  в работе]]+Таблица1[[#This Row],[Часов на заказчика  дежурство]]</f>
        <v>0</v>
      </c>
      <c r="O15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8" s="9"/>
      <c r="R1508" s="9"/>
      <c r="S1508" s="5">
        <v>1</v>
      </c>
      <c r="T15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табеле]])*S1508,0)</f>
        <v>0</v>
      </c>
      <c r="U1508" s="5">
        <f>IF(Таблица1[[#This Row],[ТТН]]&gt;0,Таблица1[[#This Row],[Ставка за ТТН]]*Таблица1[[#This Row],[ТТН]],0)</f>
        <v>0</v>
      </c>
    </row>
    <row r="1509" spans="1:21" x14ac:dyDescent="0.25">
      <c r="A1509" t="s">
        <v>84</v>
      </c>
      <c r="B1509" s="24">
        <v>9</v>
      </c>
      <c r="C1509" t="s">
        <v>145</v>
      </c>
      <c r="D1509" t="s">
        <v>69</v>
      </c>
      <c r="E1509" t="s">
        <v>215</v>
      </c>
      <c r="F1509" t="s">
        <v>69</v>
      </c>
      <c r="H1509" t="s">
        <v>10</v>
      </c>
      <c r="I1509" t="s">
        <v>217</v>
      </c>
      <c r="J1509">
        <v>14</v>
      </c>
      <c r="N1509">
        <f>Таблица1[[#This Row],[Часов на заказчика  в работе]]+Таблица1[[#This Row],[Часов на заказчика  дежурство]]</f>
        <v>0</v>
      </c>
      <c r="O15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09" s="9"/>
      <c r="R1509" s="9"/>
      <c r="S1509" s="5">
        <v>1</v>
      </c>
      <c r="T15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табеле]])*S1509,0)</f>
        <v>0</v>
      </c>
      <c r="U1509" s="5">
        <f>IF(Таблица1[[#This Row],[ТТН]]&gt;0,Таблица1[[#This Row],[Ставка за ТТН]]*Таблица1[[#This Row],[ТТН]],0)</f>
        <v>0</v>
      </c>
    </row>
    <row r="1510" spans="1:21" x14ac:dyDescent="0.25">
      <c r="A1510" t="s">
        <v>84</v>
      </c>
      <c r="B1510" s="24">
        <v>10</v>
      </c>
      <c r="C1510" t="s">
        <v>145</v>
      </c>
      <c r="D1510" t="s">
        <v>69</v>
      </c>
      <c r="E1510" t="s">
        <v>215</v>
      </c>
      <c r="F1510" t="s">
        <v>69</v>
      </c>
      <c r="H1510" t="s">
        <v>10</v>
      </c>
      <c r="I1510" t="s">
        <v>217</v>
      </c>
      <c r="J1510">
        <v>11</v>
      </c>
      <c r="N1510">
        <f>Таблица1[[#This Row],[Часов на заказчика  в работе]]+Таблица1[[#This Row],[Часов на заказчика  дежурство]]</f>
        <v>0</v>
      </c>
      <c r="O15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0" s="9"/>
      <c r="R1510" s="9"/>
      <c r="S1510" s="5">
        <v>1</v>
      </c>
      <c r="T15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табеле]])*S1510,0)</f>
        <v>0</v>
      </c>
      <c r="U1510" s="5">
        <f>IF(Таблица1[[#This Row],[ТТН]]&gt;0,Таблица1[[#This Row],[Ставка за ТТН]]*Таблица1[[#This Row],[ТТН]],0)</f>
        <v>0</v>
      </c>
    </row>
    <row r="1511" spans="1:21" x14ac:dyDescent="0.25">
      <c r="A1511" t="s">
        <v>84</v>
      </c>
      <c r="B1511" s="24">
        <v>11</v>
      </c>
      <c r="C1511" t="s">
        <v>145</v>
      </c>
      <c r="D1511" t="s">
        <v>69</v>
      </c>
      <c r="E1511" t="s">
        <v>215</v>
      </c>
      <c r="F1511" t="s">
        <v>69</v>
      </c>
      <c r="H1511" t="s">
        <v>10</v>
      </c>
      <c r="I1511" t="s">
        <v>217</v>
      </c>
      <c r="J1511">
        <v>16</v>
      </c>
      <c r="N1511">
        <f>Таблица1[[#This Row],[Часов на заказчика  в работе]]+Таблица1[[#This Row],[Часов на заказчика  дежурство]]</f>
        <v>0</v>
      </c>
      <c r="O15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1" s="9"/>
      <c r="R1511" s="9"/>
      <c r="S1511" s="5">
        <v>1</v>
      </c>
      <c r="T15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табеле]])*S1511,0)</f>
        <v>0</v>
      </c>
      <c r="U1511" s="5">
        <f>IF(Таблица1[[#This Row],[ТТН]]&gt;0,Таблица1[[#This Row],[Ставка за ТТН]]*Таблица1[[#This Row],[ТТН]],0)</f>
        <v>0</v>
      </c>
    </row>
    <row r="1512" spans="1:21" x14ac:dyDescent="0.25">
      <c r="A1512" t="s">
        <v>84</v>
      </c>
      <c r="B1512" s="24">
        <v>12</v>
      </c>
      <c r="C1512" t="s">
        <v>145</v>
      </c>
      <c r="D1512" t="s">
        <v>69</v>
      </c>
      <c r="E1512" t="s">
        <v>215</v>
      </c>
      <c r="F1512" t="s">
        <v>69</v>
      </c>
      <c r="H1512" t="s">
        <v>10</v>
      </c>
      <c r="I1512" t="s">
        <v>217</v>
      </c>
      <c r="J1512">
        <v>11</v>
      </c>
      <c r="N1512">
        <f>Таблица1[[#This Row],[Часов на заказчика  в работе]]+Таблица1[[#This Row],[Часов на заказчика  дежурство]]</f>
        <v>0</v>
      </c>
      <c r="O15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2" s="9"/>
      <c r="R1512" s="9"/>
      <c r="S1512" s="5">
        <v>1</v>
      </c>
      <c r="T15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табеле]])*S1512,0)</f>
        <v>0</v>
      </c>
      <c r="U1512" s="5">
        <f>IF(Таблица1[[#This Row],[ТТН]]&gt;0,Таблица1[[#This Row],[Ставка за ТТН]]*Таблица1[[#This Row],[ТТН]],0)</f>
        <v>0</v>
      </c>
    </row>
    <row r="1513" spans="1:21" x14ac:dyDescent="0.25">
      <c r="A1513" t="s">
        <v>84</v>
      </c>
      <c r="B1513" s="24">
        <v>13</v>
      </c>
      <c r="C1513" t="s">
        <v>145</v>
      </c>
      <c r="D1513" t="s">
        <v>69</v>
      </c>
      <c r="E1513" t="s">
        <v>215</v>
      </c>
      <c r="F1513" t="s">
        <v>69</v>
      </c>
      <c r="H1513" t="s">
        <v>10</v>
      </c>
      <c r="I1513" t="s">
        <v>217</v>
      </c>
      <c r="J1513">
        <v>11</v>
      </c>
      <c r="N1513">
        <f>Таблица1[[#This Row],[Часов на заказчика  в работе]]+Таблица1[[#This Row],[Часов на заказчика  дежурство]]</f>
        <v>0</v>
      </c>
      <c r="O15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3" s="9"/>
      <c r="R1513" s="9"/>
      <c r="S1513" s="5">
        <v>1</v>
      </c>
      <c r="T15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табеле]])*S1513,0)</f>
        <v>0</v>
      </c>
      <c r="U1513" s="5">
        <f>IF(Таблица1[[#This Row],[ТТН]]&gt;0,Таблица1[[#This Row],[Ставка за ТТН]]*Таблица1[[#This Row],[ТТН]],0)</f>
        <v>0</v>
      </c>
    </row>
    <row r="1514" spans="1:21" x14ac:dyDescent="0.25">
      <c r="A1514" t="s">
        <v>84</v>
      </c>
      <c r="B1514" s="24">
        <v>14</v>
      </c>
      <c r="C1514" t="s">
        <v>145</v>
      </c>
      <c r="D1514" t="s">
        <v>69</v>
      </c>
      <c r="E1514" t="s">
        <v>215</v>
      </c>
      <c r="F1514" t="s">
        <v>69</v>
      </c>
      <c r="H1514" t="s">
        <v>10</v>
      </c>
      <c r="I1514" t="s">
        <v>217</v>
      </c>
      <c r="J1514">
        <v>22</v>
      </c>
      <c r="N1514">
        <f>Таблица1[[#This Row],[Часов на заказчика  в работе]]+Таблица1[[#This Row],[Часов на заказчика  дежурство]]</f>
        <v>0</v>
      </c>
      <c r="O15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4" s="9"/>
      <c r="R1514" s="9"/>
      <c r="S1514" s="5">
        <v>1</v>
      </c>
      <c r="T15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табеле]])*S1514,0)</f>
        <v>0</v>
      </c>
      <c r="U1514" s="5">
        <f>IF(Таблица1[[#This Row],[ТТН]]&gt;0,Таблица1[[#This Row],[Ставка за ТТН]]*Таблица1[[#This Row],[ТТН]],0)</f>
        <v>0</v>
      </c>
    </row>
    <row r="1515" spans="1:21" x14ac:dyDescent="0.25">
      <c r="A1515" t="s">
        <v>84</v>
      </c>
      <c r="B1515" s="24">
        <v>15</v>
      </c>
      <c r="C1515" t="s">
        <v>145</v>
      </c>
      <c r="D1515" t="s">
        <v>69</v>
      </c>
      <c r="E1515" t="s">
        <v>215</v>
      </c>
      <c r="F1515" t="s">
        <v>69</v>
      </c>
      <c r="H1515" t="s">
        <v>10</v>
      </c>
      <c r="I1515" t="s">
        <v>217</v>
      </c>
      <c r="J1515">
        <v>22</v>
      </c>
      <c r="N1515">
        <f>Таблица1[[#This Row],[Часов на заказчика  в работе]]+Таблица1[[#This Row],[Часов на заказчика  дежурство]]</f>
        <v>0</v>
      </c>
      <c r="O15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5" s="9"/>
      <c r="R1515" s="9"/>
      <c r="S1515" s="5">
        <v>1</v>
      </c>
      <c r="T15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табеле]])*S1515,0)</f>
        <v>0</v>
      </c>
      <c r="U1515" s="5">
        <f>IF(Таблица1[[#This Row],[ТТН]]&gt;0,Таблица1[[#This Row],[Ставка за ТТН]]*Таблица1[[#This Row],[ТТН]],0)</f>
        <v>0</v>
      </c>
    </row>
    <row r="1516" spans="1:21" x14ac:dyDescent="0.25">
      <c r="A1516" t="s">
        <v>84</v>
      </c>
      <c r="B1516" s="24">
        <v>16</v>
      </c>
      <c r="C1516" t="s">
        <v>145</v>
      </c>
      <c r="D1516" t="s">
        <v>69</v>
      </c>
      <c r="E1516" t="s">
        <v>215</v>
      </c>
      <c r="F1516" t="s">
        <v>69</v>
      </c>
      <c r="H1516" t="s">
        <v>10</v>
      </c>
      <c r="I1516" t="s">
        <v>217</v>
      </c>
      <c r="J1516">
        <v>14</v>
      </c>
      <c r="N1516">
        <f>Таблица1[[#This Row],[Часов на заказчика  в работе]]+Таблица1[[#This Row],[Часов на заказчика  дежурство]]</f>
        <v>0</v>
      </c>
      <c r="O15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6" s="9"/>
      <c r="R1516" s="9"/>
      <c r="S1516" s="5">
        <v>1</v>
      </c>
      <c r="T15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табеле]])*S1516,0)</f>
        <v>0</v>
      </c>
      <c r="U1516" s="5">
        <f>IF(Таблица1[[#This Row],[ТТН]]&gt;0,Таблица1[[#This Row],[Ставка за ТТН]]*Таблица1[[#This Row],[ТТН]],0)</f>
        <v>0</v>
      </c>
    </row>
    <row r="1517" spans="1:21" x14ac:dyDescent="0.25">
      <c r="A1517" t="s">
        <v>84</v>
      </c>
      <c r="B1517" s="24">
        <v>17</v>
      </c>
      <c r="C1517" t="s">
        <v>145</v>
      </c>
      <c r="D1517" t="s">
        <v>69</v>
      </c>
      <c r="E1517" t="s">
        <v>215</v>
      </c>
      <c r="F1517" t="s">
        <v>69</v>
      </c>
      <c r="H1517" t="s">
        <v>10</v>
      </c>
      <c r="I1517" t="s">
        <v>217</v>
      </c>
      <c r="J1517">
        <v>11</v>
      </c>
      <c r="N1517">
        <f>Таблица1[[#This Row],[Часов на заказчика  в работе]]+Таблица1[[#This Row],[Часов на заказчика  дежурство]]</f>
        <v>0</v>
      </c>
      <c r="O15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7" s="9"/>
      <c r="R1517" s="9"/>
      <c r="S1517" s="5">
        <v>1</v>
      </c>
      <c r="T15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табеле]])*S1517,0)</f>
        <v>0</v>
      </c>
      <c r="U1517" s="5">
        <f>IF(Таблица1[[#This Row],[ТТН]]&gt;0,Таблица1[[#This Row],[Ставка за ТТН]]*Таблица1[[#This Row],[ТТН]],0)</f>
        <v>0</v>
      </c>
    </row>
    <row r="1518" spans="1:21" x14ac:dyDescent="0.25">
      <c r="A1518" t="s">
        <v>84</v>
      </c>
      <c r="B1518" s="24">
        <v>18</v>
      </c>
      <c r="C1518" t="s">
        <v>145</v>
      </c>
      <c r="D1518" t="s">
        <v>69</v>
      </c>
      <c r="E1518" t="s">
        <v>215</v>
      </c>
      <c r="F1518" t="s">
        <v>69</v>
      </c>
      <c r="H1518" t="s">
        <v>10</v>
      </c>
      <c r="I1518" t="s">
        <v>217</v>
      </c>
      <c r="J1518">
        <v>15</v>
      </c>
      <c r="N1518">
        <f>Таблица1[[#This Row],[Часов на заказчика  в работе]]+Таблица1[[#This Row],[Часов на заказчика  дежурство]]</f>
        <v>0</v>
      </c>
      <c r="O15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8" s="9"/>
      <c r="R1518" s="9"/>
      <c r="S1518" s="5">
        <v>1</v>
      </c>
      <c r="T15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табеле]])*S1518,0)</f>
        <v>0</v>
      </c>
      <c r="U1518" s="5">
        <f>IF(Таблица1[[#This Row],[ТТН]]&gt;0,Таблица1[[#This Row],[Ставка за ТТН]]*Таблица1[[#This Row],[ТТН]],0)</f>
        <v>0</v>
      </c>
    </row>
    <row r="1519" spans="1:21" x14ac:dyDescent="0.25">
      <c r="A1519" t="s">
        <v>84</v>
      </c>
      <c r="B1519" s="24">
        <v>19</v>
      </c>
      <c r="C1519" t="s">
        <v>145</v>
      </c>
      <c r="D1519" t="s">
        <v>69</v>
      </c>
      <c r="E1519" t="s">
        <v>215</v>
      </c>
      <c r="F1519" t="s">
        <v>69</v>
      </c>
      <c r="H1519" t="s">
        <v>10</v>
      </c>
      <c r="I1519" t="s">
        <v>217</v>
      </c>
      <c r="J1519">
        <v>14</v>
      </c>
      <c r="N1519">
        <f>Таблица1[[#This Row],[Часов на заказчика  в работе]]+Таблица1[[#This Row],[Часов на заказчика  дежурство]]</f>
        <v>0</v>
      </c>
      <c r="O15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19" s="9"/>
      <c r="R1519" s="9"/>
      <c r="S1519" s="5">
        <v>1</v>
      </c>
      <c r="T15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табеле]])*S1519,0)</f>
        <v>0</v>
      </c>
      <c r="U1519" s="5">
        <f>IF(Таблица1[[#This Row],[ТТН]]&gt;0,Таблица1[[#This Row],[Ставка за ТТН]]*Таблица1[[#This Row],[ТТН]],0)</f>
        <v>0</v>
      </c>
    </row>
    <row r="1520" spans="1:21" x14ac:dyDescent="0.25">
      <c r="A1520" t="s">
        <v>84</v>
      </c>
      <c r="B1520" s="24">
        <v>20</v>
      </c>
      <c r="C1520" t="s">
        <v>145</v>
      </c>
      <c r="D1520" t="s">
        <v>69</v>
      </c>
      <c r="E1520" t="s">
        <v>215</v>
      </c>
      <c r="F1520" t="s">
        <v>69</v>
      </c>
      <c r="H1520" t="s">
        <v>10</v>
      </c>
      <c r="I1520" t="s">
        <v>217</v>
      </c>
      <c r="J1520">
        <v>11</v>
      </c>
      <c r="N1520">
        <f>Таблица1[[#This Row],[Часов на заказчика  в работе]]+Таблица1[[#This Row],[Часов на заказчика  дежурство]]</f>
        <v>0</v>
      </c>
      <c r="O15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0" s="9"/>
      <c r="R1520" s="9"/>
      <c r="S1520" s="5">
        <v>1</v>
      </c>
      <c r="T15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табеле]])*S1520,0)</f>
        <v>0</v>
      </c>
      <c r="U1520" s="5">
        <f>IF(Таблица1[[#This Row],[ТТН]]&gt;0,Таблица1[[#This Row],[Ставка за ТТН]]*Таблица1[[#This Row],[ТТН]],0)</f>
        <v>0</v>
      </c>
    </row>
    <row r="1521" spans="1:21" x14ac:dyDescent="0.25">
      <c r="A1521" t="s">
        <v>84</v>
      </c>
      <c r="B1521" s="24">
        <v>21</v>
      </c>
      <c r="C1521" t="s">
        <v>145</v>
      </c>
      <c r="D1521" t="s">
        <v>69</v>
      </c>
      <c r="E1521" t="s">
        <v>215</v>
      </c>
      <c r="F1521" t="s">
        <v>69</v>
      </c>
      <c r="H1521" t="s">
        <v>10</v>
      </c>
      <c r="I1521" t="s">
        <v>217</v>
      </c>
      <c r="J1521">
        <v>11</v>
      </c>
      <c r="N1521">
        <f>Таблица1[[#This Row],[Часов на заказчика  в работе]]+Таблица1[[#This Row],[Часов на заказчика  дежурство]]</f>
        <v>0</v>
      </c>
      <c r="O15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1" s="9"/>
      <c r="R1521" s="9"/>
      <c r="S1521" s="5">
        <v>1</v>
      </c>
      <c r="T15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табеле]])*S1521,0)</f>
        <v>0</v>
      </c>
      <c r="U1521" s="5">
        <f>IF(Таблица1[[#This Row],[ТТН]]&gt;0,Таблица1[[#This Row],[Ставка за ТТН]]*Таблица1[[#This Row],[ТТН]],0)</f>
        <v>0</v>
      </c>
    </row>
    <row r="1522" spans="1:21" x14ac:dyDescent="0.25">
      <c r="A1522" t="s">
        <v>84</v>
      </c>
      <c r="B1522" s="24">
        <v>22</v>
      </c>
      <c r="C1522" t="s">
        <v>145</v>
      </c>
      <c r="D1522" t="s">
        <v>69</v>
      </c>
      <c r="E1522" t="s">
        <v>215</v>
      </c>
      <c r="F1522" t="s">
        <v>69</v>
      </c>
      <c r="H1522" t="s">
        <v>24</v>
      </c>
      <c r="I1522" t="s">
        <v>217</v>
      </c>
      <c r="J1522">
        <v>8</v>
      </c>
      <c r="N1522">
        <f>Таблица1[[#This Row],[Часов на заказчика  в работе]]+Таблица1[[#This Row],[Часов на заказчика  дежурство]]</f>
        <v>0</v>
      </c>
      <c r="O15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2" s="9"/>
      <c r="R1522" s="9"/>
      <c r="S1522" s="5">
        <v>1</v>
      </c>
      <c r="T15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табеле]])*S1522,0)</f>
        <v>0</v>
      </c>
      <c r="U1522" s="5">
        <f>IF(Таблица1[[#This Row],[ТТН]]&gt;0,Таблица1[[#This Row],[Ставка за ТТН]]*Таблица1[[#This Row],[ТТН]],0)</f>
        <v>0</v>
      </c>
    </row>
    <row r="1523" spans="1:21" x14ac:dyDescent="0.25">
      <c r="A1523" t="s">
        <v>84</v>
      </c>
      <c r="B1523" s="24">
        <v>23</v>
      </c>
      <c r="C1523" t="s">
        <v>145</v>
      </c>
      <c r="D1523" t="s">
        <v>69</v>
      </c>
      <c r="E1523" t="s">
        <v>215</v>
      </c>
      <c r="F1523" t="s">
        <v>69</v>
      </c>
      <c r="H1523" t="s">
        <v>24</v>
      </c>
      <c r="I1523" t="s">
        <v>217</v>
      </c>
      <c r="J1523">
        <v>8</v>
      </c>
      <c r="N1523">
        <f>Таблица1[[#This Row],[Часов на заказчика  в работе]]+Таблица1[[#This Row],[Часов на заказчика  дежурство]]</f>
        <v>0</v>
      </c>
      <c r="O15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3" s="9"/>
      <c r="R1523" s="9"/>
      <c r="S1523" s="5">
        <v>1</v>
      </c>
      <c r="T15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табеле]])*S1523,0)</f>
        <v>0</v>
      </c>
      <c r="U1523" s="5">
        <f>IF(Таблица1[[#This Row],[ТТН]]&gt;0,Таблица1[[#This Row],[Ставка за ТТН]]*Таблица1[[#This Row],[ТТН]],0)</f>
        <v>0</v>
      </c>
    </row>
    <row r="1524" spans="1:21" x14ac:dyDescent="0.25">
      <c r="A1524" t="s">
        <v>84</v>
      </c>
      <c r="B1524" s="24">
        <v>24</v>
      </c>
      <c r="C1524" t="s">
        <v>145</v>
      </c>
      <c r="D1524" t="s">
        <v>69</v>
      </c>
      <c r="E1524" t="s">
        <v>215</v>
      </c>
      <c r="F1524" t="s">
        <v>69</v>
      </c>
      <c r="H1524" t="s">
        <v>24</v>
      </c>
      <c r="I1524" t="s">
        <v>217</v>
      </c>
      <c r="J1524">
        <v>8</v>
      </c>
      <c r="N1524">
        <f>Таблица1[[#This Row],[Часов на заказчика  в работе]]+Таблица1[[#This Row],[Часов на заказчика  дежурство]]</f>
        <v>0</v>
      </c>
      <c r="O15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4" s="9"/>
      <c r="R1524" s="9"/>
      <c r="S1524" s="5">
        <v>1</v>
      </c>
      <c r="T15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табеле]])*S1524,0)</f>
        <v>0</v>
      </c>
      <c r="U1524" s="5">
        <f>IF(Таблица1[[#This Row],[ТТН]]&gt;0,Таблица1[[#This Row],[Ставка за ТТН]]*Таблица1[[#This Row],[ТТН]],0)</f>
        <v>0</v>
      </c>
    </row>
    <row r="1525" spans="1:21" x14ac:dyDescent="0.25">
      <c r="A1525" t="s">
        <v>84</v>
      </c>
      <c r="B1525" s="24">
        <v>25</v>
      </c>
      <c r="C1525" t="s">
        <v>145</v>
      </c>
      <c r="D1525" t="s">
        <v>69</v>
      </c>
      <c r="E1525" t="s">
        <v>215</v>
      </c>
      <c r="F1525" t="s">
        <v>69</v>
      </c>
      <c r="H1525" t="s">
        <v>24</v>
      </c>
      <c r="I1525" t="s">
        <v>217</v>
      </c>
      <c r="J1525">
        <v>8</v>
      </c>
      <c r="N1525">
        <f>Таблица1[[#This Row],[Часов на заказчика  в работе]]+Таблица1[[#This Row],[Часов на заказчика  дежурство]]</f>
        <v>0</v>
      </c>
      <c r="O15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5" s="9"/>
      <c r="R1525" s="9"/>
      <c r="S1525" s="5">
        <v>1</v>
      </c>
      <c r="T15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табеле]])*S1525,0)</f>
        <v>0</v>
      </c>
      <c r="U1525" s="5">
        <f>IF(Таблица1[[#This Row],[ТТН]]&gt;0,Таблица1[[#This Row],[Ставка за ТТН]]*Таблица1[[#This Row],[ТТН]],0)</f>
        <v>0</v>
      </c>
    </row>
    <row r="1526" spans="1:21" x14ac:dyDescent="0.25">
      <c r="A1526" t="s">
        <v>84</v>
      </c>
      <c r="B1526" s="24">
        <v>26</v>
      </c>
      <c r="C1526" t="s">
        <v>145</v>
      </c>
      <c r="D1526" t="s">
        <v>69</v>
      </c>
      <c r="E1526" t="s">
        <v>215</v>
      </c>
      <c r="F1526" t="s">
        <v>69</v>
      </c>
      <c r="H1526" t="s">
        <v>24</v>
      </c>
      <c r="I1526" t="s">
        <v>217</v>
      </c>
      <c r="J1526">
        <v>8</v>
      </c>
      <c r="N1526">
        <f>Таблица1[[#This Row],[Часов на заказчика  в работе]]+Таблица1[[#This Row],[Часов на заказчика  дежурство]]</f>
        <v>0</v>
      </c>
      <c r="O15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6" s="9"/>
      <c r="R1526" s="9"/>
      <c r="S1526" s="5">
        <v>1</v>
      </c>
      <c r="T15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табеле]])*S1526,0)</f>
        <v>0</v>
      </c>
      <c r="U1526" s="5">
        <f>IF(Таблица1[[#This Row],[ТТН]]&gt;0,Таблица1[[#This Row],[Ставка за ТТН]]*Таблица1[[#This Row],[ТТН]],0)</f>
        <v>0</v>
      </c>
    </row>
    <row r="1527" spans="1:21" x14ac:dyDescent="0.25">
      <c r="A1527" t="s">
        <v>84</v>
      </c>
      <c r="B1527" s="24">
        <v>27</v>
      </c>
      <c r="C1527" t="s">
        <v>145</v>
      </c>
      <c r="D1527" t="s">
        <v>69</v>
      </c>
      <c r="E1527" t="s">
        <v>215</v>
      </c>
      <c r="F1527" t="s">
        <v>69</v>
      </c>
      <c r="H1527" t="s">
        <v>30</v>
      </c>
      <c r="I1527" t="s">
        <v>217</v>
      </c>
      <c r="J1527">
        <v>1</v>
      </c>
      <c r="N1527">
        <f>Таблица1[[#This Row],[Часов на заказчика  в работе]]+Таблица1[[#This Row],[Часов на заказчика  дежурство]]</f>
        <v>0</v>
      </c>
      <c r="O15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7" s="9"/>
      <c r="R1527" s="9"/>
      <c r="S1527" s="5">
        <v>1</v>
      </c>
      <c r="T15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табеле]])*S1527,0)</f>
        <v>0</v>
      </c>
      <c r="U1527" s="5">
        <f>IF(Таблица1[[#This Row],[ТТН]]&gt;0,Таблица1[[#This Row],[Ставка за ТТН]]*Таблица1[[#This Row],[ТТН]],0)</f>
        <v>0</v>
      </c>
    </row>
    <row r="1528" spans="1:21" x14ac:dyDescent="0.25">
      <c r="A1528" t="s">
        <v>84</v>
      </c>
      <c r="B1528" s="24">
        <v>28</v>
      </c>
      <c r="C1528" t="s">
        <v>145</v>
      </c>
      <c r="D1528" t="s">
        <v>69</v>
      </c>
      <c r="E1528" t="s">
        <v>215</v>
      </c>
      <c r="F1528" t="s">
        <v>69</v>
      </c>
      <c r="H1528" t="s">
        <v>30</v>
      </c>
      <c r="I1528" t="s">
        <v>217</v>
      </c>
      <c r="J1528">
        <v>1</v>
      </c>
      <c r="N1528">
        <f>Таблица1[[#This Row],[Часов на заказчика  в работе]]+Таблица1[[#This Row],[Часов на заказчика  дежурство]]</f>
        <v>0</v>
      </c>
      <c r="O15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8" s="9"/>
      <c r="R1528" s="9"/>
      <c r="S1528" s="5">
        <v>1</v>
      </c>
      <c r="T15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табеле]])*S1528,0)</f>
        <v>0</v>
      </c>
      <c r="U1528" s="5">
        <f>IF(Таблица1[[#This Row],[ТТН]]&gt;0,Таблица1[[#This Row],[Ставка за ТТН]]*Таблица1[[#This Row],[ТТН]],0)</f>
        <v>0</v>
      </c>
    </row>
    <row r="1529" spans="1:21" x14ac:dyDescent="0.25">
      <c r="A1529" t="s">
        <v>84</v>
      </c>
      <c r="B1529" s="24">
        <v>29</v>
      </c>
      <c r="C1529" t="s">
        <v>145</v>
      </c>
      <c r="D1529" t="s">
        <v>69</v>
      </c>
      <c r="E1529" t="s">
        <v>215</v>
      </c>
      <c r="F1529" t="s">
        <v>69</v>
      </c>
      <c r="H1529" t="s">
        <v>29</v>
      </c>
      <c r="I1529" t="s">
        <v>217</v>
      </c>
      <c r="J1529">
        <v>8</v>
      </c>
      <c r="N1529">
        <f>Таблица1[[#This Row],[Часов на заказчика  в работе]]+Таблица1[[#This Row],[Часов на заказчика  дежурство]]</f>
        <v>0</v>
      </c>
      <c r="O15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29" s="9"/>
      <c r="R1529" s="9"/>
      <c r="S1529" s="5">
        <v>1</v>
      </c>
      <c r="T15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табеле]])*S1529,0)</f>
        <v>0</v>
      </c>
      <c r="U1529" s="5">
        <f>IF(Таблица1[[#This Row],[ТТН]]&gt;0,Таблица1[[#This Row],[Ставка за ТТН]]*Таблица1[[#This Row],[ТТН]],0)</f>
        <v>0</v>
      </c>
    </row>
    <row r="1530" spans="1:21" x14ac:dyDescent="0.25">
      <c r="A1530" t="s">
        <v>84</v>
      </c>
      <c r="B1530" s="24">
        <v>30</v>
      </c>
      <c r="C1530" t="s">
        <v>146</v>
      </c>
      <c r="D1530" t="s">
        <v>69</v>
      </c>
      <c r="E1530" t="s">
        <v>215</v>
      </c>
      <c r="F1530" t="s">
        <v>69</v>
      </c>
      <c r="H1530" t="s">
        <v>29</v>
      </c>
      <c r="I1530" t="s">
        <v>217</v>
      </c>
      <c r="J1530">
        <v>8</v>
      </c>
      <c r="N1530">
        <f>Таблица1[[#This Row],[Часов на заказчика  в работе]]+Таблица1[[#This Row],[Часов на заказчика  дежурство]]</f>
        <v>0</v>
      </c>
      <c r="O15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0" s="9"/>
      <c r="R1530" s="9"/>
      <c r="S1530" s="5">
        <v>1</v>
      </c>
      <c r="T15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табеле]])*S1530,0)</f>
        <v>0</v>
      </c>
      <c r="U1530" s="5">
        <f>IF(Таблица1[[#This Row],[ТТН]]&gt;0,Таблица1[[#This Row],[Ставка за ТТН]]*Таблица1[[#This Row],[ТТН]],0)</f>
        <v>0</v>
      </c>
    </row>
    <row r="1531" spans="1:21" x14ac:dyDescent="0.25">
      <c r="A1531" t="s">
        <v>84</v>
      </c>
      <c r="B1531" s="24">
        <v>1</v>
      </c>
      <c r="C1531" t="s">
        <v>146</v>
      </c>
      <c r="D1531" t="s">
        <v>12</v>
      </c>
      <c r="E1531" t="s">
        <v>215</v>
      </c>
      <c r="F1531" t="s">
        <v>68</v>
      </c>
      <c r="H1531" t="s">
        <v>29</v>
      </c>
      <c r="I1531" t="s">
        <v>217</v>
      </c>
      <c r="J1531">
        <v>8</v>
      </c>
      <c r="N1531">
        <f>Таблица1[[#This Row],[Часов на заказчика  в работе]]+Таблица1[[#This Row],[Часов на заказчика  дежурство]]</f>
        <v>0</v>
      </c>
      <c r="O15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1" s="9">
        <v>170000</v>
      </c>
      <c r="R1531" s="9"/>
      <c r="S1531" s="5">
        <v>1</v>
      </c>
      <c r="T15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табеле]])*S1531,0)</f>
        <v>0</v>
      </c>
      <c r="U1531" s="5">
        <f>IF(Таблица1[[#This Row],[ТТН]]&gt;0,Таблица1[[#This Row],[Ставка за ТТН]]*Таблица1[[#This Row],[ТТН]],0)</f>
        <v>0</v>
      </c>
    </row>
    <row r="1532" spans="1:21" x14ac:dyDescent="0.25">
      <c r="A1532" t="s">
        <v>84</v>
      </c>
      <c r="B1532" s="24">
        <v>2</v>
      </c>
      <c r="C1532" t="s">
        <v>146</v>
      </c>
      <c r="D1532" t="s">
        <v>12</v>
      </c>
      <c r="E1532" t="s">
        <v>215</v>
      </c>
      <c r="F1532" t="s">
        <v>68</v>
      </c>
      <c r="H1532" t="s">
        <v>29</v>
      </c>
      <c r="I1532" t="s">
        <v>217</v>
      </c>
      <c r="J1532">
        <v>8</v>
      </c>
      <c r="N1532">
        <f>Таблица1[[#This Row],[Часов на заказчика  в работе]]+Таблица1[[#This Row],[Часов на заказчика  дежурство]]</f>
        <v>0</v>
      </c>
      <c r="O15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2" s="9">
        <v>170000</v>
      </c>
      <c r="R1532" s="9"/>
      <c r="S1532" s="5">
        <v>1</v>
      </c>
      <c r="T15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табеле]])*S1532,0)</f>
        <v>0</v>
      </c>
      <c r="U1532" s="5">
        <f>IF(Таблица1[[#This Row],[ТТН]]&gt;0,Таблица1[[#This Row],[Ставка за ТТН]]*Таблица1[[#This Row],[ТТН]],0)</f>
        <v>0</v>
      </c>
    </row>
    <row r="1533" spans="1:21" x14ac:dyDescent="0.25">
      <c r="A1533" t="s">
        <v>84</v>
      </c>
      <c r="B1533" s="24">
        <v>3</v>
      </c>
      <c r="C1533" t="s">
        <v>146</v>
      </c>
      <c r="D1533" t="s">
        <v>12</v>
      </c>
      <c r="E1533" t="s">
        <v>215</v>
      </c>
      <c r="F1533" t="s">
        <v>68</v>
      </c>
      <c r="H1533" t="s">
        <v>29</v>
      </c>
      <c r="I1533" t="s">
        <v>217</v>
      </c>
      <c r="J1533">
        <v>8</v>
      </c>
      <c r="N1533">
        <f>Таблица1[[#This Row],[Часов на заказчика  в работе]]+Таблица1[[#This Row],[Часов на заказчика  дежурство]]</f>
        <v>0</v>
      </c>
      <c r="O15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3" s="9">
        <v>170000</v>
      </c>
      <c r="R1533" s="9"/>
      <c r="S1533" s="5">
        <v>1</v>
      </c>
      <c r="T15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табеле]])*S1533,0)</f>
        <v>0</v>
      </c>
      <c r="U1533" s="5">
        <f>IF(Таблица1[[#This Row],[ТТН]]&gt;0,Таблица1[[#This Row],[Ставка за ТТН]]*Таблица1[[#This Row],[ТТН]],0)</f>
        <v>0</v>
      </c>
    </row>
    <row r="1534" spans="1:21" x14ac:dyDescent="0.25">
      <c r="A1534" t="s">
        <v>84</v>
      </c>
      <c r="B1534" s="24">
        <v>4</v>
      </c>
      <c r="C1534" t="s">
        <v>146</v>
      </c>
      <c r="D1534" t="s">
        <v>12</v>
      </c>
      <c r="E1534" t="s">
        <v>215</v>
      </c>
      <c r="F1534" t="s">
        <v>68</v>
      </c>
      <c r="H1534" t="s">
        <v>29</v>
      </c>
      <c r="I1534" t="s">
        <v>217</v>
      </c>
      <c r="J1534">
        <v>8</v>
      </c>
      <c r="N1534">
        <f>Таблица1[[#This Row],[Часов на заказчика  в работе]]+Таблица1[[#This Row],[Часов на заказчика  дежурство]]</f>
        <v>0</v>
      </c>
      <c r="O15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4" s="9">
        <v>170000</v>
      </c>
      <c r="R1534" s="9"/>
      <c r="S1534" s="5">
        <v>1</v>
      </c>
      <c r="T15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табеле]])*S1534,0)</f>
        <v>0</v>
      </c>
      <c r="U1534" s="5">
        <f>IF(Таблица1[[#This Row],[ТТН]]&gt;0,Таблица1[[#This Row],[Ставка за ТТН]]*Таблица1[[#This Row],[ТТН]],0)</f>
        <v>0</v>
      </c>
    </row>
    <row r="1535" spans="1:21" x14ac:dyDescent="0.25">
      <c r="A1535" t="s">
        <v>84</v>
      </c>
      <c r="B1535" s="24">
        <v>5</v>
      </c>
      <c r="C1535" t="s">
        <v>146</v>
      </c>
      <c r="D1535" t="s">
        <v>12</v>
      </c>
      <c r="E1535" t="s">
        <v>215</v>
      </c>
      <c r="F1535" t="s">
        <v>68</v>
      </c>
      <c r="H1535" t="s">
        <v>29</v>
      </c>
      <c r="I1535" t="s">
        <v>217</v>
      </c>
      <c r="J1535">
        <v>8</v>
      </c>
      <c r="N1535">
        <f>Таблица1[[#This Row],[Часов на заказчика  в работе]]+Таблица1[[#This Row],[Часов на заказчика  дежурство]]</f>
        <v>0</v>
      </c>
      <c r="O15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5" s="9">
        <v>170000</v>
      </c>
      <c r="R1535" s="9"/>
      <c r="S1535" s="5">
        <v>1</v>
      </c>
      <c r="T15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табеле]])*S1535,0)</f>
        <v>0</v>
      </c>
      <c r="U1535" s="5">
        <f>IF(Таблица1[[#This Row],[ТТН]]&gt;0,Таблица1[[#This Row],[Ставка за ТТН]]*Таблица1[[#This Row],[ТТН]],0)</f>
        <v>0</v>
      </c>
    </row>
    <row r="1536" spans="1:21" x14ac:dyDescent="0.25">
      <c r="A1536" t="s">
        <v>84</v>
      </c>
      <c r="B1536" s="24">
        <v>6</v>
      </c>
      <c r="C1536" t="s">
        <v>146</v>
      </c>
      <c r="D1536" t="s">
        <v>12</v>
      </c>
      <c r="E1536" t="s">
        <v>215</v>
      </c>
      <c r="F1536" t="s">
        <v>68</v>
      </c>
      <c r="H1536" t="s">
        <v>30</v>
      </c>
      <c r="I1536" t="s">
        <v>217</v>
      </c>
      <c r="J1536">
        <v>1</v>
      </c>
      <c r="N1536">
        <f>Таблица1[[#This Row],[Часов на заказчика  в работе]]+Таблица1[[#This Row],[Часов на заказчика  дежурство]]</f>
        <v>0</v>
      </c>
      <c r="O15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6" s="9">
        <v>170000</v>
      </c>
      <c r="R1536" s="9"/>
      <c r="S1536" s="5">
        <v>1</v>
      </c>
      <c r="T15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табеле]])*S1536,0)</f>
        <v>0</v>
      </c>
      <c r="U1536" s="5">
        <f>IF(Таблица1[[#This Row],[ТТН]]&gt;0,Таблица1[[#This Row],[Ставка за ТТН]]*Таблица1[[#This Row],[ТТН]],0)</f>
        <v>0</v>
      </c>
    </row>
    <row r="1537" spans="1:21" x14ac:dyDescent="0.25">
      <c r="A1537" t="s">
        <v>84</v>
      </c>
      <c r="B1537" s="24">
        <v>7</v>
      </c>
      <c r="C1537" t="s">
        <v>146</v>
      </c>
      <c r="D1537" t="s">
        <v>12</v>
      </c>
      <c r="E1537" t="s">
        <v>215</v>
      </c>
      <c r="F1537" t="s">
        <v>68</v>
      </c>
      <c r="H1537" t="s">
        <v>24</v>
      </c>
      <c r="I1537" t="s">
        <v>217</v>
      </c>
      <c r="J1537">
        <v>8</v>
      </c>
      <c r="N1537">
        <f>Таблица1[[#This Row],[Часов на заказчика  в работе]]+Таблица1[[#This Row],[Часов на заказчика  дежурство]]</f>
        <v>0</v>
      </c>
      <c r="O15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7" s="9">
        <v>170000</v>
      </c>
      <c r="R1537" s="9"/>
      <c r="S1537" s="5">
        <v>1</v>
      </c>
      <c r="T15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табеле]])*S1537,0)</f>
        <v>0</v>
      </c>
      <c r="U1537" s="5">
        <f>IF(Таблица1[[#This Row],[ТТН]]&gt;0,Таблица1[[#This Row],[Ставка за ТТН]]*Таблица1[[#This Row],[ТТН]],0)</f>
        <v>0</v>
      </c>
    </row>
    <row r="1538" spans="1:21" x14ac:dyDescent="0.25">
      <c r="A1538" t="s">
        <v>84</v>
      </c>
      <c r="B1538" s="24">
        <v>8</v>
      </c>
      <c r="C1538" t="s">
        <v>146</v>
      </c>
      <c r="D1538" t="s">
        <v>12</v>
      </c>
      <c r="E1538" t="s">
        <v>215</v>
      </c>
      <c r="F1538" t="s">
        <v>68</v>
      </c>
      <c r="H1538" t="s">
        <v>24</v>
      </c>
      <c r="I1538" t="s">
        <v>217</v>
      </c>
      <c r="J1538">
        <v>8</v>
      </c>
      <c r="N1538">
        <f>Таблица1[[#This Row],[Часов на заказчика  в работе]]+Таблица1[[#This Row],[Часов на заказчика  дежурство]]</f>
        <v>0</v>
      </c>
      <c r="O15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8" s="9">
        <v>170000</v>
      </c>
      <c r="R1538" s="9"/>
      <c r="S1538" s="5">
        <v>1</v>
      </c>
      <c r="T15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табеле]])*S1538,0)</f>
        <v>0</v>
      </c>
      <c r="U1538" s="5">
        <f>IF(Таблица1[[#This Row],[ТТН]]&gt;0,Таблица1[[#This Row],[Ставка за ТТН]]*Таблица1[[#This Row],[ТТН]],0)</f>
        <v>0</v>
      </c>
    </row>
    <row r="1539" spans="1:21" x14ac:dyDescent="0.25">
      <c r="A1539" t="s">
        <v>84</v>
      </c>
      <c r="B1539" s="24">
        <v>9</v>
      </c>
      <c r="C1539" t="s">
        <v>146</v>
      </c>
      <c r="D1539" t="s">
        <v>12</v>
      </c>
      <c r="E1539" t="s">
        <v>215</v>
      </c>
      <c r="F1539" t="s">
        <v>68</v>
      </c>
      <c r="H1539" t="s">
        <v>24</v>
      </c>
      <c r="I1539" t="s">
        <v>217</v>
      </c>
      <c r="J1539">
        <v>8</v>
      </c>
      <c r="N1539">
        <f>Таблица1[[#This Row],[Часов на заказчика  в работе]]+Таблица1[[#This Row],[Часов на заказчика  дежурство]]</f>
        <v>0</v>
      </c>
      <c r="O15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39" s="9">
        <v>170000</v>
      </c>
      <c r="R1539" s="9"/>
      <c r="S1539" s="5">
        <v>1</v>
      </c>
      <c r="T15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табеле]])*S1539,0)</f>
        <v>0</v>
      </c>
      <c r="U1539" s="5">
        <f>IF(Таблица1[[#This Row],[ТТН]]&gt;0,Таблица1[[#This Row],[Ставка за ТТН]]*Таблица1[[#This Row],[ТТН]],0)</f>
        <v>0</v>
      </c>
    </row>
    <row r="1540" spans="1:21" x14ac:dyDescent="0.25">
      <c r="A1540" t="s">
        <v>84</v>
      </c>
      <c r="B1540" s="24">
        <v>10</v>
      </c>
      <c r="C1540" t="s">
        <v>146</v>
      </c>
      <c r="D1540" t="s">
        <v>12</v>
      </c>
      <c r="E1540" t="s">
        <v>215</v>
      </c>
      <c r="F1540" t="s">
        <v>68</v>
      </c>
      <c r="H1540" t="s">
        <v>24</v>
      </c>
      <c r="I1540" t="s">
        <v>217</v>
      </c>
      <c r="J1540">
        <v>8</v>
      </c>
      <c r="N1540">
        <f>Таблица1[[#This Row],[Часов на заказчика  в работе]]+Таблица1[[#This Row],[Часов на заказчика  дежурство]]</f>
        <v>0</v>
      </c>
      <c r="O15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0" s="9">
        <v>170000</v>
      </c>
      <c r="R1540" s="9"/>
      <c r="S1540" s="5">
        <v>1</v>
      </c>
      <c r="T15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табеле]])*S1540,0)</f>
        <v>0</v>
      </c>
      <c r="U1540" s="5">
        <f>IF(Таблица1[[#This Row],[ТТН]]&gt;0,Таблица1[[#This Row],[Ставка за ТТН]]*Таблица1[[#This Row],[ТТН]],0)</f>
        <v>0</v>
      </c>
    </row>
    <row r="1541" spans="1:21" x14ac:dyDescent="0.25">
      <c r="A1541" t="s">
        <v>84</v>
      </c>
      <c r="B1541" s="24">
        <v>11</v>
      </c>
      <c r="C1541" t="s">
        <v>146</v>
      </c>
      <c r="D1541" t="s">
        <v>12</v>
      </c>
      <c r="E1541" t="s">
        <v>215</v>
      </c>
      <c r="F1541" t="s">
        <v>68</v>
      </c>
      <c r="H1541" t="s">
        <v>50</v>
      </c>
      <c r="I1541" t="s">
        <v>217</v>
      </c>
      <c r="J1541">
        <v>11</v>
      </c>
      <c r="N1541">
        <f>Таблица1[[#This Row],[Часов на заказчика  в работе]]+Таблица1[[#This Row],[Часов на заказчика  дежурство]]</f>
        <v>0</v>
      </c>
      <c r="O15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1" s="9">
        <v>170000</v>
      </c>
      <c r="R1541" s="9"/>
      <c r="S1541" s="5">
        <v>1</v>
      </c>
      <c r="T15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табеле]])*S1541,0)</f>
        <v>0</v>
      </c>
      <c r="U1541" s="5">
        <f>IF(Таблица1[[#This Row],[ТТН]]&gt;0,Таблица1[[#This Row],[Ставка за ТТН]]*Таблица1[[#This Row],[ТТН]],0)</f>
        <v>0</v>
      </c>
    </row>
    <row r="1542" spans="1:21" x14ac:dyDescent="0.25">
      <c r="A1542" t="s">
        <v>84</v>
      </c>
      <c r="B1542" s="24">
        <v>12</v>
      </c>
      <c r="C1542" t="s">
        <v>146</v>
      </c>
      <c r="D1542" t="s">
        <v>12</v>
      </c>
      <c r="E1542" t="s">
        <v>215</v>
      </c>
      <c r="F1542" t="s">
        <v>68</v>
      </c>
      <c r="H1542" t="s">
        <v>50</v>
      </c>
      <c r="I1542" t="s">
        <v>217</v>
      </c>
      <c r="J1542">
        <v>11</v>
      </c>
      <c r="N1542">
        <f>Таблица1[[#This Row],[Часов на заказчика  в работе]]+Таблица1[[#This Row],[Часов на заказчика  дежурство]]</f>
        <v>0</v>
      </c>
      <c r="O15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2" s="9">
        <v>170000</v>
      </c>
      <c r="R1542" s="9"/>
      <c r="S1542" s="5">
        <v>1</v>
      </c>
      <c r="T15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табеле]])*S1542,0)</f>
        <v>0</v>
      </c>
      <c r="U1542" s="5">
        <f>IF(Таблица1[[#This Row],[ТТН]]&gt;0,Таблица1[[#This Row],[Ставка за ТТН]]*Таблица1[[#This Row],[ТТН]],0)</f>
        <v>0</v>
      </c>
    </row>
    <row r="1543" spans="1:21" x14ac:dyDescent="0.25">
      <c r="A1543" t="s">
        <v>84</v>
      </c>
      <c r="B1543" s="24">
        <v>13</v>
      </c>
      <c r="C1543" t="s">
        <v>146</v>
      </c>
      <c r="D1543" t="s">
        <v>12</v>
      </c>
      <c r="E1543" t="s">
        <v>215</v>
      </c>
      <c r="F1543" t="s">
        <v>68</v>
      </c>
      <c r="H1543" t="s">
        <v>38</v>
      </c>
      <c r="I1543" t="s">
        <v>217</v>
      </c>
      <c r="J1543">
        <v>11</v>
      </c>
      <c r="N1543">
        <f>Таблица1[[#This Row],[Часов на заказчика  в работе]]+Таблица1[[#This Row],[Часов на заказчика  дежурство]]</f>
        <v>0</v>
      </c>
      <c r="O15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3" s="9">
        <v>170000</v>
      </c>
      <c r="R1543" s="9"/>
      <c r="S1543" s="5">
        <v>1</v>
      </c>
      <c r="T15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табеле]])*S1543,0)</f>
        <v>5666.6666666666661</v>
      </c>
      <c r="U1543" s="5">
        <f>IF(Таблица1[[#This Row],[ТТН]]&gt;0,Таблица1[[#This Row],[Ставка за ТТН]]*Таблица1[[#This Row],[ТТН]],0)</f>
        <v>0</v>
      </c>
    </row>
    <row r="1544" spans="1:21" x14ac:dyDescent="0.25">
      <c r="A1544" t="s">
        <v>84</v>
      </c>
      <c r="B1544" s="24">
        <v>14</v>
      </c>
      <c r="C1544" t="s">
        <v>146</v>
      </c>
      <c r="D1544" t="s">
        <v>12</v>
      </c>
      <c r="E1544" t="s">
        <v>215</v>
      </c>
      <c r="F1544" t="s">
        <v>68</v>
      </c>
      <c r="H1544" t="s">
        <v>50</v>
      </c>
      <c r="I1544" t="s">
        <v>217</v>
      </c>
      <c r="J1544">
        <v>11</v>
      </c>
      <c r="N1544">
        <f>Таблица1[[#This Row],[Часов на заказчика  в работе]]+Таблица1[[#This Row],[Часов на заказчика  дежурство]]</f>
        <v>0</v>
      </c>
      <c r="O15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4" s="9">
        <v>170000</v>
      </c>
      <c r="R1544" s="9"/>
      <c r="S1544" s="5">
        <v>1</v>
      </c>
      <c r="T15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табеле]])*S1544,0)</f>
        <v>0</v>
      </c>
      <c r="U1544" s="5">
        <f>IF(Таблица1[[#This Row],[ТТН]]&gt;0,Таблица1[[#This Row],[Ставка за ТТН]]*Таблица1[[#This Row],[ТТН]],0)</f>
        <v>0</v>
      </c>
    </row>
    <row r="1545" spans="1:21" x14ac:dyDescent="0.25">
      <c r="A1545" t="s">
        <v>84</v>
      </c>
      <c r="B1545" s="24">
        <v>15</v>
      </c>
      <c r="C1545" t="s">
        <v>146</v>
      </c>
      <c r="D1545" t="s">
        <v>12</v>
      </c>
      <c r="E1545" t="s">
        <v>215</v>
      </c>
      <c r="F1545" t="s">
        <v>68</v>
      </c>
      <c r="H1545" t="s">
        <v>10</v>
      </c>
      <c r="I1545" t="s">
        <v>217</v>
      </c>
      <c r="J1545">
        <v>11</v>
      </c>
      <c r="N1545">
        <f>Таблица1[[#This Row],[Часов на заказчика  в работе]]+Таблица1[[#This Row],[Часов на заказчика  дежурство]]</f>
        <v>0</v>
      </c>
      <c r="O15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5" s="9">
        <v>170000</v>
      </c>
      <c r="R1545" s="9"/>
      <c r="S1545" s="5">
        <v>1</v>
      </c>
      <c r="T15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табеле]])*S1545,0)</f>
        <v>5666.6666666666661</v>
      </c>
      <c r="U1545" s="5">
        <f>IF(Таблица1[[#This Row],[ТТН]]&gt;0,Таблица1[[#This Row],[Ставка за ТТН]]*Таблица1[[#This Row],[ТТН]],0)</f>
        <v>0</v>
      </c>
    </row>
    <row r="1546" spans="1:21" x14ac:dyDescent="0.25">
      <c r="A1546" t="s">
        <v>84</v>
      </c>
      <c r="B1546" s="24">
        <v>16</v>
      </c>
      <c r="C1546" t="s">
        <v>146</v>
      </c>
      <c r="D1546" t="s">
        <v>12</v>
      </c>
      <c r="E1546" t="s">
        <v>215</v>
      </c>
      <c r="F1546" t="s">
        <v>68</v>
      </c>
      <c r="H1546" t="s">
        <v>10</v>
      </c>
      <c r="I1546" t="s">
        <v>217</v>
      </c>
      <c r="J1546">
        <v>11</v>
      </c>
      <c r="N1546">
        <f>Таблица1[[#This Row],[Часов на заказчика  в работе]]+Таблица1[[#This Row],[Часов на заказчика  дежурство]]</f>
        <v>0</v>
      </c>
      <c r="O15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6" s="9">
        <v>170000</v>
      </c>
      <c r="R1546" s="9"/>
      <c r="S1546" s="5">
        <v>1</v>
      </c>
      <c r="T15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табеле]])*S1546,0)</f>
        <v>5666.6666666666661</v>
      </c>
      <c r="U1546" s="5">
        <f>IF(Таблица1[[#This Row],[ТТН]]&gt;0,Таблица1[[#This Row],[Ставка за ТТН]]*Таблица1[[#This Row],[ТТН]],0)</f>
        <v>0</v>
      </c>
    </row>
    <row r="1547" spans="1:21" x14ac:dyDescent="0.25">
      <c r="A1547" t="s">
        <v>84</v>
      </c>
      <c r="B1547" s="24">
        <v>17</v>
      </c>
      <c r="C1547" t="s">
        <v>146</v>
      </c>
      <c r="D1547" t="s">
        <v>12</v>
      </c>
      <c r="E1547" t="s">
        <v>215</v>
      </c>
      <c r="F1547" t="s">
        <v>68</v>
      </c>
      <c r="H1547" t="s">
        <v>10</v>
      </c>
      <c r="I1547" t="s">
        <v>217</v>
      </c>
      <c r="J1547">
        <v>11</v>
      </c>
      <c r="N1547">
        <f>Таблица1[[#This Row],[Часов на заказчика  в работе]]+Таблица1[[#This Row],[Часов на заказчика  дежурство]]</f>
        <v>0</v>
      </c>
      <c r="O15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7" s="9">
        <v>170000</v>
      </c>
      <c r="R1547" s="9"/>
      <c r="S1547" s="5">
        <v>1</v>
      </c>
      <c r="T15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табеле]])*S1547,0)</f>
        <v>5666.6666666666661</v>
      </c>
      <c r="U1547" s="5">
        <f>IF(Таблица1[[#This Row],[ТТН]]&gt;0,Таблица1[[#This Row],[Ставка за ТТН]]*Таблица1[[#This Row],[ТТН]],0)</f>
        <v>0</v>
      </c>
    </row>
    <row r="1548" spans="1:21" x14ac:dyDescent="0.25">
      <c r="A1548" t="s">
        <v>84</v>
      </c>
      <c r="B1548" s="24">
        <v>18</v>
      </c>
      <c r="C1548" t="s">
        <v>146</v>
      </c>
      <c r="D1548" t="s">
        <v>12</v>
      </c>
      <c r="E1548" t="s">
        <v>215</v>
      </c>
      <c r="F1548" t="s">
        <v>68</v>
      </c>
      <c r="H1548" t="s">
        <v>10</v>
      </c>
      <c r="I1548" t="s">
        <v>219</v>
      </c>
      <c r="J1548">
        <v>11</v>
      </c>
      <c r="L1548">
        <v>11</v>
      </c>
      <c r="N1548">
        <f>Таблица1[[#This Row],[Часов на заказчика  в работе]]+Таблица1[[#This Row],[Часов на заказчика  дежурство]]</f>
        <v>11</v>
      </c>
      <c r="O15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8" s="9">
        <v>170000</v>
      </c>
      <c r="R1548" s="9"/>
      <c r="S1548" s="5">
        <v>1</v>
      </c>
      <c r="T15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табеле]])*S1548,0)</f>
        <v>5666.6666666666661</v>
      </c>
      <c r="U1548" s="5">
        <f>IF(Таблица1[[#This Row],[ТТН]]&gt;0,Таблица1[[#This Row],[Ставка за ТТН]]*Таблица1[[#This Row],[ТТН]],0)</f>
        <v>0</v>
      </c>
    </row>
    <row r="1549" spans="1:21" x14ac:dyDescent="0.25">
      <c r="A1549" t="s">
        <v>84</v>
      </c>
      <c r="B1549" s="24">
        <v>19</v>
      </c>
      <c r="C1549" t="s">
        <v>146</v>
      </c>
      <c r="D1549" t="s">
        <v>12</v>
      </c>
      <c r="E1549" t="s">
        <v>215</v>
      </c>
      <c r="F1549" t="s">
        <v>68</v>
      </c>
      <c r="H1549" t="s">
        <v>10</v>
      </c>
      <c r="I1549" t="s">
        <v>219</v>
      </c>
      <c r="J1549">
        <v>11</v>
      </c>
      <c r="L1549">
        <v>11</v>
      </c>
      <c r="N1549">
        <f>Таблица1[[#This Row],[Часов на заказчика  в работе]]+Таблица1[[#This Row],[Часов на заказчика  дежурство]]</f>
        <v>11</v>
      </c>
      <c r="O15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49" s="9">
        <v>170000</v>
      </c>
      <c r="R1549" s="9"/>
      <c r="S1549" s="5">
        <v>1</v>
      </c>
      <c r="T15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табеле]])*S1549,0)</f>
        <v>5666.6666666666661</v>
      </c>
      <c r="U1549" s="5">
        <f>IF(Таблица1[[#This Row],[ТТН]]&gt;0,Таблица1[[#This Row],[Ставка за ТТН]]*Таблица1[[#This Row],[ТТН]],0)</f>
        <v>0</v>
      </c>
    </row>
    <row r="1550" spans="1:21" x14ac:dyDescent="0.25">
      <c r="A1550" t="s">
        <v>84</v>
      </c>
      <c r="B1550" s="24">
        <v>20</v>
      </c>
      <c r="C1550" t="s">
        <v>146</v>
      </c>
      <c r="D1550" t="s">
        <v>12</v>
      </c>
      <c r="E1550" t="s">
        <v>215</v>
      </c>
      <c r="F1550" t="s">
        <v>68</v>
      </c>
      <c r="H1550" t="s">
        <v>10</v>
      </c>
      <c r="I1550" t="s">
        <v>219</v>
      </c>
      <c r="J1550">
        <v>11</v>
      </c>
      <c r="L1550">
        <v>11</v>
      </c>
      <c r="N1550">
        <f>Таблица1[[#This Row],[Часов на заказчика  в работе]]+Таблица1[[#This Row],[Часов на заказчика  дежурство]]</f>
        <v>11</v>
      </c>
      <c r="O15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0" s="9">
        <v>170000</v>
      </c>
      <c r="R1550" s="9"/>
      <c r="S1550" s="5">
        <v>1</v>
      </c>
      <c r="T15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табеле]])*S1550,0)</f>
        <v>5666.6666666666661</v>
      </c>
      <c r="U1550" s="5">
        <f>IF(Таблица1[[#This Row],[ТТН]]&gt;0,Таблица1[[#This Row],[Ставка за ТТН]]*Таблица1[[#This Row],[ТТН]],0)</f>
        <v>0</v>
      </c>
    </row>
    <row r="1551" spans="1:21" x14ac:dyDescent="0.25">
      <c r="A1551" t="s">
        <v>84</v>
      </c>
      <c r="B1551" s="24">
        <v>21</v>
      </c>
      <c r="C1551" t="s">
        <v>146</v>
      </c>
      <c r="D1551" t="s">
        <v>12</v>
      </c>
      <c r="E1551" t="s">
        <v>215</v>
      </c>
      <c r="F1551" t="s">
        <v>68</v>
      </c>
      <c r="H1551" t="s">
        <v>10</v>
      </c>
      <c r="I1551" t="s">
        <v>219</v>
      </c>
      <c r="J1551">
        <v>11</v>
      </c>
      <c r="L1551">
        <v>11</v>
      </c>
      <c r="N1551">
        <f>Таблица1[[#This Row],[Часов на заказчика  в работе]]+Таблица1[[#This Row],[Часов на заказчика  дежурство]]</f>
        <v>11</v>
      </c>
      <c r="O15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1" s="9">
        <v>170000</v>
      </c>
      <c r="R1551" s="9"/>
      <c r="S1551" s="5">
        <v>1</v>
      </c>
      <c r="T15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табеле]])*S1551,0)</f>
        <v>5666.6666666666661</v>
      </c>
      <c r="U1551" s="5">
        <f>IF(Таблица1[[#This Row],[ТТН]]&gt;0,Таблица1[[#This Row],[Ставка за ТТН]]*Таблица1[[#This Row],[ТТН]],0)</f>
        <v>0</v>
      </c>
    </row>
    <row r="1552" spans="1:21" x14ac:dyDescent="0.25">
      <c r="A1552" t="s">
        <v>84</v>
      </c>
      <c r="B1552" s="24">
        <v>22</v>
      </c>
      <c r="C1552" t="s">
        <v>146</v>
      </c>
      <c r="D1552" t="s">
        <v>12</v>
      </c>
      <c r="E1552" t="s">
        <v>215</v>
      </c>
      <c r="F1552" t="s">
        <v>68</v>
      </c>
      <c r="H1552" t="s">
        <v>10</v>
      </c>
      <c r="I1552" t="s">
        <v>219</v>
      </c>
      <c r="J1552">
        <v>11</v>
      </c>
      <c r="L1552">
        <v>11</v>
      </c>
      <c r="N1552">
        <f>Таблица1[[#This Row],[Часов на заказчика  в работе]]+Таблица1[[#This Row],[Часов на заказчика  дежурство]]</f>
        <v>11</v>
      </c>
      <c r="O15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2" s="9">
        <v>170000</v>
      </c>
      <c r="R1552" s="9"/>
      <c r="S1552" s="5">
        <v>1</v>
      </c>
      <c r="T15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табеле]])*S1552,0)</f>
        <v>5666.6666666666661</v>
      </c>
      <c r="U1552" s="5">
        <f>IF(Таблица1[[#This Row],[ТТН]]&gt;0,Таблица1[[#This Row],[Ставка за ТТН]]*Таблица1[[#This Row],[ТТН]],0)</f>
        <v>0</v>
      </c>
    </row>
    <row r="1553" spans="1:21" x14ac:dyDescent="0.25">
      <c r="A1553" t="s">
        <v>84</v>
      </c>
      <c r="B1553" s="24">
        <v>23</v>
      </c>
      <c r="C1553" t="s">
        <v>146</v>
      </c>
      <c r="D1553" t="s">
        <v>12</v>
      </c>
      <c r="E1553" t="s">
        <v>215</v>
      </c>
      <c r="F1553" t="s">
        <v>68</v>
      </c>
      <c r="H1553" t="s">
        <v>10</v>
      </c>
      <c r="I1553" t="s">
        <v>219</v>
      </c>
      <c r="J1553">
        <v>11</v>
      </c>
      <c r="L1553">
        <v>11</v>
      </c>
      <c r="N1553">
        <f>Таблица1[[#This Row],[Часов на заказчика  в работе]]+Таблица1[[#This Row],[Часов на заказчика  дежурство]]</f>
        <v>11</v>
      </c>
      <c r="O15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3" s="9">
        <v>170000</v>
      </c>
      <c r="R1553" s="9"/>
      <c r="S1553" s="5">
        <v>1</v>
      </c>
      <c r="T15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табеле]])*S1553,0)</f>
        <v>5666.6666666666661</v>
      </c>
      <c r="U1553" s="5">
        <f>IF(Таблица1[[#This Row],[ТТН]]&gt;0,Таблица1[[#This Row],[Ставка за ТТН]]*Таблица1[[#This Row],[ТТН]],0)</f>
        <v>0</v>
      </c>
    </row>
    <row r="1554" spans="1:21" x14ac:dyDescent="0.25">
      <c r="A1554" t="s">
        <v>84</v>
      </c>
      <c r="B1554" s="24">
        <v>24</v>
      </c>
      <c r="C1554" t="s">
        <v>146</v>
      </c>
      <c r="D1554" t="s">
        <v>12</v>
      </c>
      <c r="E1554" t="s">
        <v>215</v>
      </c>
      <c r="F1554" t="s">
        <v>68</v>
      </c>
      <c r="H1554" t="s">
        <v>10</v>
      </c>
      <c r="I1554" t="s">
        <v>219</v>
      </c>
      <c r="J1554">
        <v>11</v>
      </c>
      <c r="L1554">
        <v>11</v>
      </c>
      <c r="N1554">
        <f>Таблица1[[#This Row],[Часов на заказчика  в работе]]+Таблица1[[#This Row],[Часов на заказчика  дежурство]]</f>
        <v>11</v>
      </c>
      <c r="O15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4" s="9">
        <v>170000</v>
      </c>
      <c r="R1554" s="9"/>
      <c r="S1554" s="5">
        <v>1</v>
      </c>
      <c r="T15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табеле]])*S1554,0)</f>
        <v>5666.6666666666661</v>
      </c>
      <c r="U1554" s="5">
        <f>IF(Таблица1[[#This Row],[ТТН]]&gt;0,Таблица1[[#This Row],[Ставка за ТТН]]*Таблица1[[#This Row],[ТТН]],0)</f>
        <v>0</v>
      </c>
    </row>
    <row r="1555" spans="1:21" x14ac:dyDescent="0.25">
      <c r="A1555" t="s">
        <v>84</v>
      </c>
      <c r="B1555" s="24">
        <v>25</v>
      </c>
      <c r="C1555" t="s">
        <v>146</v>
      </c>
      <c r="D1555" t="s">
        <v>12</v>
      </c>
      <c r="E1555" t="s">
        <v>215</v>
      </c>
      <c r="F1555" t="s">
        <v>68</v>
      </c>
      <c r="H1555" t="s">
        <v>10</v>
      </c>
      <c r="I1555" t="s">
        <v>219</v>
      </c>
      <c r="J1555">
        <v>11</v>
      </c>
      <c r="L1555">
        <v>11</v>
      </c>
      <c r="N1555">
        <f>Таблица1[[#This Row],[Часов на заказчика  в работе]]+Таблица1[[#This Row],[Часов на заказчика  дежурство]]</f>
        <v>11</v>
      </c>
      <c r="O15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5" s="9">
        <v>170000</v>
      </c>
      <c r="R1555" s="9"/>
      <c r="S1555" s="5">
        <v>1</v>
      </c>
      <c r="T15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табеле]])*S1555,0)</f>
        <v>5666.6666666666661</v>
      </c>
      <c r="U1555" s="5">
        <f>IF(Таблица1[[#This Row],[ТТН]]&gt;0,Таблица1[[#This Row],[Ставка за ТТН]]*Таблица1[[#This Row],[ТТН]],0)</f>
        <v>0</v>
      </c>
    </row>
    <row r="1556" spans="1:21" x14ac:dyDescent="0.25">
      <c r="A1556" t="s">
        <v>84</v>
      </c>
      <c r="B1556" s="24">
        <v>26</v>
      </c>
      <c r="C1556" t="s">
        <v>146</v>
      </c>
      <c r="D1556" t="s">
        <v>12</v>
      </c>
      <c r="E1556" t="s">
        <v>215</v>
      </c>
      <c r="F1556" t="s">
        <v>68</v>
      </c>
      <c r="H1556" t="s">
        <v>10</v>
      </c>
      <c r="I1556" t="s">
        <v>219</v>
      </c>
      <c r="J1556">
        <v>11</v>
      </c>
      <c r="L1556">
        <v>11</v>
      </c>
      <c r="N1556">
        <f>Таблица1[[#This Row],[Часов на заказчика  в работе]]+Таблица1[[#This Row],[Часов на заказчика  дежурство]]</f>
        <v>11</v>
      </c>
      <c r="O15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6" s="9">
        <v>170000</v>
      </c>
      <c r="R1556" s="9"/>
      <c r="S1556" s="5">
        <v>1</v>
      </c>
      <c r="T15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табеле]])*S1556,0)</f>
        <v>5666.6666666666661</v>
      </c>
      <c r="U1556" s="5">
        <f>IF(Таблица1[[#This Row],[ТТН]]&gt;0,Таблица1[[#This Row],[Ставка за ТТН]]*Таблица1[[#This Row],[ТТН]],0)</f>
        <v>0</v>
      </c>
    </row>
    <row r="1557" spans="1:21" x14ac:dyDescent="0.25">
      <c r="A1557" t="s">
        <v>84</v>
      </c>
      <c r="B1557" s="24">
        <v>27</v>
      </c>
      <c r="C1557" t="s">
        <v>146</v>
      </c>
      <c r="D1557" t="s">
        <v>12</v>
      </c>
      <c r="E1557" t="s">
        <v>215</v>
      </c>
      <c r="F1557" t="s">
        <v>68</v>
      </c>
      <c r="H1557" t="s">
        <v>10</v>
      </c>
      <c r="I1557" t="s">
        <v>219</v>
      </c>
      <c r="J1557">
        <v>11</v>
      </c>
      <c r="L1557">
        <v>11</v>
      </c>
      <c r="N1557">
        <f>Таблица1[[#This Row],[Часов на заказчика  в работе]]+Таблица1[[#This Row],[Часов на заказчика  дежурство]]</f>
        <v>11</v>
      </c>
      <c r="O15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7" s="9">
        <v>170000</v>
      </c>
      <c r="R1557" s="9"/>
      <c r="S1557" s="5">
        <v>1</v>
      </c>
      <c r="T15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табеле]])*S1557,0)</f>
        <v>5666.6666666666661</v>
      </c>
      <c r="U1557" s="5">
        <f>IF(Таблица1[[#This Row],[ТТН]]&gt;0,Таблица1[[#This Row],[Ставка за ТТН]]*Таблица1[[#This Row],[ТТН]],0)</f>
        <v>0</v>
      </c>
    </row>
    <row r="1558" spans="1:21" x14ac:dyDescent="0.25">
      <c r="A1558" t="s">
        <v>84</v>
      </c>
      <c r="B1558" s="24">
        <v>28</v>
      </c>
      <c r="C1558" t="s">
        <v>146</v>
      </c>
      <c r="D1558" t="s">
        <v>12</v>
      </c>
      <c r="E1558" t="s">
        <v>215</v>
      </c>
      <c r="F1558" t="s">
        <v>68</v>
      </c>
      <c r="H1558" t="s">
        <v>10</v>
      </c>
      <c r="I1558" t="s">
        <v>219</v>
      </c>
      <c r="J1558">
        <v>11</v>
      </c>
      <c r="L1558">
        <v>11</v>
      </c>
      <c r="N1558">
        <f>Таблица1[[#This Row],[Часов на заказчика  в работе]]+Таблица1[[#This Row],[Часов на заказчика  дежурство]]</f>
        <v>11</v>
      </c>
      <c r="O15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8" s="9">
        <v>170000</v>
      </c>
      <c r="R1558" s="9"/>
      <c r="S1558" s="5">
        <v>1</v>
      </c>
      <c r="T15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табеле]])*S1558,0)</f>
        <v>5666.6666666666661</v>
      </c>
      <c r="U1558" s="5">
        <f>IF(Таблица1[[#This Row],[ТТН]]&gt;0,Таблица1[[#This Row],[Ставка за ТТН]]*Таблица1[[#This Row],[ТТН]],0)</f>
        <v>0</v>
      </c>
    </row>
    <row r="1559" spans="1:21" x14ac:dyDescent="0.25">
      <c r="A1559" t="s">
        <v>84</v>
      </c>
      <c r="B1559" s="24">
        <v>29</v>
      </c>
      <c r="C1559" t="s">
        <v>146</v>
      </c>
      <c r="D1559" t="s">
        <v>12</v>
      </c>
      <c r="E1559" t="s">
        <v>215</v>
      </c>
      <c r="F1559" t="s">
        <v>68</v>
      </c>
      <c r="H1559" t="s">
        <v>10</v>
      </c>
      <c r="I1559" t="s">
        <v>219</v>
      </c>
      <c r="J1559">
        <v>11</v>
      </c>
      <c r="L1559">
        <v>11</v>
      </c>
      <c r="N1559">
        <f>Таблица1[[#This Row],[Часов на заказчика  в работе]]+Таблица1[[#This Row],[Часов на заказчика  дежурство]]</f>
        <v>11</v>
      </c>
      <c r="O15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59" s="9">
        <v>170000</v>
      </c>
      <c r="R1559" s="9"/>
      <c r="S1559" s="5">
        <v>1</v>
      </c>
      <c r="T15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табеле]])*S1559,0)</f>
        <v>5666.6666666666661</v>
      </c>
      <c r="U1559" s="5">
        <f>IF(Таблица1[[#This Row],[ТТН]]&gt;0,Таблица1[[#This Row],[Ставка за ТТН]]*Таблица1[[#This Row],[ТТН]],0)</f>
        <v>0</v>
      </c>
    </row>
    <row r="1560" spans="1:21" x14ac:dyDescent="0.25">
      <c r="A1560" t="s">
        <v>84</v>
      </c>
      <c r="B1560" s="24">
        <v>30</v>
      </c>
      <c r="C1560" t="s">
        <v>147</v>
      </c>
      <c r="D1560" t="s">
        <v>12</v>
      </c>
      <c r="E1560" t="s">
        <v>215</v>
      </c>
      <c r="F1560" t="s">
        <v>68</v>
      </c>
      <c r="H1560" t="s">
        <v>10</v>
      </c>
      <c r="I1560" t="s">
        <v>219</v>
      </c>
      <c r="J1560">
        <v>11</v>
      </c>
      <c r="L1560">
        <v>11</v>
      </c>
      <c r="N1560">
        <f>Таблица1[[#This Row],[Часов на заказчика  в работе]]+Таблица1[[#This Row],[Часов на заказчика  дежурство]]</f>
        <v>11</v>
      </c>
      <c r="O15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0" s="9">
        <v>170000</v>
      </c>
      <c r="R1560" s="9"/>
      <c r="S1560" s="5">
        <v>1</v>
      </c>
      <c r="T15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табеле]])*S1560,0)</f>
        <v>5666.6666666666661</v>
      </c>
      <c r="U1560" s="5">
        <f>IF(Таблица1[[#This Row],[ТТН]]&gt;0,Таблица1[[#This Row],[Ставка за ТТН]]*Таблица1[[#This Row],[ТТН]],0)</f>
        <v>0</v>
      </c>
    </row>
    <row r="1561" spans="1:21" x14ac:dyDescent="0.25">
      <c r="A1561" t="s">
        <v>84</v>
      </c>
      <c r="B1561" s="24">
        <v>1</v>
      </c>
      <c r="C1561" t="s">
        <v>147</v>
      </c>
      <c r="D1561" t="s">
        <v>49</v>
      </c>
      <c r="E1561" t="s">
        <v>215</v>
      </c>
      <c r="F1561" t="s">
        <v>51</v>
      </c>
      <c r="H1561" t="s">
        <v>29</v>
      </c>
      <c r="I1561" t="s">
        <v>217</v>
      </c>
      <c r="J1561">
        <v>8</v>
      </c>
      <c r="N1561">
        <f>Таблица1[[#This Row],[Часов на заказчика  в работе]]+Таблица1[[#This Row],[Часов на заказчика  дежурство]]</f>
        <v>0</v>
      </c>
      <c r="O15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1" s="9">
        <v>180000</v>
      </c>
      <c r="R1561" s="9"/>
      <c r="S1561" s="5">
        <v>1</v>
      </c>
      <c r="T15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табеле]])*S1561,0)</f>
        <v>0</v>
      </c>
      <c r="U1561" s="5">
        <f>IF(Таблица1[[#This Row],[ТТН]]&gt;0,Таблица1[[#This Row],[Ставка за ТТН]]*Таблица1[[#This Row],[ТТН]],0)</f>
        <v>0</v>
      </c>
    </row>
    <row r="1562" spans="1:21" x14ac:dyDescent="0.25">
      <c r="A1562" t="s">
        <v>84</v>
      </c>
      <c r="B1562" s="24">
        <v>2</v>
      </c>
      <c r="C1562" t="s">
        <v>147</v>
      </c>
      <c r="D1562" t="s">
        <v>49</v>
      </c>
      <c r="E1562" t="s">
        <v>215</v>
      </c>
      <c r="F1562" t="s">
        <v>51</v>
      </c>
      <c r="H1562" t="s">
        <v>29</v>
      </c>
      <c r="I1562" t="s">
        <v>217</v>
      </c>
      <c r="J1562">
        <v>8</v>
      </c>
      <c r="N1562">
        <f>Таблица1[[#This Row],[Часов на заказчика  в работе]]+Таблица1[[#This Row],[Часов на заказчика  дежурство]]</f>
        <v>0</v>
      </c>
      <c r="O15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2" s="9">
        <v>180000</v>
      </c>
      <c r="R1562" s="9"/>
      <c r="S1562" s="5">
        <v>1</v>
      </c>
      <c r="T15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табеле]])*S1562,0)</f>
        <v>0</v>
      </c>
      <c r="U1562" s="5">
        <f>IF(Таблица1[[#This Row],[ТТН]]&gt;0,Таблица1[[#This Row],[Ставка за ТТН]]*Таблица1[[#This Row],[ТТН]],0)</f>
        <v>0</v>
      </c>
    </row>
    <row r="1563" spans="1:21" x14ac:dyDescent="0.25">
      <c r="A1563" t="s">
        <v>84</v>
      </c>
      <c r="B1563" s="24">
        <v>3</v>
      </c>
      <c r="C1563" t="s">
        <v>147</v>
      </c>
      <c r="D1563" t="s">
        <v>49</v>
      </c>
      <c r="E1563" t="s">
        <v>215</v>
      </c>
      <c r="F1563" t="s">
        <v>51</v>
      </c>
      <c r="H1563" t="s">
        <v>29</v>
      </c>
      <c r="I1563" t="s">
        <v>217</v>
      </c>
      <c r="J1563">
        <v>8</v>
      </c>
      <c r="N1563">
        <f>Таблица1[[#This Row],[Часов на заказчика  в работе]]+Таблица1[[#This Row],[Часов на заказчика  дежурство]]</f>
        <v>0</v>
      </c>
      <c r="O15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3" s="9">
        <v>180000</v>
      </c>
      <c r="R1563" s="9"/>
      <c r="S1563" s="5">
        <v>1</v>
      </c>
      <c r="T15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табеле]])*S1563,0)</f>
        <v>0</v>
      </c>
      <c r="U1563" s="5">
        <f>IF(Таблица1[[#This Row],[ТТН]]&gt;0,Таблица1[[#This Row],[Ставка за ТТН]]*Таблица1[[#This Row],[ТТН]],0)</f>
        <v>0</v>
      </c>
    </row>
    <row r="1564" spans="1:21" x14ac:dyDescent="0.25">
      <c r="A1564" t="s">
        <v>84</v>
      </c>
      <c r="B1564" s="24">
        <v>4</v>
      </c>
      <c r="C1564" t="s">
        <v>147</v>
      </c>
      <c r="D1564" t="s">
        <v>49</v>
      </c>
      <c r="E1564" t="s">
        <v>215</v>
      </c>
      <c r="F1564" t="s">
        <v>51</v>
      </c>
      <c r="H1564" t="s">
        <v>29</v>
      </c>
      <c r="I1564" t="s">
        <v>217</v>
      </c>
      <c r="J1564">
        <v>8</v>
      </c>
      <c r="N1564">
        <f>Таблица1[[#This Row],[Часов на заказчика  в работе]]+Таблица1[[#This Row],[Часов на заказчика  дежурство]]</f>
        <v>0</v>
      </c>
      <c r="O15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4" s="9">
        <v>180000</v>
      </c>
      <c r="R1564" s="9"/>
      <c r="S1564" s="5">
        <v>1</v>
      </c>
      <c r="T15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табеле]])*S1564,0)</f>
        <v>0</v>
      </c>
      <c r="U1564" s="5">
        <f>IF(Таблица1[[#This Row],[ТТН]]&gt;0,Таблица1[[#This Row],[Ставка за ТТН]]*Таблица1[[#This Row],[ТТН]],0)</f>
        <v>0</v>
      </c>
    </row>
    <row r="1565" spans="1:21" x14ac:dyDescent="0.25">
      <c r="A1565" t="s">
        <v>84</v>
      </c>
      <c r="B1565" s="24">
        <v>5</v>
      </c>
      <c r="C1565" t="s">
        <v>147</v>
      </c>
      <c r="D1565" t="s">
        <v>49</v>
      </c>
      <c r="E1565" t="s">
        <v>215</v>
      </c>
      <c r="F1565" t="s">
        <v>51</v>
      </c>
      <c r="H1565" t="s">
        <v>29</v>
      </c>
      <c r="I1565" t="s">
        <v>217</v>
      </c>
      <c r="J1565">
        <v>8</v>
      </c>
      <c r="N1565">
        <f>Таблица1[[#This Row],[Часов на заказчика  в работе]]+Таблица1[[#This Row],[Часов на заказчика  дежурство]]</f>
        <v>0</v>
      </c>
      <c r="O15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5" s="9">
        <v>180000</v>
      </c>
      <c r="R1565" s="9"/>
      <c r="S1565" s="5">
        <v>1</v>
      </c>
      <c r="T15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табеле]])*S1565,0)</f>
        <v>0</v>
      </c>
      <c r="U1565" s="5">
        <f>IF(Таблица1[[#This Row],[ТТН]]&gt;0,Таблица1[[#This Row],[Ставка за ТТН]]*Таблица1[[#This Row],[ТТН]],0)</f>
        <v>0</v>
      </c>
    </row>
    <row r="1566" spans="1:21" x14ac:dyDescent="0.25">
      <c r="A1566" t="s">
        <v>84</v>
      </c>
      <c r="B1566" s="24">
        <v>6</v>
      </c>
      <c r="C1566" t="s">
        <v>147</v>
      </c>
      <c r="D1566" t="s">
        <v>49</v>
      </c>
      <c r="E1566" t="s">
        <v>215</v>
      </c>
      <c r="F1566" t="s">
        <v>51</v>
      </c>
      <c r="H1566" t="s">
        <v>30</v>
      </c>
      <c r="I1566" t="s">
        <v>217</v>
      </c>
      <c r="J1566">
        <v>1</v>
      </c>
      <c r="N1566">
        <f>Таблица1[[#This Row],[Часов на заказчика  в работе]]+Таблица1[[#This Row],[Часов на заказчика  дежурство]]</f>
        <v>0</v>
      </c>
      <c r="O15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6" s="9">
        <v>180000</v>
      </c>
      <c r="R1566" s="9"/>
      <c r="S1566" s="5">
        <v>1</v>
      </c>
      <c r="T15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табеле]])*S1566,0)</f>
        <v>0</v>
      </c>
      <c r="U1566" s="5">
        <f>IF(Таблица1[[#This Row],[ТТН]]&gt;0,Таблица1[[#This Row],[Ставка за ТТН]]*Таблица1[[#This Row],[ТТН]],0)</f>
        <v>0</v>
      </c>
    </row>
    <row r="1567" spans="1:21" x14ac:dyDescent="0.25">
      <c r="A1567" t="s">
        <v>84</v>
      </c>
      <c r="B1567" s="24">
        <v>7</v>
      </c>
      <c r="C1567" t="s">
        <v>147</v>
      </c>
      <c r="D1567" t="s">
        <v>49</v>
      </c>
      <c r="E1567" t="s">
        <v>215</v>
      </c>
      <c r="F1567" t="s">
        <v>51</v>
      </c>
      <c r="H1567" t="s">
        <v>30</v>
      </c>
      <c r="I1567" t="s">
        <v>217</v>
      </c>
      <c r="J1567">
        <v>1</v>
      </c>
      <c r="N1567">
        <f>Таблица1[[#This Row],[Часов на заказчика  в работе]]+Таблица1[[#This Row],[Часов на заказчика  дежурство]]</f>
        <v>0</v>
      </c>
      <c r="O15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7" s="9">
        <v>180000</v>
      </c>
      <c r="R1567" s="9"/>
      <c r="S1567" s="5">
        <v>1</v>
      </c>
      <c r="T15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табеле]])*S1567,0)</f>
        <v>0</v>
      </c>
      <c r="U1567" s="5">
        <f>IF(Таблица1[[#This Row],[ТТН]]&gt;0,Таблица1[[#This Row],[Ставка за ТТН]]*Таблица1[[#This Row],[ТТН]],0)</f>
        <v>0</v>
      </c>
    </row>
    <row r="1568" spans="1:21" x14ac:dyDescent="0.25">
      <c r="A1568" t="s">
        <v>84</v>
      </c>
      <c r="B1568" s="24">
        <v>8</v>
      </c>
      <c r="C1568" t="s">
        <v>147</v>
      </c>
      <c r="D1568" t="s">
        <v>49</v>
      </c>
      <c r="E1568" t="s">
        <v>215</v>
      </c>
      <c r="F1568" t="s">
        <v>51</v>
      </c>
      <c r="H1568" t="s">
        <v>29</v>
      </c>
      <c r="I1568" t="s">
        <v>217</v>
      </c>
      <c r="J1568">
        <v>8</v>
      </c>
      <c r="N1568">
        <f>Таблица1[[#This Row],[Часов на заказчика  в работе]]+Таблица1[[#This Row],[Часов на заказчика  дежурство]]</f>
        <v>0</v>
      </c>
      <c r="O15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8" s="9">
        <v>180000</v>
      </c>
      <c r="R1568" s="9"/>
      <c r="S1568" s="5">
        <v>1</v>
      </c>
      <c r="T15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табеле]])*S1568,0)</f>
        <v>0</v>
      </c>
      <c r="U1568" s="5">
        <f>IF(Таблица1[[#This Row],[ТТН]]&gt;0,Таблица1[[#This Row],[Ставка за ТТН]]*Таблица1[[#This Row],[ТТН]],0)</f>
        <v>0</v>
      </c>
    </row>
    <row r="1569" spans="1:21" x14ac:dyDescent="0.25">
      <c r="A1569" t="s">
        <v>84</v>
      </c>
      <c r="B1569" s="24">
        <v>9</v>
      </c>
      <c r="C1569" t="s">
        <v>147</v>
      </c>
      <c r="D1569" t="s">
        <v>49</v>
      </c>
      <c r="E1569" t="s">
        <v>215</v>
      </c>
      <c r="F1569" t="s">
        <v>51</v>
      </c>
      <c r="H1569" t="s">
        <v>29</v>
      </c>
      <c r="I1569" t="s">
        <v>217</v>
      </c>
      <c r="J1569">
        <v>8</v>
      </c>
      <c r="N1569">
        <f>Таблица1[[#This Row],[Часов на заказчика  в работе]]+Таблица1[[#This Row],[Часов на заказчика  дежурство]]</f>
        <v>0</v>
      </c>
      <c r="O15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69" s="9">
        <v>180000</v>
      </c>
      <c r="R1569" s="9"/>
      <c r="S1569" s="5">
        <v>1</v>
      </c>
      <c r="T15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табеле]])*S1569,0)</f>
        <v>0</v>
      </c>
      <c r="U1569" s="5">
        <f>IF(Таблица1[[#This Row],[ТТН]]&gt;0,Таблица1[[#This Row],[Ставка за ТТН]]*Таблица1[[#This Row],[ТТН]],0)</f>
        <v>0</v>
      </c>
    </row>
    <row r="1570" spans="1:21" x14ac:dyDescent="0.25">
      <c r="A1570" t="s">
        <v>84</v>
      </c>
      <c r="B1570" s="24">
        <v>10</v>
      </c>
      <c r="C1570" t="s">
        <v>147</v>
      </c>
      <c r="D1570" t="s">
        <v>49</v>
      </c>
      <c r="E1570" t="s">
        <v>215</v>
      </c>
      <c r="F1570" t="s">
        <v>51</v>
      </c>
      <c r="H1570" t="s">
        <v>29</v>
      </c>
      <c r="I1570" t="s">
        <v>217</v>
      </c>
      <c r="J1570">
        <v>8</v>
      </c>
      <c r="N1570">
        <f>Таблица1[[#This Row],[Часов на заказчика  в работе]]+Таблица1[[#This Row],[Часов на заказчика  дежурство]]</f>
        <v>0</v>
      </c>
      <c r="O15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0" s="9">
        <v>180000</v>
      </c>
      <c r="R1570" s="9"/>
      <c r="S1570" s="5">
        <v>1</v>
      </c>
      <c r="T15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табеле]])*S1570,0)</f>
        <v>0</v>
      </c>
      <c r="U1570" s="5">
        <f>IF(Таблица1[[#This Row],[ТТН]]&gt;0,Таблица1[[#This Row],[Ставка за ТТН]]*Таблица1[[#This Row],[ТТН]],0)</f>
        <v>0</v>
      </c>
    </row>
    <row r="1571" spans="1:21" x14ac:dyDescent="0.25">
      <c r="A1571" t="s">
        <v>84</v>
      </c>
      <c r="B1571" s="24">
        <v>11</v>
      </c>
      <c r="C1571" t="s">
        <v>147</v>
      </c>
      <c r="D1571" t="s">
        <v>49</v>
      </c>
      <c r="E1571" t="s">
        <v>215</v>
      </c>
      <c r="F1571" t="s">
        <v>51</v>
      </c>
      <c r="H1571" t="s">
        <v>29</v>
      </c>
      <c r="I1571" t="s">
        <v>217</v>
      </c>
      <c r="J1571">
        <v>8</v>
      </c>
      <c r="N1571">
        <f>Таблица1[[#This Row],[Часов на заказчика  в работе]]+Таблица1[[#This Row],[Часов на заказчика  дежурство]]</f>
        <v>0</v>
      </c>
      <c r="O15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1" s="9">
        <v>180000</v>
      </c>
      <c r="R1571" s="9"/>
      <c r="S1571" s="5">
        <v>1</v>
      </c>
      <c r="T15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табеле]])*S1571,0)</f>
        <v>0</v>
      </c>
      <c r="U1571" s="5">
        <f>IF(Таблица1[[#This Row],[ТТН]]&gt;0,Таблица1[[#This Row],[Ставка за ТТН]]*Таблица1[[#This Row],[ТТН]],0)</f>
        <v>0</v>
      </c>
    </row>
    <row r="1572" spans="1:21" x14ac:dyDescent="0.25">
      <c r="A1572" t="s">
        <v>84</v>
      </c>
      <c r="B1572" s="24">
        <v>12</v>
      </c>
      <c r="C1572" t="s">
        <v>147</v>
      </c>
      <c r="D1572" t="s">
        <v>49</v>
      </c>
      <c r="E1572" t="s">
        <v>215</v>
      </c>
      <c r="F1572" t="s">
        <v>51</v>
      </c>
      <c r="H1572" t="s">
        <v>29</v>
      </c>
      <c r="I1572" t="s">
        <v>217</v>
      </c>
      <c r="J1572">
        <v>8</v>
      </c>
      <c r="N1572">
        <f>Таблица1[[#This Row],[Часов на заказчика  в работе]]+Таблица1[[#This Row],[Часов на заказчика  дежурство]]</f>
        <v>0</v>
      </c>
      <c r="O15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2" s="9">
        <v>180000</v>
      </c>
      <c r="R1572" s="9"/>
      <c r="S1572" s="5">
        <v>1</v>
      </c>
      <c r="T15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табеле]])*S1572,0)</f>
        <v>0</v>
      </c>
      <c r="U1572" s="5">
        <f>IF(Таблица1[[#This Row],[ТТН]]&gt;0,Таблица1[[#This Row],[Ставка за ТТН]]*Таблица1[[#This Row],[ТТН]],0)</f>
        <v>0</v>
      </c>
    </row>
    <row r="1573" spans="1:21" x14ac:dyDescent="0.25">
      <c r="A1573" t="s">
        <v>84</v>
      </c>
      <c r="B1573" s="24">
        <v>13</v>
      </c>
      <c r="C1573" t="s">
        <v>147</v>
      </c>
      <c r="D1573" t="s">
        <v>49</v>
      </c>
      <c r="E1573" t="s">
        <v>215</v>
      </c>
      <c r="F1573" t="s">
        <v>51</v>
      </c>
      <c r="H1573" t="s">
        <v>30</v>
      </c>
      <c r="I1573" t="s">
        <v>217</v>
      </c>
      <c r="J1573">
        <v>1</v>
      </c>
      <c r="N1573">
        <f>Таблица1[[#This Row],[Часов на заказчика  в работе]]+Таблица1[[#This Row],[Часов на заказчика  дежурство]]</f>
        <v>0</v>
      </c>
      <c r="O15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3" s="9">
        <v>180000</v>
      </c>
      <c r="R1573" s="9"/>
      <c r="S1573" s="5">
        <v>1</v>
      </c>
      <c r="T15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табеле]])*S1573,0)</f>
        <v>0</v>
      </c>
      <c r="U1573" s="5">
        <f>IF(Таблица1[[#This Row],[ТТН]]&gt;0,Таблица1[[#This Row],[Ставка за ТТН]]*Таблица1[[#This Row],[ТТН]],0)</f>
        <v>0</v>
      </c>
    </row>
    <row r="1574" spans="1:21" x14ac:dyDescent="0.25">
      <c r="A1574" t="s">
        <v>84</v>
      </c>
      <c r="B1574" s="24">
        <v>14</v>
      </c>
      <c r="C1574" t="s">
        <v>147</v>
      </c>
      <c r="D1574" t="s">
        <v>49</v>
      </c>
      <c r="E1574" t="s">
        <v>215</v>
      </c>
      <c r="F1574" t="s">
        <v>51</v>
      </c>
      <c r="H1574" t="s">
        <v>30</v>
      </c>
      <c r="I1574" t="s">
        <v>217</v>
      </c>
      <c r="J1574">
        <v>1</v>
      </c>
      <c r="N1574">
        <f>Таблица1[[#This Row],[Часов на заказчика  в работе]]+Таблица1[[#This Row],[Часов на заказчика  дежурство]]</f>
        <v>0</v>
      </c>
      <c r="O15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4" s="9">
        <v>180000</v>
      </c>
      <c r="R1574" s="9"/>
      <c r="S1574" s="5">
        <v>1</v>
      </c>
      <c r="T15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табеле]])*S1574,0)</f>
        <v>0</v>
      </c>
      <c r="U1574" s="5">
        <f>IF(Таблица1[[#This Row],[ТТН]]&gt;0,Таблица1[[#This Row],[Ставка за ТТН]]*Таблица1[[#This Row],[ТТН]],0)</f>
        <v>0</v>
      </c>
    </row>
    <row r="1575" spans="1:21" x14ac:dyDescent="0.25">
      <c r="A1575" t="s">
        <v>84</v>
      </c>
      <c r="B1575" s="24">
        <v>15</v>
      </c>
      <c r="C1575" t="s">
        <v>147</v>
      </c>
      <c r="D1575" t="s">
        <v>49</v>
      </c>
      <c r="E1575" t="s">
        <v>215</v>
      </c>
      <c r="F1575" t="s">
        <v>51</v>
      </c>
      <c r="H1575" t="s">
        <v>29</v>
      </c>
      <c r="I1575" t="s">
        <v>217</v>
      </c>
      <c r="J1575">
        <v>8</v>
      </c>
      <c r="N1575">
        <f>Таблица1[[#This Row],[Часов на заказчика  в работе]]+Таблица1[[#This Row],[Часов на заказчика  дежурство]]</f>
        <v>0</v>
      </c>
      <c r="O15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5" s="9">
        <v>180000</v>
      </c>
      <c r="R1575" s="9"/>
      <c r="S1575" s="5">
        <v>1</v>
      </c>
      <c r="T15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табеле]])*S1575,0)</f>
        <v>0</v>
      </c>
      <c r="U1575" s="5">
        <f>IF(Таблица1[[#This Row],[ТТН]]&gt;0,Таблица1[[#This Row],[Ставка за ТТН]]*Таблица1[[#This Row],[ТТН]],0)</f>
        <v>0</v>
      </c>
    </row>
    <row r="1576" spans="1:21" x14ac:dyDescent="0.25">
      <c r="A1576" t="s">
        <v>84</v>
      </c>
      <c r="B1576" s="24">
        <v>16</v>
      </c>
      <c r="C1576" t="s">
        <v>147</v>
      </c>
      <c r="D1576" t="s">
        <v>49</v>
      </c>
      <c r="E1576" t="s">
        <v>215</v>
      </c>
      <c r="F1576" t="s">
        <v>51</v>
      </c>
      <c r="H1576" t="s">
        <v>29</v>
      </c>
      <c r="I1576" t="s">
        <v>217</v>
      </c>
      <c r="J1576">
        <v>8</v>
      </c>
      <c r="N1576">
        <f>Таблица1[[#This Row],[Часов на заказчика  в работе]]+Таблица1[[#This Row],[Часов на заказчика  дежурство]]</f>
        <v>0</v>
      </c>
      <c r="O15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6" s="9">
        <v>180000</v>
      </c>
      <c r="R1576" s="9"/>
      <c r="S1576" s="5">
        <v>1</v>
      </c>
      <c r="T15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табеле]])*S1576,0)</f>
        <v>0</v>
      </c>
      <c r="U1576" s="5">
        <f>IF(Таблица1[[#This Row],[ТТН]]&gt;0,Таблица1[[#This Row],[Ставка за ТТН]]*Таблица1[[#This Row],[ТТН]],0)</f>
        <v>0</v>
      </c>
    </row>
    <row r="1577" spans="1:21" x14ac:dyDescent="0.25">
      <c r="A1577" t="s">
        <v>84</v>
      </c>
      <c r="B1577" s="24">
        <v>17</v>
      </c>
      <c r="C1577" t="s">
        <v>147</v>
      </c>
      <c r="D1577" t="s">
        <v>49</v>
      </c>
      <c r="E1577" t="s">
        <v>215</v>
      </c>
      <c r="F1577" t="s">
        <v>51</v>
      </c>
      <c r="H1577" t="s">
        <v>29</v>
      </c>
      <c r="I1577" t="s">
        <v>217</v>
      </c>
      <c r="J1577">
        <v>8</v>
      </c>
      <c r="N1577">
        <f>Таблица1[[#This Row],[Часов на заказчика  в работе]]+Таблица1[[#This Row],[Часов на заказчика  дежурство]]</f>
        <v>0</v>
      </c>
      <c r="O15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7" s="9">
        <v>180000</v>
      </c>
      <c r="R1577" s="9"/>
      <c r="S1577" s="5">
        <v>1</v>
      </c>
      <c r="T15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табеле]])*S1577,0)</f>
        <v>0</v>
      </c>
      <c r="U1577" s="5">
        <f>IF(Таблица1[[#This Row],[ТТН]]&gt;0,Таблица1[[#This Row],[Ставка за ТТН]]*Таблица1[[#This Row],[ТТН]],0)</f>
        <v>0</v>
      </c>
    </row>
    <row r="1578" spans="1:21" x14ac:dyDescent="0.25">
      <c r="A1578" t="s">
        <v>84</v>
      </c>
      <c r="B1578" s="24">
        <v>18</v>
      </c>
      <c r="C1578" t="s">
        <v>147</v>
      </c>
      <c r="D1578" t="s">
        <v>49</v>
      </c>
      <c r="E1578" t="s">
        <v>215</v>
      </c>
      <c r="F1578" t="s">
        <v>51</v>
      </c>
      <c r="H1578" t="s">
        <v>29</v>
      </c>
      <c r="I1578" t="s">
        <v>217</v>
      </c>
      <c r="J1578">
        <v>8</v>
      </c>
      <c r="N1578">
        <f>Таблица1[[#This Row],[Часов на заказчика  в работе]]+Таблица1[[#This Row],[Часов на заказчика  дежурство]]</f>
        <v>0</v>
      </c>
      <c r="O15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8" s="9">
        <v>180000</v>
      </c>
      <c r="R1578" s="9"/>
      <c r="S1578" s="5">
        <v>1</v>
      </c>
      <c r="T15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табеле]])*S1578,0)</f>
        <v>0</v>
      </c>
      <c r="U1578" s="5">
        <f>IF(Таблица1[[#This Row],[ТТН]]&gt;0,Таблица1[[#This Row],[Ставка за ТТН]]*Таблица1[[#This Row],[ТТН]],0)</f>
        <v>0</v>
      </c>
    </row>
    <row r="1579" spans="1:21" x14ac:dyDescent="0.25">
      <c r="A1579" t="s">
        <v>84</v>
      </c>
      <c r="B1579" s="24">
        <v>19</v>
      </c>
      <c r="C1579" t="s">
        <v>147</v>
      </c>
      <c r="D1579" t="s">
        <v>49</v>
      </c>
      <c r="E1579" t="s">
        <v>215</v>
      </c>
      <c r="F1579" t="s">
        <v>51</v>
      </c>
      <c r="H1579" t="s">
        <v>29</v>
      </c>
      <c r="I1579" t="s">
        <v>217</v>
      </c>
      <c r="J1579">
        <v>8</v>
      </c>
      <c r="N1579">
        <f>Таблица1[[#This Row],[Часов на заказчика  в работе]]+Таблица1[[#This Row],[Часов на заказчика  дежурство]]</f>
        <v>0</v>
      </c>
      <c r="O15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79" s="9">
        <v>180000</v>
      </c>
      <c r="R1579" s="9"/>
      <c r="S1579" s="5">
        <v>1</v>
      </c>
      <c r="T15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табеле]])*S1579,0)</f>
        <v>0</v>
      </c>
      <c r="U1579" s="5">
        <f>IF(Таблица1[[#This Row],[ТТН]]&gt;0,Таблица1[[#This Row],[Ставка за ТТН]]*Таблица1[[#This Row],[ТТН]],0)</f>
        <v>0</v>
      </c>
    </row>
    <row r="1580" spans="1:21" x14ac:dyDescent="0.25">
      <c r="A1580" t="s">
        <v>84</v>
      </c>
      <c r="B1580" s="24">
        <v>20</v>
      </c>
      <c r="C1580" t="s">
        <v>147</v>
      </c>
      <c r="D1580" t="s">
        <v>49</v>
      </c>
      <c r="E1580" t="s">
        <v>215</v>
      </c>
      <c r="F1580" t="s">
        <v>51</v>
      </c>
      <c r="H1580" t="s">
        <v>30</v>
      </c>
      <c r="I1580" t="s">
        <v>217</v>
      </c>
      <c r="J1580">
        <v>1</v>
      </c>
      <c r="N1580">
        <f>Таблица1[[#This Row],[Часов на заказчика  в работе]]+Таблица1[[#This Row],[Часов на заказчика  дежурство]]</f>
        <v>0</v>
      </c>
      <c r="O15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0" s="9">
        <v>180000</v>
      </c>
      <c r="R1580" s="9"/>
      <c r="S1580" s="5">
        <v>1</v>
      </c>
      <c r="T15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табеле]])*S1580,0)</f>
        <v>0</v>
      </c>
      <c r="U1580" s="5">
        <f>IF(Таблица1[[#This Row],[ТТН]]&gt;0,Таблица1[[#This Row],[Ставка за ТТН]]*Таблица1[[#This Row],[ТТН]],0)</f>
        <v>0</v>
      </c>
    </row>
    <row r="1581" spans="1:21" x14ac:dyDescent="0.25">
      <c r="A1581" t="s">
        <v>84</v>
      </c>
      <c r="B1581" s="24">
        <v>21</v>
      </c>
      <c r="C1581" t="s">
        <v>147</v>
      </c>
      <c r="D1581" t="s">
        <v>49</v>
      </c>
      <c r="E1581" t="s">
        <v>215</v>
      </c>
      <c r="F1581" t="s">
        <v>51</v>
      </c>
      <c r="H1581" t="s">
        <v>30</v>
      </c>
      <c r="I1581" t="s">
        <v>217</v>
      </c>
      <c r="J1581">
        <v>1</v>
      </c>
      <c r="N1581">
        <f>Таблица1[[#This Row],[Часов на заказчика  в работе]]+Таблица1[[#This Row],[Часов на заказчика  дежурство]]</f>
        <v>0</v>
      </c>
      <c r="O15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1" s="9">
        <v>180000</v>
      </c>
      <c r="R1581" s="9"/>
      <c r="S1581" s="5">
        <v>1</v>
      </c>
      <c r="T15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табеле]])*S1581,0)</f>
        <v>0</v>
      </c>
      <c r="U1581" s="5">
        <f>IF(Таблица1[[#This Row],[ТТН]]&gt;0,Таблица1[[#This Row],[Ставка за ТТН]]*Таблица1[[#This Row],[ТТН]],0)</f>
        <v>0</v>
      </c>
    </row>
    <row r="1582" spans="1:21" x14ac:dyDescent="0.25">
      <c r="A1582" t="s">
        <v>84</v>
      </c>
      <c r="B1582" s="24">
        <v>22</v>
      </c>
      <c r="C1582" t="s">
        <v>147</v>
      </c>
      <c r="D1582" t="s">
        <v>49</v>
      </c>
      <c r="E1582" t="s">
        <v>215</v>
      </c>
      <c r="F1582" t="s">
        <v>51</v>
      </c>
      <c r="H1582" t="s">
        <v>29</v>
      </c>
      <c r="I1582" t="s">
        <v>217</v>
      </c>
      <c r="J1582">
        <v>8</v>
      </c>
      <c r="N1582">
        <f>Таблица1[[#This Row],[Часов на заказчика  в работе]]+Таблица1[[#This Row],[Часов на заказчика  дежурство]]</f>
        <v>0</v>
      </c>
      <c r="O15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2" s="9">
        <v>180000</v>
      </c>
      <c r="R1582" s="9"/>
      <c r="S1582" s="5">
        <v>1</v>
      </c>
      <c r="T15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табеле]])*S1582,0)</f>
        <v>0</v>
      </c>
      <c r="U1582" s="5">
        <f>IF(Таблица1[[#This Row],[ТТН]]&gt;0,Таблица1[[#This Row],[Ставка за ТТН]]*Таблица1[[#This Row],[ТТН]],0)</f>
        <v>0</v>
      </c>
    </row>
    <row r="1583" spans="1:21" x14ac:dyDescent="0.25">
      <c r="A1583" t="s">
        <v>84</v>
      </c>
      <c r="B1583" s="24">
        <v>23</v>
      </c>
      <c r="C1583" t="s">
        <v>147</v>
      </c>
      <c r="D1583" t="s">
        <v>49</v>
      </c>
      <c r="E1583" t="s">
        <v>215</v>
      </c>
      <c r="F1583" t="s">
        <v>51</v>
      </c>
      <c r="H1583" t="s">
        <v>29</v>
      </c>
      <c r="I1583" t="s">
        <v>217</v>
      </c>
      <c r="J1583">
        <v>8</v>
      </c>
      <c r="N1583">
        <f>Таблица1[[#This Row],[Часов на заказчика  в работе]]+Таблица1[[#This Row],[Часов на заказчика  дежурство]]</f>
        <v>0</v>
      </c>
      <c r="O15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3" s="9">
        <v>180000</v>
      </c>
      <c r="R1583" s="9"/>
      <c r="S1583" s="5">
        <v>1</v>
      </c>
      <c r="T15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табеле]])*S1583,0)</f>
        <v>0</v>
      </c>
      <c r="U1583" s="5">
        <f>IF(Таблица1[[#This Row],[ТТН]]&gt;0,Таблица1[[#This Row],[Ставка за ТТН]]*Таблица1[[#This Row],[ТТН]],0)</f>
        <v>0</v>
      </c>
    </row>
    <row r="1584" spans="1:21" x14ac:dyDescent="0.25">
      <c r="A1584" t="s">
        <v>84</v>
      </c>
      <c r="B1584" s="24">
        <v>24</v>
      </c>
      <c r="C1584" t="s">
        <v>147</v>
      </c>
      <c r="D1584" t="s">
        <v>49</v>
      </c>
      <c r="E1584" t="s">
        <v>215</v>
      </c>
      <c r="F1584" t="s">
        <v>51</v>
      </c>
      <c r="H1584" t="s">
        <v>29</v>
      </c>
      <c r="I1584" t="s">
        <v>217</v>
      </c>
      <c r="J1584">
        <v>8</v>
      </c>
      <c r="N1584">
        <f>Таблица1[[#This Row],[Часов на заказчика  в работе]]+Таблица1[[#This Row],[Часов на заказчика  дежурство]]</f>
        <v>0</v>
      </c>
      <c r="O15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4" s="9">
        <v>180000</v>
      </c>
      <c r="R1584" s="9"/>
      <c r="S1584" s="5">
        <v>1</v>
      </c>
      <c r="T15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табеле]])*S1584,0)</f>
        <v>0</v>
      </c>
      <c r="U1584" s="5">
        <f>IF(Таблица1[[#This Row],[ТТН]]&gt;0,Таблица1[[#This Row],[Ставка за ТТН]]*Таблица1[[#This Row],[ТТН]],0)</f>
        <v>0</v>
      </c>
    </row>
    <row r="1585" spans="1:21" x14ac:dyDescent="0.25">
      <c r="A1585" t="s">
        <v>84</v>
      </c>
      <c r="B1585" s="24">
        <v>25</v>
      </c>
      <c r="C1585" t="s">
        <v>147</v>
      </c>
      <c r="D1585" t="s">
        <v>49</v>
      </c>
      <c r="E1585" t="s">
        <v>215</v>
      </c>
      <c r="F1585" t="s">
        <v>51</v>
      </c>
      <c r="H1585" t="s">
        <v>29</v>
      </c>
      <c r="I1585" t="s">
        <v>217</v>
      </c>
      <c r="J1585">
        <v>8</v>
      </c>
      <c r="N1585">
        <f>Таблица1[[#This Row],[Часов на заказчика  в работе]]+Таблица1[[#This Row],[Часов на заказчика  дежурство]]</f>
        <v>0</v>
      </c>
      <c r="O15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5" s="9">
        <v>180000</v>
      </c>
      <c r="R1585" s="9"/>
      <c r="S1585" s="5">
        <v>1</v>
      </c>
      <c r="T15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табеле]])*S1585,0)</f>
        <v>0</v>
      </c>
      <c r="U1585" s="5">
        <f>IF(Таблица1[[#This Row],[ТТН]]&gt;0,Таблица1[[#This Row],[Ставка за ТТН]]*Таблица1[[#This Row],[ТТН]],0)</f>
        <v>0</v>
      </c>
    </row>
    <row r="1586" spans="1:21" x14ac:dyDescent="0.25">
      <c r="A1586" t="s">
        <v>84</v>
      </c>
      <c r="B1586" s="24">
        <v>26</v>
      </c>
      <c r="C1586" t="s">
        <v>147</v>
      </c>
      <c r="D1586" t="s">
        <v>49</v>
      </c>
      <c r="E1586" t="s">
        <v>215</v>
      </c>
      <c r="F1586" t="s">
        <v>51</v>
      </c>
      <c r="H1586" t="s">
        <v>24</v>
      </c>
      <c r="I1586" t="s">
        <v>217</v>
      </c>
      <c r="J1586">
        <v>8</v>
      </c>
      <c r="N1586">
        <f>Таблица1[[#This Row],[Часов на заказчика  в работе]]+Таблица1[[#This Row],[Часов на заказчика  дежурство]]</f>
        <v>0</v>
      </c>
      <c r="O15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6" s="9">
        <v>180000</v>
      </c>
      <c r="R1586" s="9"/>
      <c r="S1586" s="5">
        <v>1</v>
      </c>
      <c r="T15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табеле]])*S1586,0)</f>
        <v>0</v>
      </c>
      <c r="U1586" s="5">
        <f>IF(Таблица1[[#This Row],[ТТН]]&gt;0,Таблица1[[#This Row],[Ставка за ТТН]]*Таблица1[[#This Row],[ТТН]],0)</f>
        <v>0</v>
      </c>
    </row>
    <row r="1587" spans="1:21" x14ac:dyDescent="0.25">
      <c r="A1587" t="s">
        <v>84</v>
      </c>
      <c r="B1587" s="24">
        <v>27</v>
      </c>
      <c r="C1587" t="s">
        <v>147</v>
      </c>
      <c r="D1587" t="s">
        <v>49</v>
      </c>
      <c r="E1587" t="s">
        <v>215</v>
      </c>
      <c r="F1587" t="s">
        <v>51</v>
      </c>
      <c r="H1587" t="s">
        <v>24</v>
      </c>
      <c r="I1587" t="s">
        <v>217</v>
      </c>
      <c r="J1587">
        <v>8</v>
      </c>
      <c r="N1587">
        <f>Таблица1[[#This Row],[Часов на заказчика  в работе]]+Таблица1[[#This Row],[Часов на заказчика  дежурство]]</f>
        <v>0</v>
      </c>
      <c r="O15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7" s="9">
        <v>180000</v>
      </c>
      <c r="R1587" s="9"/>
      <c r="S1587" s="5">
        <v>1</v>
      </c>
      <c r="T15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табеле]])*S1587,0)</f>
        <v>0</v>
      </c>
      <c r="U1587" s="5">
        <f>IF(Таблица1[[#This Row],[ТТН]]&gt;0,Таблица1[[#This Row],[Ставка за ТТН]]*Таблица1[[#This Row],[ТТН]],0)</f>
        <v>0</v>
      </c>
    </row>
    <row r="1588" spans="1:21" x14ac:dyDescent="0.25">
      <c r="A1588" t="s">
        <v>84</v>
      </c>
      <c r="B1588" s="24">
        <v>28</v>
      </c>
      <c r="C1588" t="s">
        <v>147</v>
      </c>
      <c r="D1588" t="s">
        <v>49</v>
      </c>
      <c r="E1588" t="s">
        <v>215</v>
      </c>
      <c r="F1588" t="s">
        <v>51</v>
      </c>
      <c r="H1588" t="s">
        <v>24</v>
      </c>
      <c r="I1588" t="s">
        <v>217</v>
      </c>
      <c r="J1588">
        <v>8</v>
      </c>
      <c r="N1588">
        <f>Таблица1[[#This Row],[Часов на заказчика  в работе]]+Таблица1[[#This Row],[Часов на заказчика  дежурство]]</f>
        <v>0</v>
      </c>
      <c r="O15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8" s="9">
        <v>180000</v>
      </c>
      <c r="R1588" s="9"/>
      <c r="S1588" s="5">
        <v>1</v>
      </c>
      <c r="T15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табеле]])*S1588,0)</f>
        <v>0</v>
      </c>
      <c r="U1588" s="5">
        <f>IF(Таблица1[[#This Row],[ТТН]]&gt;0,Таблица1[[#This Row],[Ставка за ТТН]]*Таблица1[[#This Row],[ТТН]],0)</f>
        <v>0</v>
      </c>
    </row>
    <row r="1589" spans="1:21" x14ac:dyDescent="0.25">
      <c r="A1589" t="s">
        <v>84</v>
      </c>
      <c r="B1589" s="24">
        <v>29</v>
      </c>
      <c r="C1589" t="s">
        <v>147</v>
      </c>
      <c r="D1589" t="s">
        <v>49</v>
      </c>
      <c r="E1589" t="s">
        <v>215</v>
      </c>
      <c r="F1589" t="s">
        <v>51</v>
      </c>
      <c r="H1589" t="s">
        <v>10</v>
      </c>
      <c r="I1589" t="s">
        <v>219</v>
      </c>
      <c r="J1589">
        <v>11</v>
      </c>
      <c r="L1589">
        <v>11</v>
      </c>
      <c r="N1589">
        <f>Таблица1[[#This Row],[Часов на заказчика  в работе]]+Таблица1[[#This Row],[Часов на заказчика  дежурство]]</f>
        <v>11</v>
      </c>
      <c r="O15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89" s="9">
        <v>180000</v>
      </c>
      <c r="R1589" s="9"/>
      <c r="S1589" s="5">
        <v>1</v>
      </c>
      <c r="T15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табеле]])*S1589,0)</f>
        <v>6000</v>
      </c>
      <c r="U1589" s="5">
        <f>IF(Таблица1[[#This Row],[ТТН]]&gt;0,Таблица1[[#This Row],[Ставка за ТТН]]*Таблица1[[#This Row],[ТТН]],0)</f>
        <v>0</v>
      </c>
    </row>
    <row r="1590" spans="1:21" x14ac:dyDescent="0.25">
      <c r="A1590" t="s">
        <v>84</v>
      </c>
      <c r="B1590" s="24">
        <v>30</v>
      </c>
      <c r="C1590" t="s">
        <v>148</v>
      </c>
      <c r="D1590" t="s">
        <v>49</v>
      </c>
      <c r="E1590" t="s">
        <v>215</v>
      </c>
      <c r="F1590" t="s">
        <v>51</v>
      </c>
      <c r="H1590" t="s">
        <v>10</v>
      </c>
      <c r="I1590" t="s">
        <v>219</v>
      </c>
      <c r="J1590">
        <v>11</v>
      </c>
      <c r="L1590">
        <v>11</v>
      </c>
      <c r="N1590">
        <f>Таблица1[[#This Row],[Часов на заказчика  в работе]]+Таблица1[[#This Row],[Часов на заказчика  дежурство]]</f>
        <v>11</v>
      </c>
      <c r="O15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0" s="9">
        <v>180000</v>
      </c>
      <c r="R1590" s="9"/>
      <c r="S1590" s="5">
        <v>1</v>
      </c>
      <c r="T15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табеле]])*S1590,0)</f>
        <v>6000</v>
      </c>
      <c r="U1590" s="5">
        <f>IF(Таблица1[[#This Row],[ТТН]]&gt;0,Таблица1[[#This Row],[Ставка за ТТН]]*Таблица1[[#This Row],[ТТН]],0)</f>
        <v>0</v>
      </c>
    </row>
    <row r="1591" spans="1:21" x14ac:dyDescent="0.25">
      <c r="A1591" t="s">
        <v>84</v>
      </c>
      <c r="B1591" s="24">
        <v>1</v>
      </c>
      <c r="C1591" t="s">
        <v>148</v>
      </c>
      <c r="D1591" t="s">
        <v>32</v>
      </c>
      <c r="E1591" t="s">
        <v>215</v>
      </c>
      <c r="F1591" t="s">
        <v>31</v>
      </c>
      <c r="H1591" t="s">
        <v>10</v>
      </c>
      <c r="I1591" t="s">
        <v>219</v>
      </c>
      <c r="J1591">
        <v>22</v>
      </c>
      <c r="L1591">
        <v>22</v>
      </c>
      <c r="N1591">
        <f>Таблица1[[#This Row],[Часов на заказчика  в работе]]+Таблица1[[#This Row],[Часов на заказчика  дежурство]]</f>
        <v>22</v>
      </c>
      <c r="O15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1" s="9">
        <v>220000</v>
      </c>
      <c r="R1591" s="9"/>
      <c r="S1591" s="5">
        <v>1</v>
      </c>
      <c r="T15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табеле]])*S1591,0)</f>
        <v>14666.666666666666</v>
      </c>
      <c r="U1591" s="5">
        <f>IF(Таблица1[[#This Row],[ТТН]]&gt;0,Таблица1[[#This Row],[Ставка за ТТН]]*Таблица1[[#This Row],[ТТН]],0)</f>
        <v>0</v>
      </c>
    </row>
    <row r="1592" spans="1:21" x14ac:dyDescent="0.25">
      <c r="A1592" t="s">
        <v>84</v>
      </c>
      <c r="B1592" s="24">
        <v>2</v>
      </c>
      <c r="C1592" t="s">
        <v>148</v>
      </c>
      <c r="D1592" t="s">
        <v>32</v>
      </c>
      <c r="E1592" t="s">
        <v>215</v>
      </c>
      <c r="F1592" t="s">
        <v>31</v>
      </c>
      <c r="H1592" t="s">
        <v>10</v>
      </c>
      <c r="I1592" t="s">
        <v>219</v>
      </c>
      <c r="J1592">
        <v>22</v>
      </c>
      <c r="L1592">
        <v>22</v>
      </c>
      <c r="N1592">
        <f>Таблица1[[#This Row],[Часов на заказчика  в работе]]+Таблица1[[#This Row],[Часов на заказчика  дежурство]]</f>
        <v>22</v>
      </c>
      <c r="O15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2" s="9">
        <v>220000</v>
      </c>
      <c r="R1592" s="9"/>
      <c r="S1592" s="5">
        <v>1</v>
      </c>
      <c r="T15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табеле]])*S1592,0)</f>
        <v>14666.666666666666</v>
      </c>
      <c r="U1592" s="5">
        <f>IF(Таблица1[[#This Row],[ТТН]]&gt;0,Таблица1[[#This Row],[Ставка за ТТН]]*Таблица1[[#This Row],[ТТН]],0)</f>
        <v>0</v>
      </c>
    </row>
    <row r="1593" spans="1:21" x14ac:dyDescent="0.25">
      <c r="A1593" t="s">
        <v>84</v>
      </c>
      <c r="B1593" s="24">
        <v>3</v>
      </c>
      <c r="C1593" t="s">
        <v>148</v>
      </c>
      <c r="D1593" t="s">
        <v>32</v>
      </c>
      <c r="E1593" t="s">
        <v>215</v>
      </c>
      <c r="F1593" t="s">
        <v>31</v>
      </c>
      <c r="H1593" t="s">
        <v>10</v>
      </c>
      <c r="I1593" t="s">
        <v>219</v>
      </c>
      <c r="J1593">
        <v>22</v>
      </c>
      <c r="L1593">
        <v>22</v>
      </c>
      <c r="N1593">
        <f>Таблица1[[#This Row],[Часов на заказчика  в работе]]+Таблица1[[#This Row],[Часов на заказчика  дежурство]]</f>
        <v>22</v>
      </c>
      <c r="O15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3" s="9">
        <v>220000</v>
      </c>
      <c r="R1593" s="9"/>
      <c r="S1593" s="5">
        <v>1</v>
      </c>
      <c r="T15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табеле]])*S1593,0)</f>
        <v>14666.666666666666</v>
      </c>
      <c r="U1593" s="5">
        <f>IF(Таблица1[[#This Row],[ТТН]]&gt;0,Таблица1[[#This Row],[Ставка за ТТН]]*Таблица1[[#This Row],[ТТН]],0)</f>
        <v>0</v>
      </c>
    </row>
    <row r="1594" spans="1:21" x14ac:dyDescent="0.25">
      <c r="A1594" t="s">
        <v>84</v>
      </c>
      <c r="B1594" s="24">
        <v>4</v>
      </c>
      <c r="C1594" t="s">
        <v>148</v>
      </c>
      <c r="D1594" t="s">
        <v>32</v>
      </c>
      <c r="E1594" t="s">
        <v>215</v>
      </c>
      <c r="F1594" t="s">
        <v>31</v>
      </c>
      <c r="H1594" t="s">
        <v>10</v>
      </c>
      <c r="I1594" t="s">
        <v>219</v>
      </c>
      <c r="J1594">
        <v>22</v>
      </c>
      <c r="L1594">
        <v>22</v>
      </c>
      <c r="N1594">
        <f>Таблица1[[#This Row],[Часов на заказчика  в работе]]+Таблица1[[#This Row],[Часов на заказчика  дежурство]]</f>
        <v>22</v>
      </c>
      <c r="O15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4" s="9">
        <v>220000</v>
      </c>
      <c r="R1594" s="9"/>
      <c r="S1594" s="5">
        <v>1</v>
      </c>
      <c r="T15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табеле]])*S1594,0)</f>
        <v>14666.666666666666</v>
      </c>
      <c r="U1594" s="5">
        <f>IF(Таблица1[[#This Row],[ТТН]]&gt;0,Таблица1[[#This Row],[Ставка за ТТН]]*Таблица1[[#This Row],[ТТН]],0)</f>
        <v>0</v>
      </c>
    </row>
    <row r="1595" spans="1:21" x14ac:dyDescent="0.25">
      <c r="A1595" t="s">
        <v>84</v>
      </c>
      <c r="B1595" s="24">
        <v>5</v>
      </c>
      <c r="C1595" t="s">
        <v>148</v>
      </c>
      <c r="D1595" t="s">
        <v>32</v>
      </c>
      <c r="E1595" t="s">
        <v>215</v>
      </c>
      <c r="F1595" t="s">
        <v>31</v>
      </c>
      <c r="H1595" t="s">
        <v>10</v>
      </c>
      <c r="I1595" t="s">
        <v>219</v>
      </c>
      <c r="J1595">
        <v>22</v>
      </c>
      <c r="L1595">
        <v>22</v>
      </c>
      <c r="N1595">
        <f>Таблица1[[#This Row],[Часов на заказчика  в работе]]+Таблица1[[#This Row],[Часов на заказчика  дежурство]]</f>
        <v>22</v>
      </c>
      <c r="O15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5" s="9">
        <v>220000</v>
      </c>
      <c r="R1595" s="9"/>
      <c r="S1595" s="5">
        <v>1</v>
      </c>
      <c r="T15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табеле]])*S1595,0)</f>
        <v>14666.666666666666</v>
      </c>
      <c r="U1595" s="5">
        <f>IF(Таблица1[[#This Row],[ТТН]]&gt;0,Таблица1[[#This Row],[Ставка за ТТН]]*Таблица1[[#This Row],[ТТН]],0)</f>
        <v>0</v>
      </c>
    </row>
    <row r="1596" spans="1:21" x14ac:dyDescent="0.25">
      <c r="A1596" t="s">
        <v>84</v>
      </c>
      <c r="B1596" s="24">
        <v>6</v>
      </c>
      <c r="C1596" t="s">
        <v>148</v>
      </c>
      <c r="D1596" t="s">
        <v>32</v>
      </c>
      <c r="E1596" t="s">
        <v>215</v>
      </c>
      <c r="F1596" t="s">
        <v>31</v>
      </c>
      <c r="H1596" t="s">
        <v>10</v>
      </c>
      <c r="I1596" t="s">
        <v>219</v>
      </c>
      <c r="J1596">
        <v>22</v>
      </c>
      <c r="L1596">
        <v>22</v>
      </c>
      <c r="N1596">
        <f>Таблица1[[#This Row],[Часов на заказчика  в работе]]+Таблица1[[#This Row],[Часов на заказчика  дежурство]]</f>
        <v>22</v>
      </c>
      <c r="O15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6" s="9">
        <v>220000</v>
      </c>
      <c r="R1596" s="9"/>
      <c r="S1596" s="5">
        <v>1</v>
      </c>
      <c r="T15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табеле]])*S1596,0)</f>
        <v>14666.666666666666</v>
      </c>
      <c r="U1596" s="5">
        <f>IF(Таблица1[[#This Row],[ТТН]]&gt;0,Таблица1[[#This Row],[Ставка за ТТН]]*Таблица1[[#This Row],[ТТН]],0)</f>
        <v>0</v>
      </c>
    </row>
    <row r="1597" spans="1:21" x14ac:dyDescent="0.25">
      <c r="A1597" t="s">
        <v>84</v>
      </c>
      <c r="B1597" s="24">
        <v>7</v>
      </c>
      <c r="C1597" t="s">
        <v>148</v>
      </c>
      <c r="D1597" t="s">
        <v>32</v>
      </c>
      <c r="E1597" t="s">
        <v>215</v>
      </c>
      <c r="F1597" t="s">
        <v>31</v>
      </c>
      <c r="H1597" t="s">
        <v>10</v>
      </c>
      <c r="I1597" t="s">
        <v>219</v>
      </c>
      <c r="J1597">
        <v>11</v>
      </c>
      <c r="L1597">
        <v>11</v>
      </c>
      <c r="N1597">
        <f>Таблица1[[#This Row],[Часов на заказчика  в работе]]+Таблица1[[#This Row],[Часов на заказчика  дежурство]]</f>
        <v>11</v>
      </c>
      <c r="O15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7" s="9">
        <v>220000</v>
      </c>
      <c r="R1597" s="9"/>
      <c r="S1597" s="5">
        <v>1</v>
      </c>
      <c r="T15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табеле]])*S1597,0)</f>
        <v>7333.333333333333</v>
      </c>
      <c r="U1597" s="5">
        <f>IF(Таблица1[[#This Row],[ТТН]]&gt;0,Таблица1[[#This Row],[Ставка за ТТН]]*Таблица1[[#This Row],[ТТН]],0)</f>
        <v>0</v>
      </c>
    </row>
    <row r="1598" spans="1:21" x14ac:dyDescent="0.25">
      <c r="A1598" t="s">
        <v>84</v>
      </c>
      <c r="B1598" s="24">
        <v>8</v>
      </c>
      <c r="C1598" t="s">
        <v>148</v>
      </c>
      <c r="D1598" t="s">
        <v>32</v>
      </c>
      <c r="E1598" t="s">
        <v>215</v>
      </c>
      <c r="F1598" t="s">
        <v>31</v>
      </c>
      <c r="H1598" t="s">
        <v>10</v>
      </c>
      <c r="I1598" t="s">
        <v>219</v>
      </c>
      <c r="J1598">
        <v>22</v>
      </c>
      <c r="L1598">
        <v>22</v>
      </c>
      <c r="N1598">
        <f>Таблица1[[#This Row],[Часов на заказчика  в работе]]+Таблица1[[#This Row],[Часов на заказчика  дежурство]]</f>
        <v>22</v>
      </c>
      <c r="O15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8" s="9">
        <v>220000</v>
      </c>
      <c r="R1598" s="9"/>
      <c r="S1598" s="5">
        <v>1</v>
      </c>
      <c r="T15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табеле]])*S1598,0)</f>
        <v>14666.666666666666</v>
      </c>
      <c r="U1598" s="5">
        <f>IF(Таблица1[[#This Row],[ТТН]]&gt;0,Таблица1[[#This Row],[Ставка за ТТН]]*Таблица1[[#This Row],[ТТН]],0)</f>
        <v>0</v>
      </c>
    </row>
    <row r="1599" spans="1:21" x14ac:dyDescent="0.25">
      <c r="A1599" t="s">
        <v>84</v>
      </c>
      <c r="B1599" s="24">
        <v>9</v>
      </c>
      <c r="C1599" t="s">
        <v>148</v>
      </c>
      <c r="D1599" t="s">
        <v>32</v>
      </c>
      <c r="E1599" t="s">
        <v>215</v>
      </c>
      <c r="F1599" t="s">
        <v>31</v>
      </c>
      <c r="H1599" t="s">
        <v>10</v>
      </c>
      <c r="I1599" t="s">
        <v>219</v>
      </c>
      <c r="J1599">
        <v>22</v>
      </c>
      <c r="L1599">
        <v>22</v>
      </c>
      <c r="N1599">
        <f>Таблица1[[#This Row],[Часов на заказчика  в работе]]+Таблица1[[#This Row],[Часов на заказчика  дежурство]]</f>
        <v>22</v>
      </c>
      <c r="O15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599" s="9">
        <v>220000</v>
      </c>
      <c r="R1599" s="9"/>
      <c r="S1599" s="5">
        <v>1</v>
      </c>
      <c r="T15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табеле]])*S1599,0)</f>
        <v>14666.666666666666</v>
      </c>
      <c r="U1599" s="5">
        <f>IF(Таблица1[[#This Row],[ТТН]]&gt;0,Таблица1[[#This Row],[Ставка за ТТН]]*Таблица1[[#This Row],[ТТН]],0)</f>
        <v>0</v>
      </c>
    </row>
    <row r="1600" spans="1:21" x14ac:dyDescent="0.25">
      <c r="A1600" t="s">
        <v>84</v>
      </c>
      <c r="B1600" s="24">
        <v>10</v>
      </c>
      <c r="C1600" t="s">
        <v>148</v>
      </c>
      <c r="D1600" t="s">
        <v>32</v>
      </c>
      <c r="E1600" t="s">
        <v>215</v>
      </c>
      <c r="F1600" t="s">
        <v>31</v>
      </c>
      <c r="H1600" t="s">
        <v>10</v>
      </c>
      <c r="I1600" t="s">
        <v>219</v>
      </c>
      <c r="J1600">
        <v>22</v>
      </c>
      <c r="L1600">
        <v>22</v>
      </c>
      <c r="N1600">
        <f>Таблица1[[#This Row],[Часов на заказчика  в работе]]+Таблица1[[#This Row],[Часов на заказчика  дежурство]]</f>
        <v>22</v>
      </c>
      <c r="O16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0" s="9">
        <v>220000</v>
      </c>
      <c r="R1600" s="9"/>
      <c r="S1600" s="5">
        <v>1</v>
      </c>
      <c r="T16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табеле]])*S1600,0)</f>
        <v>14666.666666666666</v>
      </c>
      <c r="U1600" s="5">
        <f>IF(Таблица1[[#This Row],[ТТН]]&gt;0,Таблица1[[#This Row],[Ставка за ТТН]]*Таблица1[[#This Row],[ТТН]],0)</f>
        <v>0</v>
      </c>
    </row>
    <row r="1601" spans="1:21" x14ac:dyDescent="0.25">
      <c r="A1601" t="s">
        <v>84</v>
      </c>
      <c r="B1601" s="24">
        <v>11</v>
      </c>
      <c r="C1601" t="s">
        <v>148</v>
      </c>
      <c r="D1601" t="s">
        <v>32</v>
      </c>
      <c r="E1601" t="s">
        <v>215</v>
      </c>
      <c r="F1601" t="s">
        <v>31</v>
      </c>
      <c r="H1601" t="s">
        <v>10</v>
      </c>
      <c r="I1601" t="s">
        <v>219</v>
      </c>
      <c r="J1601">
        <v>22</v>
      </c>
      <c r="L1601">
        <v>22</v>
      </c>
      <c r="N1601">
        <f>Таблица1[[#This Row],[Часов на заказчика  в работе]]+Таблица1[[#This Row],[Часов на заказчика  дежурство]]</f>
        <v>22</v>
      </c>
      <c r="O16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1" s="9">
        <v>220000</v>
      </c>
      <c r="R1601" s="9"/>
      <c r="S1601" s="5">
        <v>1</v>
      </c>
      <c r="T16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табеле]])*S1601,0)</f>
        <v>14666.666666666666</v>
      </c>
      <c r="U1601" s="5">
        <f>IF(Таблица1[[#This Row],[ТТН]]&gt;0,Таблица1[[#This Row],[Ставка за ТТН]]*Таблица1[[#This Row],[ТТН]],0)</f>
        <v>0</v>
      </c>
    </row>
    <row r="1602" spans="1:21" x14ac:dyDescent="0.25">
      <c r="A1602" t="s">
        <v>84</v>
      </c>
      <c r="B1602" s="24">
        <v>12</v>
      </c>
      <c r="C1602" t="s">
        <v>148</v>
      </c>
      <c r="D1602" t="s">
        <v>32</v>
      </c>
      <c r="E1602" t="s">
        <v>215</v>
      </c>
      <c r="F1602" t="s">
        <v>31</v>
      </c>
      <c r="H1602" t="s">
        <v>10</v>
      </c>
      <c r="I1602" t="s">
        <v>219</v>
      </c>
      <c r="J1602">
        <v>22</v>
      </c>
      <c r="L1602">
        <v>22</v>
      </c>
      <c r="N1602">
        <f>Таблица1[[#This Row],[Часов на заказчика  в работе]]+Таблица1[[#This Row],[Часов на заказчика  дежурство]]</f>
        <v>22</v>
      </c>
      <c r="O16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2" s="9">
        <v>220000</v>
      </c>
      <c r="R1602" s="9"/>
      <c r="S1602" s="5">
        <v>1</v>
      </c>
      <c r="T16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табеле]])*S1602,0)</f>
        <v>14666.666666666666</v>
      </c>
      <c r="U1602" s="5">
        <f>IF(Таблица1[[#This Row],[ТТН]]&gt;0,Таблица1[[#This Row],[Ставка за ТТН]]*Таблица1[[#This Row],[ТТН]],0)</f>
        <v>0</v>
      </c>
    </row>
    <row r="1603" spans="1:21" x14ac:dyDescent="0.25">
      <c r="A1603" t="s">
        <v>84</v>
      </c>
      <c r="B1603" s="24">
        <v>13</v>
      </c>
      <c r="C1603" t="s">
        <v>148</v>
      </c>
      <c r="D1603" t="s">
        <v>32</v>
      </c>
      <c r="E1603" t="s">
        <v>215</v>
      </c>
      <c r="F1603" t="s">
        <v>31</v>
      </c>
      <c r="H1603" t="s">
        <v>10</v>
      </c>
      <c r="I1603" t="s">
        <v>219</v>
      </c>
      <c r="J1603">
        <v>22</v>
      </c>
      <c r="L1603">
        <v>22</v>
      </c>
      <c r="N1603">
        <f>Таблица1[[#This Row],[Часов на заказчика  в работе]]+Таблица1[[#This Row],[Часов на заказчика  дежурство]]</f>
        <v>22</v>
      </c>
      <c r="O16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3" s="9">
        <v>220000</v>
      </c>
      <c r="R1603" s="9"/>
      <c r="S1603" s="5">
        <v>1</v>
      </c>
      <c r="T16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табеле]])*S1603,0)</f>
        <v>14666.666666666666</v>
      </c>
      <c r="U1603" s="5">
        <f>IF(Таблица1[[#This Row],[ТТН]]&gt;0,Таблица1[[#This Row],[Ставка за ТТН]]*Таблица1[[#This Row],[ТТН]],0)</f>
        <v>0</v>
      </c>
    </row>
    <row r="1604" spans="1:21" x14ac:dyDescent="0.25">
      <c r="A1604" t="s">
        <v>84</v>
      </c>
      <c r="B1604" s="24">
        <v>14</v>
      </c>
      <c r="C1604" t="s">
        <v>148</v>
      </c>
      <c r="D1604" t="s">
        <v>32</v>
      </c>
      <c r="E1604" t="s">
        <v>215</v>
      </c>
      <c r="F1604" t="s">
        <v>31</v>
      </c>
      <c r="H1604" t="s">
        <v>10</v>
      </c>
      <c r="I1604" t="s">
        <v>219</v>
      </c>
      <c r="J1604">
        <v>22</v>
      </c>
      <c r="L1604">
        <v>22</v>
      </c>
      <c r="N1604">
        <f>Таблица1[[#This Row],[Часов на заказчика  в работе]]+Таблица1[[#This Row],[Часов на заказчика  дежурство]]</f>
        <v>22</v>
      </c>
      <c r="O16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4" s="9">
        <v>220000</v>
      </c>
      <c r="R1604" s="9"/>
      <c r="S1604" s="5">
        <v>1</v>
      </c>
      <c r="T16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табеле]])*S1604,0)</f>
        <v>14666.666666666666</v>
      </c>
      <c r="U1604" s="5">
        <f>IF(Таблица1[[#This Row],[ТТН]]&gt;0,Таблица1[[#This Row],[Ставка за ТТН]]*Таблица1[[#This Row],[ТТН]],0)</f>
        <v>0</v>
      </c>
    </row>
    <row r="1605" spans="1:21" x14ac:dyDescent="0.25">
      <c r="A1605" t="s">
        <v>84</v>
      </c>
      <c r="B1605" s="24">
        <v>15</v>
      </c>
      <c r="C1605" t="s">
        <v>148</v>
      </c>
      <c r="D1605" t="s">
        <v>32</v>
      </c>
      <c r="E1605" t="s">
        <v>215</v>
      </c>
      <c r="F1605" t="s">
        <v>31</v>
      </c>
      <c r="H1605" t="s">
        <v>10</v>
      </c>
      <c r="I1605" t="s">
        <v>219</v>
      </c>
      <c r="J1605">
        <v>22</v>
      </c>
      <c r="L1605">
        <v>22</v>
      </c>
      <c r="N1605">
        <f>Таблица1[[#This Row],[Часов на заказчика  в работе]]+Таблица1[[#This Row],[Часов на заказчика  дежурство]]</f>
        <v>22</v>
      </c>
      <c r="O16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5" s="9">
        <v>220000</v>
      </c>
      <c r="R1605" s="9"/>
      <c r="S1605" s="5">
        <v>1</v>
      </c>
      <c r="T16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табеле]])*S1605,0)</f>
        <v>14666.666666666666</v>
      </c>
      <c r="U1605" s="5">
        <f>IF(Таблица1[[#This Row],[ТТН]]&gt;0,Таблица1[[#This Row],[Ставка за ТТН]]*Таблица1[[#This Row],[ТТН]],0)</f>
        <v>0</v>
      </c>
    </row>
    <row r="1606" spans="1:21" x14ac:dyDescent="0.25">
      <c r="A1606" t="s">
        <v>84</v>
      </c>
      <c r="B1606" s="24">
        <v>16</v>
      </c>
      <c r="C1606" t="s">
        <v>148</v>
      </c>
      <c r="D1606" t="s">
        <v>32</v>
      </c>
      <c r="E1606" t="s">
        <v>215</v>
      </c>
      <c r="F1606" t="s">
        <v>31</v>
      </c>
      <c r="H1606" t="s">
        <v>10</v>
      </c>
      <c r="I1606" t="s">
        <v>219</v>
      </c>
      <c r="J1606">
        <v>22</v>
      </c>
      <c r="L1606">
        <v>22</v>
      </c>
      <c r="N1606">
        <f>Таблица1[[#This Row],[Часов на заказчика  в работе]]+Таблица1[[#This Row],[Часов на заказчика  дежурство]]</f>
        <v>22</v>
      </c>
      <c r="O16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6" s="9">
        <v>220000</v>
      </c>
      <c r="R1606" s="9"/>
      <c r="S1606" s="5">
        <v>1</v>
      </c>
      <c r="T16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табеле]])*S1606,0)</f>
        <v>14666.666666666666</v>
      </c>
      <c r="U1606" s="5">
        <f>IF(Таблица1[[#This Row],[ТТН]]&gt;0,Таблица1[[#This Row],[Ставка за ТТН]]*Таблица1[[#This Row],[ТТН]],0)</f>
        <v>0</v>
      </c>
    </row>
    <row r="1607" spans="1:21" x14ac:dyDescent="0.25">
      <c r="A1607" t="s">
        <v>84</v>
      </c>
      <c r="B1607" s="24">
        <v>17</v>
      </c>
      <c r="C1607" t="s">
        <v>148</v>
      </c>
      <c r="D1607" t="s">
        <v>32</v>
      </c>
      <c r="E1607" t="s">
        <v>215</v>
      </c>
      <c r="F1607" t="s">
        <v>31</v>
      </c>
      <c r="H1607" t="s">
        <v>10</v>
      </c>
      <c r="I1607" t="s">
        <v>219</v>
      </c>
      <c r="J1607">
        <v>22</v>
      </c>
      <c r="L1607">
        <v>22</v>
      </c>
      <c r="N1607">
        <f>Таблица1[[#This Row],[Часов на заказчика  в работе]]+Таблица1[[#This Row],[Часов на заказчика  дежурство]]</f>
        <v>22</v>
      </c>
      <c r="O16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7" s="9">
        <v>220000</v>
      </c>
      <c r="R1607" s="9"/>
      <c r="S1607" s="5">
        <v>1</v>
      </c>
      <c r="T16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табеле]])*S1607,0)</f>
        <v>14666.666666666666</v>
      </c>
      <c r="U1607" s="5">
        <f>IF(Таблица1[[#This Row],[ТТН]]&gt;0,Таблица1[[#This Row],[Ставка за ТТН]]*Таблица1[[#This Row],[ТТН]],0)</f>
        <v>0</v>
      </c>
    </row>
    <row r="1608" spans="1:21" x14ac:dyDescent="0.25">
      <c r="A1608" t="s">
        <v>84</v>
      </c>
      <c r="B1608" s="24">
        <v>18</v>
      </c>
      <c r="C1608" t="s">
        <v>148</v>
      </c>
      <c r="D1608" t="s">
        <v>32</v>
      </c>
      <c r="E1608" t="s">
        <v>215</v>
      </c>
      <c r="F1608" t="s">
        <v>31</v>
      </c>
      <c r="H1608" t="s">
        <v>10</v>
      </c>
      <c r="I1608" t="s">
        <v>219</v>
      </c>
      <c r="J1608">
        <v>11</v>
      </c>
      <c r="L1608">
        <v>11</v>
      </c>
      <c r="N1608">
        <f>Таблица1[[#This Row],[Часов на заказчика  в работе]]+Таблица1[[#This Row],[Часов на заказчика  дежурство]]</f>
        <v>11</v>
      </c>
      <c r="O16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8" s="9">
        <v>220000</v>
      </c>
      <c r="R1608" s="9"/>
      <c r="S1608" s="5">
        <v>1</v>
      </c>
      <c r="T16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табеле]])*S1608,0)</f>
        <v>7333.333333333333</v>
      </c>
      <c r="U1608" s="5">
        <f>IF(Таблица1[[#This Row],[ТТН]]&gt;0,Таблица1[[#This Row],[Ставка за ТТН]]*Таблица1[[#This Row],[ТТН]],0)</f>
        <v>0</v>
      </c>
    </row>
    <row r="1609" spans="1:21" x14ac:dyDescent="0.25">
      <c r="A1609" t="s">
        <v>84</v>
      </c>
      <c r="B1609" s="24">
        <v>19</v>
      </c>
      <c r="C1609" t="s">
        <v>148</v>
      </c>
      <c r="D1609" t="s">
        <v>32</v>
      </c>
      <c r="E1609" t="s">
        <v>215</v>
      </c>
      <c r="F1609" t="s">
        <v>31</v>
      </c>
      <c r="H1609" t="s">
        <v>10</v>
      </c>
      <c r="I1609" t="s">
        <v>219</v>
      </c>
      <c r="J1609">
        <v>22</v>
      </c>
      <c r="L1609">
        <v>22</v>
      </c>
      <c r="N1609">
        <f>Таблица1[[#This Row],[Часов на заказчика  в работе]]+Таблица1[[#This Row],[Часов на заказчика  дежурство]]</f>
        <v>22</v>
      </c>
      <c r="O16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09" s="9">
        <v>220000</v>
      </c>
      <c r="R1609" s="9"/>
      <c r="S1609" s="5">
        <v>1</v>
      </c>
      <c r="T16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табеле]])*S1609,0)</f>
        <v>14666.666666666666</v>
      </c>
      <c r="U1609" s="5">
        <f>IF(Таблица1[[#This Row],[ТТН]]&gt;0,Таблица1[[#This Row],[Ставка за ТТН]]*Таблица1[[#This Row],[ТТН]],0)</f>
        <v>0</v>
      </c>
    </row>
    <row r="1610" spans="1:21" x14ac:dyDescent="0.25">
      <c r="A1610" t="s">
        <v>84</v>
      </c>
      <c r="B1610" s="24">
        <v>20</v>
      </c>
      <c r="C1610" t="s">
        <v>148</v>
      </c>
      <c r="D1610" t="s">
        <v>32</v>
      </c>
      <c r="E1610" t="s">
        <v>215</v>
      </c>
      <c r="F1610" t="s">
        <v>31</v>
      </c>
      <c r="H1610" t="s">
        <v>10</v>
      </c>
      <c r="I1610" t="s">
        <v>219</v>
      </c>
      <c r="J1610">
        <v>11</v>
      </c>
      <c r="L1610">
        <v>11</v>
      </c>
      <c r="N1610">
        <f>Таблица1[[#This Row],[Часов на заказчика  в работе]]+Таблица1[[#This Row],[Часов на заказчика  дежурство]]</f>
        <v>11</v>
      </c>
      <c r="O16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0" s="9">
        <v>220000</v>
      </c>
      <c r="R1610" s="9"/>
      <c r="S1610" s="5">
        <v>1</v>
      </c>
      <c r="T16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табеле]])*S1610,0)</f>
        <v>7333.333333333333</v>
      </c>
      <c r="U1610" s="5">
        <f>IF(Таблица1[[#This Row],[ТТН]]&gt;0,Таблица1[[#This Row],[Ставка за ТТН]]*Таблица1[[#This Row],[ТТН]],0)</f>
        <v>0</v>
      </c>
    </row>
    <row r="1611" spans="1:21" x14ac:dyDescent="0.25">
      <c r="A1611" t="s">
        <v>84</v>
      </c>
      <c r="B1611" s="24">
        <v>21</v>
      </c>
      <c r="C1611" t="s">
        <v>148</v>
      </c>
      <c r="D1611" t="s">
        <v>32</v>
      </c>
      <c r="E1611" t="s">
        <v>215</v>
      </c>
      <c r="F1611" t="s">
        <v>31</v>
      </c>
      <c r="H1611" t="s">
        <v>10</v>
      </c>
      <c r="I1611" t="s">
        <v>219</v>
      </c>
      <c r="J1611">
        <v>22</v>
      </c>
      <c r="L1611">
        <v>22</v>
      </c>
      <c r="N1611">
        <f>Таблица1[[#This Row],[Часов на заказчика  в работе]]+Таблица1[[#This Row],[Часов на заказчика  дежурство]]</f>
        <v>22</v>
      </c>
      <c r="O16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1" s="9">
        <v>220000</v>
      </c>
      <c r="R1611" s="9"/>
      <c r="S1611" s="5">
        <v>1</v>
      </c>
      <c r="T16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табеле]])*S1611,0)</f>
        <v>14666.666666666666</v>
      </c>
      <c r="U1611" s="5">
        <f>IF(Таблица1[[#This Row],[ТТН]]&gt;0,Таблица1[[#This Row],[Ставка за ТТН]]*Таблица1[[#This Row],[ТТН]],0)</f>
        <v>0</v>
      </c>
    </row>
    <row r="1612" spans="1:21" x14ac:dyDescent="0.25">
      <c r="A1612" t="s">
        <v>84</v>
      </c>
      <c r="B1612" s="24">
        <v>22</v>
      </c>
      <c r="C1612" t="s">
        <v>148</v>
      </c>
      <c r="D1612" t="s">
        <v>32</v>
      </c>
      <c r="E1612" t="s">
        <v>215</v>
      </c>
      <c r="F1612" t="s">
        <v>31</v>
      </c>
      <c r="H1612" t="s">
        <v>10</v>
      </c>
      <c r="I1612" t="s">
        <v>219</v>
      </c>
      <c r="J1612">
        <v>11</v>
      </c>
      <c r="L1612">
        <v>11</v>
      </c>
      <c r="N1612">
        <f>Таблица1[[#This Row],[Часов на заказчика  в работе]]+Таблица1[[#This Row],[Часов на заказчика  дежурство]]</f>
        <v>11</v>
      </c>
      <c r="O16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2" s="9">
        <v>220000</v>
      </c>
      <c r="R1612" s="9"/>
      <c r="S1612" s="5">
        <v>1</v>
      </c>
      <c r="T16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табеле]])*S1612,0)</f>
        <v>7333.333333333333</v>
      </c>
      <c r="U1612" s="5">
        <f>IF(Таблица1[[#This Row],[ТТН]]&gt;0,Таблица1[[#This Row],[Ставка за ТТН]]*Таблица1[[#This Row],[ТТН]],0)</f>
        <v>0</v>
      </c>
    </row>
    <row r="1613" spans="1:21" x14ac:dyDescent="0.25">
      <c r="A1613" t="s">
        <v>84</v>
      </c>
      <c r="B1613" s="24">
        <v>23</v>
      </c>
      <c r="C1613" t="s">
        <v>148</v>
      </c>
      <c r="D1613" t="s">
        <v>32</v>
      </c>
      <c r="E1613" t="s">
        <v>215</v>
      </c>
      <c r="F1613" t="s">
        <v>31</v>
      </c>
      <c r="H1613" t="s">
        <v>10</v>
      </c>
      <c r="I1613" t="s">
        <v>219</v>
      </c>
      <c r="J1613">
        <v>11</v>
      </c>
      <c r="L1613">
        <v>11</v>
      </c>
      <c r="N1613">
        <f>Таблица1[[#This Row],[Часов на заказчика  в работе]]+Таблица1[[#This Row],[Часов на заказчика  дежурство]]</f>
        <v>11</v>
      </c>
      <c r="O16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3" s="9">
        <v>220000</v>
      </c>
      <c r="R1613" s="9"/>
      <c r="S1613" s="5">
        <v>1</v>
      </c>
      <c r="T16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табеле]])*S1613,0)</f>
        <v>7333.333333333333</v>
      </c>
      <c r="U1613" s="5">
        <f>IF(Таблица1[[#This Row],[ТТН]]&gt;0,Таблица1[[#This Row],[Ставка за ТТН]]*Таблица1[[#This Row],[ТТН]],0)</f>
        <v>0</v>
      </c>
    </row>
    <row r="1614" spans="1:21" x14ac:dyDescent="0.25">
      <c r="A1614" t="s">
        <v>84</v>
      </c>
      <c r="B1614" s="24">
        <v>24</v>
      </c>
      <c r="C1614" t="s">
        <v>148</v>
      </c>
      <c r="D1614" t="s">
        <v>32</v>
      </c>
      <c r="E1614" t="s">
        <v>215</v>
      </c>
      <c r="F1614" t="s">
        <v>31</v>
      </c>
      <c r="H1614" t="s">
        <v>10</v>
      </c>
      <c r="I1614" t="s">
        <v>219</v>
      </c>
      <c r="J1614">
        <v>22</v>
      </c>
      <c r="L1614">
        <v>22</v>
      </c>
      <c r="N1614">
        <f>Таблица1[[#This Row],[Часов на заказчика  в работе]]+Таблица1[[#This Row],[Часов на заказчика  дежурство]]</f>
        <v>22</v>
      </c>
      <c r="O16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4" s="9">
        <v>220000</v>
      </c>
      <c r="R1614" s="9"/>
      <c r="S1614" s="5">
        <v>1</v>
      </c>
      <c r="T16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табеле]])*S1614,0)</f>
        <v>14666.666666666666</v>
      </c>
      <c r="U1614" s="5">
        <f>IF(Таблица1[[#This Row],[ТТН]]&gt;0,Таблица1[[#This Row],[Ставка за ТТН]]*Таблица1[[#This Row],[ТТН]],0)</f>
        <v>0</v>
      </c>
    </row>
    <row r="1615" spans="1:21" x14ac:dyDescent="0.25">
      <c r="A1615" t="s">
        <v>84</v>
      </c>
      <c r="B1615" s="24">
        <v>25</v>
      </c>
      <c r="C1615" t="s">
        <v>148</v>
      </c>
      <c r="D1615" t="s">
        <v>32</v>
      </c>
      <c r="E1615" t="s">
        <v>215</v>
      </c>
      <c r="F1615" t="s">
        <v>31</v>
      </c>
      <c r="H1615" t="s">
        <v>10</v>
      </c>
      <c r="I1615" t="s">
        <v>219</v>
      </c>
      <c r="J1615">
        <v>22</v>
      </c>
      <c r="L1615">
        <v>22</v>
      </c>
      <c r="N1615">
        <f>Таблица1[[#This Row],[Часов на заказчика  в работе]]+Таблица1[[#This Row],[Часов на заказчика  дежурство]]</f>
        <v>22</v>
      </c>
      <c r="O16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5" s="9">
        <v>220000</v>
      </c>
      <c r="R1615" s="9"/>
      <c r="S1615" s="5">
        <v>1</v>
      </c>
      <c r="T16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табеле]])*S1615,0)</f>
        <v>14666.666666666666</v>
      </c>
      <c r="U1615" s="5">
        <f>IF(Таблица1[[#This Row],[ТТН]]&gt;0,Таблица1[[#This Row],[Ставка за ТТН]]*Таблица1[[#This Row],[ТТН]],0)</f>
        <v>0</v>
      </c>
    </row>
    <row r="1616" spans="1:21" x14ac:dyDescent="0.25">
      <c r="A1616" t="s">
        <v>84</v>
      </c>
      <c r="B1616" s="24">
        <v>26</v>
      </c>
      <c r="C1616" t="s">
        <v>148</v>
      </c>
      <c r="D1616" t="s">
        <v>32</v>
      </c>
      <c r="E1616" t="s">
        <v>215</v>
      </c>
      <c r="F1616" t="s">
        <v>31</v>
      </c>
      <c r="H1616" t="s">
        <v>10</v>
      </c>
      <c r="I1616" t="s">
        <v>219</v>
      </c>
      <c r="J1616">
        <v>22</v>
      </c>
      <c r="L1616">
        <v>22</v>
      </c>
      <c r="N1616">
        <f>Таблица1[[#This Row],[Часов на заказчика  в работе]]+Таблица1[[#This Row],[Часов на заказчика  дежурство]]</f>
        <v>22</v>
      </c>
      <c r="O16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6" s="9">
        <v>220000</v>
      </c>
      <c r="R1616" s="9"/>
      <c r="S1616" s="5">
        <v>1</v>
      </c>
      <c r="T16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табеле]])*S1616,0)</f>
        <v>14666.666666666666</v>
      </c>
      <c r="U1616" s="5">
        <f>IF(Таблица1[[#This Row],[ТТН]]&gt;0,Таблица1[[#This Row],[Ставка за ТТН]]*Таблица1[[#This Row],[ТТН]],0)</f>
        <v>0</v>
      </c>
    </row>
    <row r="1617" spans="1:21" x14ac:dyDescent="0.25">
      <c r="A1617" t="s">
        <v>84</v>
      </c>
      <c r="B1617" s="24">
        <v>27</v>
      </c>
      <c r="C1617" t="s">
        <v>148</v>
      </c>
      <c r="D1617" t="s">
        <v>32</v>
      </c>
      <c r="E1617" t="s">
        <v>215</v>
      </c>
      <c r="F1617" t="s">
        <v>31</v>
      </c>
      <c r="H1617" t="s">
        <v>10</v>
      </c>
      <c r="I1617" t="s">
        <v>219</v>
      </c>
      <c r="J1617">
        <v>22</v>
      </c>
      <c r="L1617">
        <v>22</v>
      </c>
      <c r="N1617">
        <f>Таблица1[[#This Row],[Часов на заказчика  в работе]]+Таблица1[[#This Row],[Часов на заказчика  дежурство]]</f>
        <v>22</v>
      </c>
      <c r="O16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7" s="9">
        <v>220000</v>
      </c>
      <c r="R1617" s="9"/>
      <c r="S1617" s="5">
        <v>1</v>
      </c>
      <c r="T16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табеле]])*S1617,0)</f>
        <v>14666.666666666666</v>
      </c>
      <c r="U1617" s="5">
        <f>IF(Таблица1[[#This Row],[ТТН]]&gt;0,Таблица1[[#This Row],[Ставка за ТТН]]*Таблица1[[#This Row],[ТТН]],0)</f>
        <v>0</v>
      </c>
    </row>
    <row r="1618" spans="1:21" x14ac:dyDescent="0.25">
      <c r="A1618" t="s">
        <v>84</v>
      </c>
      <c r="B1618" s="24">
        <v>28</v>
      </c>
      <c r="C1618" t="s">
        <v>148</v>
      </c>
      <c r="D1618" t="s">
        <v>32</v>
      </c>
      <c r="E1618" t="s">
        <v>215</v>
      </c>
      <c r="F1618" t="s">
        <v>31</v>
      </c>
      <c r="H1618" t="s">
        <v>10</v>
      </c>
      <c r="I1618" t="s">
        <v>219</v>
      </c>
      <c r="J1618">
        <v>11</v>
      </c>
      <c r="L1618">
        <v>11</v>
      </c>
      <c r="N1618">
        <f>Таблица1[[#This Row],[Часов на заказчика  в работе]]+Таблица1[[#This Row],[Часов на заказчика  дежурство]]</f>
        <v>11</v>
      </c>
      <c r="O16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8" s="9">
        <v>220000</v>
      </c>
      <c r="R1618" s="9"/>
      <c r="S1618" s="5">
        <v>1</v>
      </c>
      <c r="T16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табеле]])*S1618,0)</f>
        <v>7333.333333333333</v>
      </c>
      <c r="U1618" s="5">
        <f>IF(Таблица1[[#This Row],[ТТН]]&gt;0,Таблица1[[#This Row],[Ставка за ТТН]]*Таблица1[[#This Row],[ТТН]],0)</f>
        <v>0</v>
      </c>
    </row>
    <row r="1619" spans="1:21" x14ac:dyDescent="0.25">
      <c r="A1619" t="s">
        <v>84</v>
      </c>
      <c r="B1619" s="24">
        <v>29</v>
      </c>
      <c r="C1619" t="s">
        <v>148</v>
      </c>
      <c r="D1619" t="s">
        <v>32</v>
      </c>
      <c r="E1619" t="s">
        <v>215</v>
      </c>
      <c r="F1619" t="s">
        <v>31</v>
      </c>
      <c r="H1619" t="s">
        <v>10</v>
      </c>
      <c r="I1619" t="s">
        <v>219</v>
      </c>
      <c r="J1619">
        <v>22</v>
      </c>
      <c r="L1619">
        <v>22</v>
      </c>
      <c r="N1619">
        <f>Таблица1[[#This Row],[Часов на заказчика  в работе]]+Таблица1[[#This Row],[Часов на заказчика  дежурство]]</f>
        <v>22</v>
      </c>
      <c r="O16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19" s="9">
        <v>220000</v>
      </c>
      <c r="R1619" s="9"/>
      <c r="S1619" s="5">
        <v>1</v>
      </c>
      <c r="T16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табеле]])*S1619,0)</f>
        <v>14666.666666666666</v>
      </c>
      <c r="U1619" s="5">
        <f>IF(Таблица1[[#This Row],[ТТН]]&gt;0,Таблица1[[#This Row],[Ставка за ТТН]]*Таблица1[[#This Row],[ТТН]],0)</f>
        <v>0</v>
      </c>
    </row>
    <row r="1620" spans="1:21" x14ac:dyDescent="0.25">
      <c r="A1620" t="s">
        <v>84</v>
      </c>
      <c r="B1620" s="24">
        <v>30</v>
      </c>
      <c r="C1620" t="s">
        <v>149</v>
      </c>
      <c r="D1620" t="s">
        <v>32</v>
      </c>
      <c r="E1620" t="s">
        <v>215</v>
      </c>
      <c r="F1620" t="s">
        <v>31</v>
      </c>
      <c r="H1620" t="s">
        <v>10</v>
      </c>
      <c r="I1620" t="s">
        <v>219</v>
      </c>
      <c r="J1620">
        <v>11</v>
      </c>
      <c r="L1620">
        <v>11</v>
      </c>
      <c r="N1620">
        <f>Таблица1[[#This Row],[Часов на заказчика  в работе]]+Таблица1[[#This Row],[Часов на заказчика  дежурство]]</f>
        <v>11</v>
      </c>
      <c r="O16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0" s="9">
        <v>220000</v>
      </c>
      <c r="R1620" s="9"/>
      <c r="S1620" s="5">
        <v>1</v>
      </c>
      <c r="T16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табеле]])*S1620,0)</f>
        <v>7333.333333333333</v>
      </c>
      <c r="U1620" s="5">
        <f>IF(Таблица1[[#This Row],[ТТН]]&gt;0,Таблица1[[#This Row],[Ставка за ТТН]]*Таблица1[[#This Row],[ТТН]],0)</f>
        <v>0</v>
      </c>
    </row>
    <row r="1621" spans="1:21" x14ac:dyDescent="0.25">
      <c r="A1621" t="s">
        <v>84</v>
      </c>
      <c r="B1621" s="24">
        <v>1</v>
      </c>
      <c r="C1621" t="s">
        <v>149</v>
      </c>
      <c r="D1621" t="s">
        <v>28</v>
      </c>
      <c r="E1621" t="s">
        <v>215</v>
      </c>
      <c r="F1621" t="s">
        <v>28</v>
      </c>
      <c r="H1621" t="s">
        <v>10</v>
      </c>
      <c r="I1621" t="s">
        <v>219</v>
      </c>
      <c r="J1621">
        <v>16</v>
      </c>
      <c r="N1621">
        <f>Таблица1[[#This Row],[Часов на заказчика  в работе]]+Таблица1[[#This Row],[Часов на заказчика  дежурство]]</f>
        <v>0</v>
      </c>
      <c r="O16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1" s="9">
        <v>110000</v>
      </c>
      <c r="R1621" s="9"/>
      <c r="S1621" s="5">
        <v>1</v>
      </c>
      <c r="T16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табеле]])*S1621,0)</f>
        <v>5333.333333333333</v>
      </c>
      <c r="U1621" s="5">
        <f>IF(Таблица1[[#This Row],[ТТН]]&gt;0,Таблица1[[#This Row],[Ставка за ТТН]]*Таблица1[[#This Row],[ТТН]],0)</f>
        <v>0</v>
      </c>
    </row>
    <row r="1622" spans="1:21" x14ac:dyDescent="0.25">
      <c r="A1622" t="s">
        <v>84</v>
      </c>
      <c r="B1622" s="24">
        <v>2</v>
      </c>
      <c r="C1622" t="s">
        <v>149</v>
      </c>
      <c r="D1622" t="s">
        <v>28</v>
      </c>
      <c r="E1622" t="s">
        <v>215</v>
      </c>
      <c r="F1622" t="s">
        <v>28</v>
      </c>
      <c r="H1622" t="s">
        <v>10</v>
      </c>
      <c r="I1622" t="s">
        <v>219</v>
      </c>
      <c r="J1622">
        <v>16</v>
      </c>
      <c r="N1622">
        <f>Таблица1[[#This Row],[Часов на заказчика  в работе]]+Таблица1[[#This Row],[Часов на заказчика  дежурство]]</f>
        <v>0</v>
      </c>
      <c r="O16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2" s="9">
        <v>110000</v>
      </c>
      <c r="R1622" s="9"/>
      <c r="S1622" s="5">
        <v>1</v>
      </c>
      <c r="T16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табеле]])*S1622,0)</f>
        <v>5333.333333333333</v>
      </c>
      <c r="U1622" s="5">
        <f>IF(Таблица1[[#This Row],[ТТН]]&gt;0,Таблица1[[#This Row],[Ставка за ТТН]]*Таблица1[[#This Row],[ТТН]],0)</f>
        <v>0</v>
      </c>
    </row>
    <row r="1623" spans="1:21" x14ac:dyDescent="0.25">
      <c r="A1623" t="s">
        <v>84</v>
      </c>
      <c r="B1623" s="24">
        <v>3</v>
      </c>
      <c r="C1623" t="s">
        <v>149</v>
      </c>
      <c r="D1623" t="s">
        <v>28</v>
      </c>
      <c r="E1623" t="s">
        <v>215</v>
      </c>
      <c r="F1623" t="s">
        <v>28</v>
      </c>
      <c r="H1623" t="s">
        <v>10</v>
      </c>
      <c r="I1623" t="s">
        <v>219</v>
      </c>
      <c r="J1623">
        <v>16</v>
      </c>
      <c r="N1623">
        <f>Таблица1[[#This Row],[Часов на заказчика  в работе]]+Таблица1[[#This Row],[Часов на заказчика  дежурство]]</f>
        <v>0</v>
      </c>
      <c r="O16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3" s="9">
        <v>110000</v>
      </c>
      <c r="R1623" s="9"/>
      <c r="S1623" s="5">
        <v>1</v>
      </c>
      <c r="T16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табеле]])*S1623,0)</f>
        <v>5333.333333333333</v>
      </c>
      <c r="U1623" s="5">
        <f>IF(Таблица1[[#This Row],[ТТН]]&gt;0,Таблица1[[#This Row],[Ставка за ТТН]]*Таблица1[[#This Row],[ТТН]],0)</f>
        <v>0</v>
      </c>
    </row>
    <row r="1624" spans="1:21" x14ac:dyDescent="0.25">
      <c r="A1624" t="s">
        <v>84</v>
      </c>
      <c r="B1624" s="24">
        <v>4</v>
      </c>
      <c r="C1624" t="s">
        <v>149</v>
      </c>
      <c r="D1624" t="s">
        <v>28</v>
      </c>
      <c r="E1624" t="s">
        <v>215</v>
      </c>
      <c r="F1624" t="s">
        <v>28</v>
      </c>
      <c r="H1624" t="s">
        <v>10</v>
      </c>
      <c r="I1624" t="s">
        <v>219</v>
      </c>
      <c r="J1624">
        <v>16</v>
      </c>
      <c r="N1624">
        <f>Таблица1[[#This Row],[Часов на заказчика  в работе]]+Таблица1[[#This Row],[Часов на заказчика  дежурство]]</f>
        <v>0</v>
      </c>
      <c r="O16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4" s="9">
        <v>110000</v>
      </c>
      <c r="R1624" s="9"/>
      <c r="S1624" s="5">
        <v>1</v>
      </c>
      <c r="T16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табеле]])*S1624,0)</f>
        <v>5333.333333333333</v>
      </c>
      <c r="U1624" s="5">
        <f>IF(Таблица1[[#This Row],[ТТН]]&gt;0,Таблица1[[#This Row],[Ставка за ТТН]]*Таблица1[[#This Row],[ТТН]],0)</f>
        <v>0</v>
      </c>
    </row>
    <row r="1625" spans="1:21" x14ac:dyDescent="0.25">
      <c r="A1625" t="s">
        <v>84</v>
      </c>
      <c r="B1625" s="24">
        <v>5</v>
      </c>
      <c r="C1625" t="s">
        <v>149</v>
      </c>
      <c r="D1625" t="s">
        <v>28</v>
      </c>
      <c r="E1625" t="s">
        <v>215</v>
      </c>
      <c r="F1625" t="s">
        <v>28</v>
      </c>
      <c r="H1625" t="s">
        <v>38</v>
      </c>
      <c r="I1625" t="s">
        <v>219</v>
      </c>
      <c r="J1625">
        <v>11</v>
      </c>
      <c r="N1625">
        <f>Таблица1[[#This Row],[Часов на заказчика  в работе]]+Таблица1[[#This Row],[Часов на заказчика  дежурство]]</f>
        <v>0</v>
      </c>
      <c r="O16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5" s="9">
        <v>110000</v>
      </c>
      <c r="R1625" s="9"/>
      <c r="S1625" s="5">
        <v>1</v>
      </c>
      <c r="T16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табеле]])*S1625,0)</f>
        <v>3666.6666666666665</v>
      </c>
      <c r="U1625" s="5">
        <f>IF(Таблица1[[#This Row],[ТТН]]&gt;0,Таблица1[[#This Row],[Ставка за ТТН]]*Таблица1[[#This Row],[ТТН]],0)</f>
        <v>0</v>
      </c>
    </row>
    <row r="1626" spans="1:21" x14ac:dyDescent="0.25">
      <c r="A1626" t="s">
        <v>84</v>
      </c>
      <c r="B1626" s="24">
        <v>6</v>
      </c>
      <c r="C1626" t="s">
        <v>149</v>
      </c>
      <c r="D1626" t="s">
        <v>28</v>
      </c>
      <c r="E1626" t="s">
        <v>215</v>
      </c>
      <c r="F1626" t="s">
        <v>28</v>
      </c>
      <c r="H1626" t="s">
        <v>38</v>
      </c>
      <c r="I1626" t="s">
        <v>219</v>
      </c>
      <c r="J1626">
        <v>11</v>
      </c>
      <c r="N1626">
        <f>Таблица1[[#This Row],[Часов на заказчика  в работе]]+Таблица1[[#This Row],[Часов на заказчика  дежурство]]</f>
        <v>0</v>
      </c>
      <c r="O16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6" s="9">
        <v>110000</v>
      </c>
      <c r="R1626" s="9"/>
      <c r="S1626" s="5">
        <v>1</v>
      </c>
      <c r="T16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табеле]])*S1626,0)</f>
        <v>3666.6666666666665</v>
      </c>
      <c r="U1626" s="5">
        <f>IF(Таблица1[[#This Row],[ТТН]]&gt;0,Таблица1[[#This Row],[Ставка за ТТН]]*Таблица1[[#This Row],[ТТН]],0)</f>
        <v>0</v>
      </c>
    </row>
    <row r="1627" spans="1:21" x14ac:dyDescent="0.25">
      <c r="A1627" t="s">
        <v>84</v>
      </c>
      <c r="B1627" s="24">
        <v>7</v>
      </c>
      <c r="C1627" t="s">
        <v>149</v>
      </c>
      <c r="D1627" t="s">
        <v>28</v>
      </c>
      <c r="E1627" t="s">
        <v>215</v>
      </c>
      <c r="F1627" t="s">
        <v>28</v>
      </c>
      <c r="H1627" t="s">
        <v>38</v>
      </c>
      <c r="I1627" t="s">
        <v>219</v>
      </c>
      <c r="J1627">
        <v>11</v>
      </c>
      <c r="N1627">
        <f>Таблица1[[#This Row],[Часов на заказчика  в работе]]+Таблица1[[#This Row],[Часов на заказчика  дежурство]]</f>
        <v>0</v>
      </c>
      <c r="O16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7" s="9">
        <v>110000</v>
      </c>
      <c r="R1627" s="9"/>
      <c r="S1627" s="5">
        <v>1</v>
      </c>
      <c r="T16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табеле]])*S1627,0)</f>
        <v>3666.6666666666665</v>
      </c>
      <c r="U1627" s="5">
        <f>IF(Таблица1[[#This Row],[ТТН]]&gt;0,Таблица1[[#This Row],[Ставка за ТТН]]*Таблица1[[#This Row],[ТТН]],0)</f>
        <v>0</v>
      </c>
    </row>
    <row r="1628" spans="1:21" x14ac:dyDescent="0.25">
      <c r="A1628" t="s">
        <v>84</v>
      </c>
      <c r="B1628" s="24">
        <v>8</v>
      </c>
      <c r="C1628" t="s">
        <v>149</v>
      </c>
      <c r="D1628" t="s">
        <v>28</v>
      </c>
      <c r="E1628" t="s">
        <v>215</v>
      </c>
      <c r="F1628" t="s">
        <v>28</v>
      </c>
      <c r="H1628" t="s">
        <v>10</v>
      </c>
      <c r="I1628" t="s">
        <v>219</v>
      </c>
      <c r="J1628">
        <v>16</v>
      </c>
      <c r="N1628">
        <f>Таблица1[[#This Row],[Часов на заказчика  в работе]]+Таблица1[[#This Row],[Часов на заказчика  дежурство]]</f>
        <v>0</v>
      </c>
      <c r="O16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8" s="9">
        <v>110000</v>
      </c>
      <c r="R1628" s="9"/>
      <c r="S1628" s="5">
        <v>1</v>
      </c>
      <c r="T16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табеле]])*S1628,0)</f>
        <v>5333.333333333333</v>
      </c>
      <c r="U1628" s="5">
        <f>IF(Таблица1[[#This Row],[ТТН]]&gt;0,Таблица1[[#This Row],[Ставка за ТТН]]*Таблица1[[#This Row],[ТТН]],0)</f>
        <v>0</v>
      </c>
    </row>
    <row r="1629" spans="1:21" x14ac:dyDescent="0.25">
      <c r="A1629" t="s">
        <v>84</v>
      </c>
      <c r="B1629" s="24">
        <v>9</v>
      </c>
      <c r="C1629" t="s">
        <v>149</v>
      </c>
      <c r="D1629" t="s">
        <v>28</v>
      </c>
      <c r="E1629" t="s">
        <v>215</v>
      </c>
      <c r="F1629" t="s">
        <v>28</v>
      </c>
      <c r="H1629" t="s">
        <v>10</v>
      </c>
      <c r="I1629" t="s">
        <v>219</v>
      </c>
      <c r="J1629">
        <v>16</v>
      </c>
      <c r="N1629">
        <f>Таблица1[[#This Row],[Часов на заказчика  в работе]]+Таблица1[[#This Row],[Часов на заказчика  дежурство]]</f>
        <v>0</v>
      </c>
      <c r="O16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29" s="9">
        <v>110000</v>
      </c>
      <c r="R1629" s="9"/>
      <c r="S1629" s="5">
        <v>1</v>
      </c>
      <c r="T16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табеле]])*S1629,0)</f>
        <v>5333.333333333333</v>
      </c>
      <c r="U1629" s="5">
        <f>IF(Таблица1[[#This Row],[ТТН]]&gt;0,Таблица1[[#This Row],[Ставка за ТТН]]*Таблица1[[#This Row],[ТТН]],0)</f>
        <v>0</v>
      </c>
    </row>
    <row r="1630" spans="1:21" x14ac:dyDescent="0.25">
      <c r="A1630" t="s">
        <v>84</v>
      </c>
      <c r="B1630" s="24">
        <v>10</v>
      </c>
      <c r="C1630" t="s">
        <v>149</v>
      </c>
      <c r="D1630" t="s">
        <v>28</v>
      </c>
      <c r="E1630" t="s">
        <v>215</v>
      </c>
      <c r="F1630" t="s">
        <v>28</v>
      </c>
      <c r="H1630" t="s">
        <v>10</v>
      </c>
      <c r="I1630" t="s">
        <v>219</v>
      </c>
      <c r="J1630">
        <v>16</v>
      </c>
      <c r="N1630">
        <f>Таблица1[[#This Row],[Часов на заказчика  в работе]]+Таблица1[[#This Row],[Часов на заказчика  дежурство]]</f>
        <v>0</v>
      </c>
      <c r="O16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0" s="9">
        <v>110000</v>
      </c>
      <c r="R1630" s="9"/>
      <c r="S1630" s="5">
        <v>1</v>
      </c>
      <c r="T16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табеле]])*S1630,0)</f>
        <v>5333.333333333333</v>
      </c>
      <c r="U1630" s="5">
        <f>IF(Таблица1[[#This Row],[ТТН]]&gt;0,Таблица1[[#This Row],[Ставка за ТТН]]*Таблица1[[#This Row],[ТТН]],0)</f>
        <v>0</v>
      </c>
    </row>
    <row r="1631" spans="1:21" x14ac:dyDescent="0.25">
      <c r="A1631" t="s">
        <v>84</v>
      </c>
      <c r="B1631" s="24">
        <v>11</v>
      </c>
      <c r="C1631" t="s">
        <v>149</v>
      </c>
      <c r="D1631" t="s">
        <v>28</v>
      </c>
      <c r="E1631" t="s">
        <v>215</v>
      </c>
      <c r="F1631" t="s">
        <v>28</v>
      </c>
      <c r="H1631" t="s">
        <v>10</v>
      </c>
      <c r="I1631" t="s">
        <v>219</v>
      </c>
      <c r="J1631">
        <v>16</v>
      </c>
      <c r="N1631">
        <f>Таблица1[[#This Row],[Часов на заказчика  в работе]]+Таблица1[[#This Row],[Часов на заказчика  дежурство]]</f>
        <v>0</v>
      </c>
      <c r="O16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1" s="9">
        <v>110000</v>
      </c>
      <c r="R1631" s="9"/>
      <c r="S1631" s="5">
        <v>1</v>
      </c>
      <c r="T16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табеле]])*S1631,0)</f>
        <v>5333.333333333333</v>
      </c>
      <c r="U1631" s="5">
        <f>IF(Таблица1[[#This Row],[ТТН]]&gt;0,Таблица1[[#This Row],[Ставка за ТТН]]*Таблица1[[#This Row],[ТТН]],0)</f>
        <v>0</v>
      </c>
    </row>
    <row r="1632" spans="1:21" x14ac:dyDescent="0.25">
      <c r="A1632" t="s">
        <v>84</v>
      </c>
      <c r="B1632" s="24">
        <v>12</v>
      </c>
      <c r="C1632" t="s">
        <v>149</v>
      </c>
      <c r="D1632" t="s">
        <v>28</v>
      </c>
      <c r="E1632" t="s">
        <v>215</v>
      </c>
      <c r="F1632" t="s">
        <v>28</v>
      </c>
      <c r="H1632" t="s">
        <v>10</v>
      </c>
      <c r="I1632" t="s">
        <v>219</v>
      </c>
      <c r="J1632">
        <v>16</v>
      </c>
      <c r="N1632">
        <f>Таблица1[[#This Row],[Часов на заказчика  в работе]]+Таблица1[[#This Row],[Часов на заказчика  дежурство]]</f>
        <v>0</v>
      </c>
      <c r="O16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2" s="9">
        <v>110000</v>
      </c>
      <c r="R1632" s="9"/>
      <c r="S1632" s="5">
        <v>1</v>
      </c>
      <c r="T16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табеле]])*S1632,0)</f>
        <v>5333.333333333333</v>
      </c>
      <c r="U1632" s="5">
        <f>IF(Таблица1[[#This Row],[ТТН]]&gt;0,Таблица1[[#This Row],[Ставка за ТТН]]*Таблица1[[#This Row],[ТТН]],0)</f>
        <v>0</v>
      </c>
    </row>
    <row r="1633" spans="1:21" x14ac:dyDescent="0.25">
      <c r="A1633" t="s">
        <v>84</v>
      </c>
      <c r="B1633" s="24">
        <v>13</v>
      </c>
      <c r="C1633" t="s">
        <v>149</v>
      </c>
      <c r="D1633" t="s">
        <v>28</v>
      </c>
      <c r="E1633" t="s">
        <v>215</v>
      </c>
      <c r="F1633" t="s">
        <v>28</v>
      </c>
      <c r="H1633" t="s">
        <v>10</v>
      </c>
      <c r="I1633" t="s">
        <v>219</v>
      </c>
      <c r="J1633">
        <v>16</v>
      </c>
      <c r="N1633">
        <f>Таблица1[[#This Row],[Часов на заказчика  в работе]]+Таблица1[[#This Row],[Часов на заказчика  дежурство]]</f>
        <v>0</v>
      </c>
      <c r="O16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3" s="9">
        <v>110000</v>
      </c>
      <c r="R1633" s="9"/>
      <c r="S1633" s="5">
        <v>1</v>
      </c>
      <c r="T16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табеле]])*S1633,0)</f>
        <v>5333.333333333333</v>
      </c>
      <c r="U1633" s="5">
        <f>IF(Таблица1[[#This Row],[ТТН]]&gt;0,Таблица1[[#This Row],[Ставка за ТТН]]*Таблица1[[#This Row],[ТТН]],0)</f>
        <v>0</v>
      </c>
    </row>
    <row r="1634" spans="1:21" x14ac:dyDescent="0.25">
      <c r="A1634" t="s">
        <v>84</v>
      </c>
      <c r="B1634" s="24">
        <v>14</v>
      </c>
      <c r="C1634" t="s">
        <v>149</v>
      </c>
      <c r="D1634" t="s">
        <v>28</v>
      </c>
      <c r="E1634" t="s">
        <v>215</v>
      </c>
      <c r="F1634" t="s">
        <v>28</v>
      </c>
      <c r="H1634" t="s">
        <v>10</v>
      </c>
      <c r="I1634" t="s">
        <v>219</v>
      </c>
      <c r="J1634">
        <v>16</v>
      </c>
      <c r="N1634">
        <f>Таблица1[[#This Row],[Часов на заказчика  в работе]]+Таблица1[[#This Row],[Часов на заказчика  дежурство]]</f>
        <v>0</v>
      </c>
      <c r="O16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4" s="9">
        <v>110000</v>
      </c>
      <c r="R1634" s="9"/>
      <c r="S1634" s="5">
        <v>1</v>
      </c>
      <c r="T16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табеле]])*S1634,0)</f>
        <v>5333.333333333333</v>
      </c>
      <c r="U1634" s="5">
        <f>IF(Таблица1[[#This Row],[ТТН]]&gt;0,Таблица1[[#This Row],[Ставка за ТТН]]*Таблица1[[#This Row],[ТТН]],0)</f>
        <v>0</v>
      </c>
    </row>
    <row r="1635" spans="1:21" x14ac:dyDescent="0.25">
      <c r="A1635" t="s">
        <v>84</v>
      </c>
      <c r="B1635" s="24">
        <v>15</v>
      </c>
      <c r="C1635" t="s">
        <v>149</v>
      </c>
      <c r="D1635" t="s">
        <v>28</v>
      </c>
      <c r="E1635" t="s">
        <v>215</v>
      </c>
      <c r="F1635" t="s">
        <v>28</v>
      </c>
      <c r="H1635" t="s">
        <v>10</v>
      </c>
      <c r="I1635" t="s">
        <v>219</v>
      </c>
      <c r="J1635">
        <v>16</v>
      </c>
      <c r="N1635">
        <f>Таблица1[[#This Row],[Часов на заказчика  в работе]]+Таблица1[[#This Row],[Часов на заказчика  дежурство]]</f>
        <v>0</v>
      </c>
      <c r="O16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5" s="9">
        <v>110000</v>
      </c>
      <c r="R1635" s="9"/>
      <c r="S1635" s="5">
        <v>1</v>
      </c>
      <c r="T16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табеле]])*S1635,0)</f>
        <v>5333.333333333333</v>
      </c>
      <c r="U1635" s="5">
        <f>IF(Таблица1[[#This Row],[ТТН]]&gt;0,Таблица1[[#This Row],[Ставка за ТТН]]*Таблица1[[#This Row],[ТТН]],0)</f>
        <v>0</v>
      </c>
    </row>
    <row r="1636" spans="1:21" x14ac:dyDescent="0.25">
      <c r="A1636" t="s">
        <v>84</v>
      </c>
      <c r="B1636" s="24">
        <v>16</v>
      </c>
      <c r="C1636" t="s">
        <v>149</v>
      </c>
      <c r="D1636" t="s">
        <v>28</v>
      </c>
      <c r="E1636" t="s">
        <v>215</v>
      </c>
      <c r="F1636" t="s">
        <v>28</v>
      </c>
      <c r="H1636" t="s">
        <v>10</v>
      </c>
      <c r="I1636" t="s">
        <v>219</v>
      </c>
      <c r="J1636">
        <v>16</v>
      </c>
      <c r="N1636">
        <f>Таблица1[[#This Row],[Часов на заказчика  в работе]]+Таблица1[[#This Row],[Часов на заказчика  дежурство]]</f>
        <v>0</v>
      </c>
      <c r="O16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6" s="9">
        <v>110000</v>
      </c>
      <c r="R1636" s="9"/>
      <c r="S1636" s="5">
        <v>1</v>
      </c>
      <c r="T16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табеле]])*S1636,0)</f>
        <v>5333.333333333333</v>
      </c>
      <c r="U1636" s="5">
        <f>IF(Таблица1[[#This Row],[ТТН]]&gt;0,Таблица1[[#This Row],[Ставка за ТТН]]*Таблица1[[#This Row],[ТТН]],0)</f>
        <v>0</v>
      </c>
    </row>
    <row r="1637" spans="1:21" x14ac:dyDescent="0.25">
      <c r="A1637" t="s">
        <v>84</v>
      </c>
      <c r="B1637" s="24">
        <v>17</v>
      </c>
      <c r="C1637" t="s">
        <v>149</v>
      </c>
      <c r="D1637" t="s">
        <v>28</v>
      </c>
      <c r="E1637" t="s">
        <v>215</v>
      </c>
      <c r="F1637" t="s">
        <v>28</v>
      </c>
      <c r="H1637" t="s">
        <v>10</v>
      </c>
      <c r="I1637" t="s">
        <v>219</v>
      </c>
      <c r="J1637">
        <v>16</v>
      </c>
      <c r="N1637">
        <f>Таблица1[[#This Row],[Часов на заказчика  в работе]]+Таблица1[[#This Row],[Часов на заказчика  дежурство]]</f>
        <v>0</v>
      </c>
      <c r="O16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7" s="9">
        <v>110000</v>
      </c>
      <c r="R1637" s="9"/>
      <c r="S1637" s="5">
        <v>1</v>
      </c>
      <c r="T16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табеле]])*S1637,0)</f>
        <v>5333.333333333333</v>
      </c>
      <c r="U1637" s="5">
        <f>IF(Таблица1[[#This Row],[ТТН]]&gt;0,Таблица1[[#This Row],[Ставка за ТТН]]*Таблица1[[#This Row],[ТТН]],0)</f>
        <v>0</v>
      </c>
    </row>
    <row r="1638" spans="1:21" x14ac:dyDescent="0.25">
      <c r="A1638" t="s">
        <v>84</v>
      </c>
      <c r="B1638" s="24">
        <v>18</v>
      </c>
      <c r="C1638" t="s">
        <v>149</v>
      </c>
      <c r="D1638" t="s">
        <v>28</v>
      </c>
      <c r="E1638" t="s">
        <v>215</v>
      </c>
      <c r="F1638" t="s">
        <v>28</v>
      </c>
      <c r="H1638" t="s">
        <v>10</v>
      </c>
      <c r="I1638" t="s">
        <v>219</v>
      </c>
      <c r="J1638">
        <v>16</v>
      </c>
      <c r="N1638">
        <f>Таблица1[[#This Row],[Часов на заказчика  в работе]]+Таблица1[[#This Row],[Часов на заказчика  дежурство]]</f>
        <v>0</v>
      </c>
      <c r="O16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8" s="9">
        <v>110000</v>
      </c>
      <c r="R1638" s="9"/>
      <c r="S1638" s="5">
        <v>1</v>
      </c>
      <c r="T16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табеле]])*S1638,0)</f>
        <v>5333.333333333333</v>
      </c>
      <c r="U1638" s="5">
        <f>IF(Таблица1[[#This Row],[ТТН]]&gt;0,Таблица1[[#This Row],[Ставка за ТТН]]*Таблица1[[#This Row],[ТТН]],0)</f>
        <v>0</v>
      </c>
    </row>
    <row r="1639" spans="1:21" x14ac:dyDescent="0.25">
      <c r="A1639" t="s">
        <v>84</v>
      </c>
      <c r="B1639" s="24">
        <v>19</v>
      </c>
      <c r="C1639" t="s">
        <v>149</v>
      </c>
      <c r="D1639" t="s">
        <v>28</v>
      </c>
      <c r="E1639" t="s">
        <v>215</v>
      </c>
      <c r="F1639" t="s">
        <v>28</v>
      </c>
      <c r="H1639" t="s">
        <v>10</v>
      </c>
      <c r="I1639" t="s">
        <v>219</v>
      </c>
      <c r="J1639">
        <v>16</v>
      </c>
      <c r="N1639">
        <f>Таблица1[[#This Row],[Часов на заказчика  в работе]]+Таблица1[[#This Row],[Часов на заказчика  дежурство]]</f>
        <v>0</v>
      </c>
      <c r="O16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39" s="9">
        <v>110000</v>
      </c>
      <c r="R1639" s="9"/>
      <c r="S1639" s="5">
        <v>1</v>
      </c>
      <c r="T16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табеле]])*S1639,0)</f>
        <v>5333.333333333333</v>
      </c>
      <c r="U1639" s="5">
        <f>IF(Таблица1[[#This Row],[ТТН]]&gt;0,Таблица1[[#This Row],[Ставка за ТТН]]*Таблица1[[#This Row],[ТТН]],0)</f>
        <v>0</v>
      </c>
    </row>
    <row r="1640" spans="1:21" x14ac:dyDescent="0.25">
      <c r="A1640" t="s">
        <v>84</v>
      </c>
      <c r="B1640" s="24">
        <v>20</v>
      </c>
      <c r="C1640" t="s">
        <v>149</v>
      </c>
      <c r="D1640" t="s">
        <v>28</v>
      </c>
      <c r="E1640" t="s">
        <v>215</v>
      </c>
      <c r="F1640" t="s">
        <v>28</v>
      </c>
      <c r="H1640" t="s">
        <v>10</v>
      </c>
      <c r="I1640" t="s">
        <v>219</v>
      </c>
      <c r="J1640">
        <v>16</v>
      </c>
      <c r="N1640">
        <f>Таблица1[[#This Row],[Часов на заказчика  в работе]]+Таблица1[[#This Row],[Часов на заказчика  дежурство]]</f>
        <v>0</v>
      </c>
      <c r="O16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0" s="9">
        <v>110000</v>
      </c>
      <c r="R1640" s="9"/>
      <c r="S1640" s="5">
        <v>1</v>
      </c>
      <c r="T16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табеле]])*S1640,0)</f>
        <v>5333.333333333333</v>
      </c>
      <c r="U1640" s="5">
        <f>IF(Таблица1[[#This Row],[ТТН]]&gt;0,Таблица1[[#This Row],[Ставка за ТТН]]*Таблица1[[#This Row],[ТТН]],0)</f>
        <v>0</v>
      </c>
    </row>
    <row r="1641" spans="1:21" x14ac:dyDescent="0.25">
      <c r="A1641" t="s">
        <v>84</v>
      </c>
      <c r="B1641" s="24">
        <v>21</v>
      </c>
      <c r="C1641" t="s">
        <v>149</v>
      </c>
      <c r="D1641" t="s">
        <v>28</v>
      </c>
      <c r="E1641" t="s">
        <v>215</v>
      </c>
      <c r="F1641" t="s">
        <v>28</v>
      </c>
      <c r="H1641" t="s">
        <v>10</v>
      </c>
      <c r="I1641" t="s">
        <v>219</v>
      </c>
      <c r="J1641">
        <v>16</v>
      </c>
      <c r="N1641">
        <f>Таблица1[[#This Row],[Часов на заказчика  в работе]]+Таблица1[[#This Row],[Часов на заказчика  дежурство]]</f>
        <v>0</v>
      </c>
      <c r="O16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1" s="9">
        <v>110000</v>
      </c>
      <c r="R1641" s="9"/>
      <c r="S1641" s="5">
        <v>1</v>
      </c>
      <c r="T16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табеле]])*S1641,0)</f>
        <v>5333.333333333333</v>
      </c>
      <c r="U1641" s="5">
        <f>IF(Таблица1[[#This Row],[ТТН]]&gt;0,Таблица1[[#This Row],[Ставка за ТТН]]*Таблица1[[#This Row],[ТТН]],0)</f>
        <v>0</v>
      </c>
    </row>
    <row r="1642" spans="1:21" x14ac:dyDescent="0.25">
      <c r="A1642" t="s">
        <v>84</v>
      </c>
      <c r="B1642" s="24">
        <v>22</v>
      </c>
      <c r="C1642" t="s">
        <v>149</v>
      </c>
      <c r="D1642" t="s">
        <v>28</v>
      </c>
      <c r="E1642" t="s">
        <v>215</v>
      </c>
      <c r="F1642" t="s">
        <v>28</v>
      </c>
      <c r="H1642" t="s">
        <v>10</v>
      </c>
      <c r="I1642" t="s">
        <v>219</v>
      </c>
      <c r="J1642">
        <v>16</v>
      </c>
      <c r="N1642">
        <f>Таблица1[[#This Row],[Часов на заказчика  в работе]]+Таблица1[[#This Row],[Часов на заказчика  дежурство]]</f>
        <v>0</v>
      </c>
      <c r="O16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2" s="9">
        <v>110000</v>
      </c>
      <c r="R1642" s="9"/>
      <c r="S1642" s="5">
        <v>1</v>
      </c>
      <c r="T16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табеле]])*S1642,0)</f>
        <v>5333.333333333333</v>
      </c>
      <c r="U1642" s="5">
        <f>IF(Таблица1[[#This Row],[ТТН]]&gt;0,Таблица1[[#This Row],[Ставка за ТТН]]*Таблица1[[#This Row],[ТТН]],0)</f>
        <v>0</v>
      </c>
    </row>
    <row r="1643" spans="1:21" x14ac:dyDescent="0.25">
      <c r="A1643" t="s">
        <v>84</v>
      </c>
      <c r="B1643" s="24">
        <v>23</v>
      </c>
      <c r="C1643" t="s">
        <v>149</v>
      </c>
      <c r="D1643" t="s">
        <v>28</v>
      </c>
      <c r="E1643" t="s">
        <v>215</v>
      </c>
      <c r="F1643" t="s">
        <v>28</v>
      </c>
      <c r="H1643" t="s">
        <v>10</v>
      </c>
      <c r="I1643" t="s">
        <v>219</v>
      </c>
      <c r="J1643">
        <v>16</v>
      </c>
      <c r="N1643">
        <f>Таблица1[[#This Row],[Часов на заказчика  в работе]]+Таблица1[[#This Row],[Часов на заказчика  дежурство]]</f>
        <v>0</v>
      </c>
      <c r="O16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3" s="9">
        <v>110000</v>
      </c>
      <c r="R1643" s="9"/>
      <c r="S1643" s="5">
        <v>1</v>
      </c>
      <c r="T16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табеле]])*S1643,0)</f>
        <v>5333.333333333333</v>
      </c>
      <c r="U1643" s="5">
        <f>IF(Таблица1[[#This Row],[ТТН]]&gt;0,Таблица1[[#This Row],[Ставка за ТТН]]*Таблица1[[#This Row],[ТТН]],0)</f>
        <v>0</v>
      </c>
    </row>
    <row r="1644" spans="1:21" x14ac:dyDescent="0.25">
      <c r="A1644" t="s">
        <v>84</v>
      </c>
      <c r="B1644" s="24">
        <v>24</v>
      </c>
      <c r="C1644" t="s">
        <v>149</v>
      </c>
      <c r="D1644" t="s">
        <v>28</v>
      </c>
      <c r="E1644" t="s">
        <v>215</v>
      </c>
      <c r="F1644" t="s">
        <v>28</v>
      </c>
      <c r="H1644" t="s">
        <v>10</v>
      </c>
      <c r="I1644" t="s">
        <v>219</v>
      </c>
      <c r="J1644">
        <v>16</v>
      </c>
      <c r="N1644">
        <f>Таблица1[[#This Row],[Часов на заказчика  в работе]]+Таблица1[[#This Row],[Часов на заказчика  дежурство]]</f>
        <v>0</v>
      </c>
      <c r="O16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4" s="9">
        <v>110000</v>
      </c>
      <c r="R1644" s="9"/>
      <c r="S1644" s="5">
        <v>1</v>
      </c>
      <c r="T16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табеле]])*S1644,0)</f>
        <v>5333.333333333333</v>
      </c>
      <c r="U1644" s="5">
        <f>IF(Таблица1[[#This Row],[ТТН]]&gt;0,Таблица1[[#This Row],[Ставка за ТТН]]*Таблица1[[#This Row],[ТТН]],0)</f>
        <v>0</v>
      </c>
    </row>
    <row r="1645" spans="1:21" x14ac:dyDescent="0.25">
      <c r="A1645" t="s">
        <v>84</v>
      </c>
      <c r="B1645" s="24">
        <v>25</v>
      </c>
      <c r="C1645" t="s">
        <v>149</v>
      </c>
      <c r="D1645" t="s">
        <v>28</v>
      </c>
      <c r="E1645" t="s">
        <v>215</v>
      </c>
      <c r="F1645" t="s">
        <v>28</v>
      </c>
      <c r="H1645" t="s">
        <v>10</v>
      </c>
      <c r="I1645" t="s">
        <v>219</v>
      </c>
      <c r="J1645">
        <v>16</v>
      </c>
      <c r="N1645">
        <f>Таблица1[[#This Row],[Часов на заказчика  в работе]]+Таблица1[[#This Row],[Часов на заказчика  дежурство]]</f>
        <v>0</v>
      </c>
      <c r="O16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5" s="9">
        <v>110000</v>
      </c>
      <c r="R1645" s="9"/>
      <c r="S1645" s="5">
        <v>1</v>
      </c>
      <c r="T16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табеле]])*S1645,0)</f>
        <v>5333.333333333333</v>
      </c>
      <c r="U1645" s="5">
        <f>IF(Таблица1[[#This Row],[ТТН]]&gt;0,Таблица1[[#This Row],[Ставка за ТТН]]*Таблица1[[#This Row],[ТТН]],0)</f>
        <v>0</v>
      </c>
    </row>
    <row r="1646" spans="1:21" x14ac:dyDescent="0.25">
      <c r="A1646" t="s">
        <v>84</v>
      </c>
      <c r="B1646" s="24">
        <v>26</v>
      </c>
      <c r="C1646" t="s">
        <v>149</v>
      </c>
      <c r="D1646" t="s">
        <v>28</v>
      </c>
      <c r="E1646" t="s">
        <v>215</v>
      </c>
      <c r="F1646" t="s">
        <v>28</v>
      </c>
      <c r="H1646" t="s">
        <v>10</v>
      </c>
      <c r="I1646" t="s">
        <v>219</v>
      </c>
      <c r="J1646">
        <v>16</v>
      </c>
      <c r="N1646">
        <f>Таблица1[[#This Row],[Часов на заказчика  в работе]]+Таблица1[[#This Row],[Часов на заказчика  дежурство]]</f>
        <v>0</v>
      </c>
      <c r="O16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6" s="9">
        <v>110000</v>
      </c>
      <c r="R1646" s="9"/>
      <c r="S1646" s="5">
        <v>1</v>
      </c>
      <c r="T16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табеле]])*S1646,0)</f>
        <v>5333.333333333333</v>
      </c>
      <c r="U1646" s="5">
        <f>IF(Таблица1[[#This Row],[ТТН]]&gt;0,Таблица1[[#This Row],[Ставка за ТТН]]*Таблица1[[#This Row],[ТТН]],0)</f>
        <v>0</v>
      </c>
    </row>
    <row r="1647" spans="1:21" x14ac:dyDescent="0.25">
      <c r="A1647" t="s">
        <v>84</v>
      </c>
      <c r="B1647" s="24">
        <v>27</v>
      </c>
      <c r="C1647" t="s">
        <v>149</v>
      </c>
      <c r="D1647" t="s">
        <v>28</v>
      </c>
      <c r="E1647" t="s">
        <v>215</v>
      </c>
      <c r="F1647" t="s">
        <v>28</v>
      </c>
      <c r="H1647" t="s">
        <v>10</v>
      </c>
      <c r="I1647" t="s">
        <v>219</v>
      </c>
      <c r="J1647">
        <v>16</v>
      </c>
      <c r="N1647">
        <f>Таблица1[[#This Row],[Часов на заказчика  в работе]]+Таблица1[[#This Row],[Часов на заказчика  дежурство]]</f>
        <v>0</v>
      </c>
      <c r="O16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7" s="9">
        <v>110000</v>
      </c>
      <c r="R1647" s="9"/>
      <c r="S1647" s="5">
        <v>1</v>
      </c>
      <c r="T16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табеле]])*S1647,0)</f>
        <v>5333.333333333333</v>
      </c>
      <c r="U1647" s="5">
        <f>IF(Таблица1[[#This Row],[ТТН]]&gt;0,Таблица1[[#This Row],[Ставка за ТТН]]*Таблица1[[#This Row],[ТТН]],0)</f>
        <v>0</v>
      </c>
    </row>
    <row r="1648" spans="1:21" x14ac:dyDescent="0.25">
      <c r="A1648" t="s">
        <v>84</v>
      </c>
      <c r="B1648" s="24">
        <v>28</v>
      </c>
      <c r="C1648" t="s">
        <v>149</v>
      </c>
      <c r="D1648" t="s">
        <v>28</v>
      </c>
      <c r="E1648" t="s">
        <v>215</v>
      </c>
      <c r="F1648" t="s">
        <v>28</v>
      </c>
      <c r="H1648" t="s">
        <v>10</v>
      </c>
      <c r="I1648" t="s">
        <v>219</v>
      </c>
      <c r="J1648">
        <v>16</v>
      </c>
      <c r="N1648">
        <f>Таблица1[[#This Row],[Часов на заказчика  в работе]]+Таблица1[[#This Row],[Часов на заказчика  дежурство]]</f>
        <v>0</v>
      </c>
      <c r="O16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8" s="9">
        <v>110000</v>
      </c>
      <c r="R1648" s="9"/>
      <c r="S1648" s="5">
        <v>1</v>
      </c>
      <c r="T16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табеле]])*S1648,0)</f>
        <v>5333.333333333333</v>
      </c>
      <c r="U1648" s="5">
        <f>IF(Таблица1[[#This Row],[ТТН]]&gt;0,Таблица1[[#This Row],[Ставка за ТТН]]*Таблица1[[#This Row],[ТТН]],0)</f>
        <v>0</v>
      </c>
    </row>
    <row r="1649" spans="1:21" x14ac:dyDescent="0.25">
      <c r="A1649" t="s">
        <v>84</v>
      </c>
      <c r="B1649" s="24">
        <v>29</v>
      </c>
      <c r="C1649" t="s">
        <v>149</v>
      </c>
      <c r="D1649" t="s">
        <v>28</v>
      </c>
      <c r="E1649" t="s">
        <v>215</v>
      </c>
      <c r="F1649" t="s">
        <v>28</v>
      </c>
      <c r="H1649" t="s">
        <v>10</v>
      </c>
      <c r="I1649" t="s">
        <v>219</v>
      </c>
      <c r="J1649">
        <v>16</v>
      </c>
      <c r="N1649">
        <f>Таблица1[[#This Row],[Часов на заказчика  в работе]]+Таблица1[[#This Row],[Часов на заказчика  дежурство]]</f>
        <v>0</v>
      </c>
      <c r="O16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49" s="9">
        <v>110000</v>
      </c>
      <c r="R1649" s="9"/>
      <c r="S1649" s="5">
        <v>1</v>
      </c>
      <c r="T16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табеле]])*S1649,0)</f>
        <v>5333.333333333333</v>
      </c>
      <c r="U1649" s="5">
        <f>IF(Таблица1[[#This Row],[ТТН]]&gt;0,Таблица1[[#This Row],[Ставка за ТТН]]*Таблица1[[#This Row],[ТТН]],0)</f>
        <v>0</v>
      </c>
    </row>
    <row r="1650" spans="1:21" x14ac:dyDescent="0.25">
      <c r="A1650" t="s">
        <v>84</v>
      </c>
      <c r="B1650" s="24">
        <v>30</v>
      </c>
      <c r="C1650" t="s">
        <v>150</v>
      </c>
      <c r="D1650" t="s">
        <v>28</v>
      </c>
      <c r="E1650" t="s">
        <v>215</v>
      </c>
      <c r="F1650" t="s">
        <v>28</v>
      </c>
      <c r="H1650" t="s">
        <v>10</v>
      </c>
      <c r="I1650" t="s">
        <v>219</v>
      </c>
      <c r="J1650">
        <v>16</v>
      </c>
      <c r="N1650">
        <f>Таблица1[[#This Row],[Часов на заказчика  в работе]]+Таблица1[[#This Row],[Часов на заказчика  дежурство]]</f>
        <v>0</v>
      </c>
      <c r="O16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0" s="9">
        <v>110000</v>
      </c>
      <c r="R1650" s="9"/>
      <c r="S1650" s="5">
        <v>1</v>
      </c>
      <c r="T16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табеле]])*S1650,0)</f>
        <v>5333.333333333333</v>
      </c>
      <c r="U1650" s="5">
        <f>IF(Таблица1[[#This Row],[ТТН]]&gt;0,Таблица1[[#This Row],[Ставка за ТТН]]*Таблица1[[#This Row],[ТТН]],0)</f>
        <v>0</v>
      </c>
    </row>
    <row r="1651" spans="1:21" x14ac:dyDescent="0.25">
      <c r="A1651" t="s">
        <v>84</v>
      </c>
      <c r="B1651" s="24">
        <v>1</v>
      </c>
      <c r="C1651" t="s">
        <v>150</v>
      </c>
      <c r="D1651" t="s">
        <v>12</v>
      </c>
      <c r="E1651" t="s">
        <v>215</v>
      </c>
      <c r="F1651" t="s">
        <v>72</v>
      </c>
      <c r="I1651" t="s">
        <v>218</v>
      </c>
      <c r="N1651">
        <f>Таблица1[[#This Row],[Часов на заказчика  в работе]]+Таблица1[[#This Row],[Часов на заказчика  дежурство]]</f>
        <v>0</v>
      </c>
      <c r="O16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1" s="9">
        <v>190000</v>
      </c>
      <c r="R1651" s="9"/>
      <c r="S1651" s="5">
        <v>1</v>
      </c>
      <c r="T16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табеле]])*S1651,0)</f>
        <v>0</v>
      </c>
      <c r="U1651" s="5">
        <f>IF(Таблица1[[#This Row],[ТТН]]&gt;0,Таблица1[[#This Row],[Ставка за ТТН]]*Таблица1[[#This Row],[ТТН]],0)</f>
        <v>0</v>
      </c>
    </row>
    <row r="1652" spans="1:21" x14ac:dyDescent="0.25">
      <c r="A1652" t="s">
        <v>84</v>
      </c>
      <c r="B1652" s="24">
        <v>2</v>
      </c>
      <c r="C1652" t="s">
        <v>150</v>
      </c>
      <c r="D1652" t="s">
        <v>12</v>
      </c>
      <c r="E1652" t="s">
        <v>215</v>
      </c>
      <c r="F1652" t="s">
        <v>72</v>
      </c>
      <c r="I1652" t="s">
        <v>218</v>
      </c>
      <c r="N1652">
        <f>Таблица1[[#This Row],[Часов на заказчика  в работе]]+Таблица1[[#This Row],[Часов на заказчика  дежурство]]</f>
        <v>0</v>
      </c>
      <c r="O16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2" s="9">
        <v>190000</v>
      </c>
      <c r="R1652" s="9"/>
      <c r="S1652" s="5">
        <v>1</v>
      </c>
      <c r="T16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табеле]])*S1652,0)</f>
        <v>0</v>
      </c>
      <c r="U1652" s="5">
        <f>IF(Таблица1[[#This Row],[ТТН]]&gt;0,Таблица1[[#This Row],[Ставка за ТТН]]*Таблица1[[#This Row],[ТТН]],0)</f>
        <v>0</v>
      </c>
    </row>
    <row r="1653" spans="1:21" x14ac:dyDescent="0.25">
      <c r="A1653" t="s">
        <v>84</v>
      </c>
      <c r="B1653" s="24">
        <v>3</v>
      </c>
      <c r="C1653" t="s">
        <v>150</v>
      </c>
      <c r="D1653" t="s">
        <v>12</v>
      </c>
      <c r="E1653" t="s">
        <v>215</v>
      </c>
      <c r="F1653" t="s">
        <v>72</v>
      </c>
      <c r="I1653" t="s">
        <v>218</v>
      </c>
      <c r="N1653">
        <f>Таблица1[[#This Row],[Часов на заказчика  в работе]]+Таблица1[[#This Row],[Часов на заказчика  дежурство]]</f>
        <v>0</v>
      </c>
      <c r="O16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3" s="9">
        <v>190000</v>
      </c>
      <c r="R1653" s="9"/>
      <c r="S1653" s="5">
        <v>1</v>
      </c>
      <c r="T16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табеле]])*S1653,0)</f>
        <v>0</v>
      </c>
      <c r="U1653" s="5">
        <f>IF(Таблица1[[#This Row],[ТТН]]&gt;0,Таблица1[[#This Row],[Ставка за ТТН]]*Таблица1[[#This Row],[ТТН]],0)</f>
        <v>0</v>
      </c>
    </row>
    <row r="1654" spans="1:21" x14ac:dyDescent="0.25">
      <c r="A1654" t="s">
        <v>84</v>
      </c>
      <c r="B1654" s="24">
        <v>4</v>
      </c>
      <c r="C1654" t="s">
        <v>150</v>
      </c>
      <c r="D1654" t="s">
        <v>12</v>
      </c>
      <c r="E1654" t="s">
        <v>215</v>
      </c>
      <c r="F1654" t="s">
        <v>72</v>
      </c>
      <c r="I1654" t="s">
        <v>218</v>
      </c>
      <c r="N1654">
        <f>Таблица1[[#This Row],[Часов на заказчика  в работе]]+Таблица1[[#This Row],[Часов на заказчика  дежурство]]</f>
        <v>0</v>
      </c>
      <c r="O16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4" s="9">
        <v>190000</v>
      </c>
      <c r="R1654" s="9"/>
      <c r="S1654" s="5">
        <v>1</v>
      </c>
      <c r="T16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табеле]])*S1654,0)</f>
        <v>0</v>
      </c>
      <c r="U1654" s="5">
        <f>IF(Таблица1[[#This Row],[ТТН]]&gt;0,Таблица1[[#This Row],[Ставка за ТТН]]*Таблица1[[#This Row],[ТТН]],0)</f>
        <v>0</v>
      </c>
    </row>
    <row r="1655" spans="1:21" x14ac:dyDescent="0.25">
      <c r="A1655" t="s">
        <v>84</v>
      </c>
      <c r="B1655" s="24">
        <v>5</v>
      </c>
      <c r="C1655" t="s">
        <v>150</v>
      </c>
      <c r="D1655" t="s">
        <v>12</v>
      </c>
      <c r="E1655" t="s">
        <v>215</v>
      </c>
      <c r="F1655" t="s">
        <v>72</v>
      </c>
      <c r="I1655" t="s">
        <v>218</v>
      </c>
      <c r="N1655">
        <f>Таблица1[[#This Row],[Часов на заказчика  в работе]]+Таблица1[[#This Row],[Часов на заказчика  дежурство]]</f>
        <v>0</v>
      </c>
      <c r="O16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5" s="9">
        <v>190000</v>
      </c>
      <c r="R1655" s="9"/>
      <c r="S1655" s="5">
        <v>1</v>
      </c>
      <c r="T16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табеле]])*S1655,0)</f>
        <v>0</v>
      </c>
      <c r="U1655" s="5">
        <f>IF(Таблица1[[#This Row],[ТТН]]&gt;0,Таблица1[[#This Row],[Ставка за ТТН]]*Таблица1[[#This Row],[ТТН]],0)</f>
        <v>0</v>
      </c>
    </row>
    <row r="1656" spans="1:21" x14ac:dyDescent="0.25">
      <c r="A1656" t="s">
        <v>84</v>
      </c>
      <c r="B1656" s="24">
        <v>6</v>
      </c>
      <c r="C1656" t="s">
        <v>150</v>
      </c>
      <c r="D1656" t="s">
        <v>12</v>
      </c>
      <c r="E1656" t="s">
        <v>215</v>
      </c>
      <c r="F1656" t="s">
        <v>72</v>
      </c>
      <c r="I1656" t="s">
        <v>218</v>
      </c>
      <c r="N1656">
        <f>Таблица1[[#This Row],[Часов на заказчика  в работе]]+Таблица1[[#This Row],[Часов на заказчика  дежурство]]</f>
        <v>0</v>
      </c>
      <c r="O16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6" s="9">
        <v>190000</v>
      </c>
      <c r="R1656" s="9"/>
      <c r="S1656" s="5">
        <v>1</v>
      </c>
      <c r="T16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табеле]])*S1656,0)</f>
        <v>0</v>
      </c>
      <c r="U1656" s="5">
        <f>IF(Таблица1[[#This Row],[ТТН]]&gt;0,Таблица1[[#This Row],[Ставка за ТТН]]*Таблица1[[#This Row],[ТТН]],0)</f>
        <v>0</v>
      </c>
    </row>
    <row r="1657" spans="1:21" x14ac:dyDescent="0.25">
      <c r="A1657" t="s">
        <v>84</v>
      </c>
      <c r="B1657" s="24">
        <v>7</v>
      </c>
      <c r="C1657" t="s">
        <v>150</v>
      </c>
      <c r="D1657" t="s">
        <v>12</v>
      </c>
      <c r="E1657" t="s">
        <v>215</v>
      </c>
      <c r="F1657" t="s">
        <v>72</v>
      </c>
      <c r="I1657" t="s">
        <v>218</v>
      </c>
      <c r="N1657">
        <f>Таблица1[[#This Row],[Часов на заказчика  в работе]]+Таблица1[[#This Row],[Часов на заказчика  дежурство]]</f>
        <v>0</v>
      </c>
      <c r="O16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7" s="9">
        <v>190000</v>
      </c>
      <c r="R1657" s="9"/>
      <c r="S1657" s="5">
        <v>1</v>
      </c>
      <c r="T16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табеле]])*S1657,0)</f>
        <v>0</v>
      </c>
      <c r="U1657" s="5">
        <f>IF(Таблица1[[#This Row],[ТТН]]&gt;0,Таблица1[[#This Row],[Ставка за ТТН]]*Таблица1[[#This Row],[ТТН]],0)</f>
        <v>0</v>
      </c>
    </row>
    <row r="1658" spans="1:21" x14ac:dyDescent="0.25">
      <c r="A1658" t="s">
        <v>84</v>
      </c>
      <c r="B1658" s="24">
        <v>8</v>
      </c>
      <c r="C1658" t="s">
        <v>150</v>
      </c>
      <c r="D1658" t="s">
        <v>12</v>
      </c>
      <c r="E1658" t="s">
        <v>215</v>
      </c>
      <c r="F1658" t="s">
        <v>72</v>
      </c>
      <c r="I1658" t="s">
        <v>218</v>
      </c>
      <c r="N1658">
        <f>Таблица1[[#This Row],[Часов на заказчика  в работе]]+Таблица1[[#This Row],[Часов на заказчика  дежурство]]</f>
        <v>0</v>
      </c>
      <c r="O16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8" s="9">
        <v>190000</v>
      </c>
      <c r="R1658" s="9"/>
      <c r="S1658" s="5">
        <v>1</v>
      </c>
      <c r="T16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табеле]])*S1658,0)</f>
        <v>0</v>
      </c>
      <c r="U1658" s="5">
        <f>IF(Таблица1[[#This Row],[ТТН]]&gt;0,Таблица1[[#This Row],[Ставка за ТТН]]*Таблица1[[#This Row],[ТТН]],0)</f>
        <v>0</v>
      </c>
    </row>
    <row r="1659" spans="1:21" x14ac:dyDescent="0.25">
      <c r="A1659" t="s">
        <v>84</v>
      </c>
      <c r="B1659" s="24">
        <v>9</v>
      </c>
      <c r="C1659" t="s">
        <v>150</v>
      </c>
      <c r="D1659" t="s">
        <v>12</v>
      </c>
      <c r="E1659" t="s">
        <v>215</v>
      </c>
      <c r="F1659" t="s">
        <v>72</v>
      </c>
      <c r="I1659" t="s">
        <v>218</v>
      </c>
      <c r="N1659">
        <f>Таблица1[[#This Row],[Часов на заказчика  в работе]]+Таблица1[[#This Row],[Часов на заказчика  дежурство]]</f>
        <v>0</v>
      </c>
      <c r="O16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59" s="9">
        <v>190000</v>
      </c>
      <c r="R1659" s="9"/>
      <c r="S1659" s="5">
        <v>1</v>
      </c>
      <c r="T16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табеле]])*S1659,0)</f>
        <v>0</v>
      </c>
      <c r="U1659" s="5">
        <f>IF(Таблица1[[#This Row],[ТТН]]&gt;0,Таблица1[[#This Row],[Ставка за ТТН]]*Таблица1[[#This Row],[ТТН]],0)</f>
        <v>0</v>
      </c>
    </row>
    <row r="1660" spans="1:21" x14ac:dyDescent="0.25">
      <c r="A1660" t="s">
        <v>84</v>
      </c>
      <c r="B1660" s="24">
        <v>10</v>
      </c>
      <c r="C1660" t="s">
        <v>150</v>
      </c>
      <c r="D1660" t="s">
        <v>12</v>
      </c>
      <c r="E1660" t="s">
        <v>215</v>
      </c>
      <c r="F1660" t="s">
        <v>72</v>
      </c>
      <c r="I1660" t="s">
        <v>218</v>
      </c>
      <c r="N1660">
        <f>Таблица1[[#This Row],[Часов на заказчика  в работе]]+Таблица1[[#This Row],[Часов на заказчика  дежурство]]</f>
        <v>0</v>
      </c>
      <c r="O16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0" s="9">
        <v>190000</v>
      </c>
      <c r="R1660" s="9"/>
      <c r="S1660" s="5">
        <v>1</v>
      </c>
      <c r="T16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табеле]])*S1660,0)</f>
        <v>0</v>
      </c>
      <c r="U1660" s="5">
        <f>IF(Таблица1[[#This Row],[ТТН]]&gt;0,Таблица1[[#This Row],[Ставка за ТТН]]*Таблица1[[#This Row],[ТТН]],0)</f>
        <v>0</v>
      </c>
    </row>
    <row r="1661" spans="1:21" x14ac:dyDescent="0.25">
      <c r="A1661" t="s">
        <v>84</v>
      </c>
      <c r="B1661" s="24">
        <v>11</v>
      </c>
      <c r="C1661" t="s">
        <v>150</v>
      </c>
      <c r="D1661" t="s">
        <v>12</v>
      </c>
      <c r="E1661" t="s">
        <v>215</v>
      </c>
      <c r="F1661" t="s">
        <v>72</v>
      </c>
      <c r="I1661" t="s">
        <v>218</v>
      </c>
      <c r="N1661">
        <f>Таблица1[[#This Row],[Часов на заказчика  в работе]]+Таблица1[[#This Row],[Часов на заказчика  дежурство]]</f>
        <v>0</v>
      </c>
      <c r="O16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1" s="9">
        <v>190000</v>
      </c>
      <c r="R1661" s="9"/>
      <c r="S1661" s="5">
        <v>1</v>
      </c>
      <c r="T16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табеле]])*S1661,0)</f>
        <v>0</v>
      </c>
      <c r="U1661" s="5">
        <f>IF(Таблица1[[#This Row],[ТТН]]&gt;0,Таблица1[[#This Row],[Ставка за ТТН]]*Таблица1[[#This Row],[ТТН]],0)</f>
        <v>0</v>
      </c>
    </row>
    <row r="1662" spans="1:21" x14ac:dyDescent="0.25">
      <c r="A1662" t="s">
        <v>84</v>
      </c>
      <c r="B1662" s="24">
        <v>12</v>
      </c>
      <c r="C1662" t="s">
        <v>150</v>
      </c>
      <c r="D1662" t="s">
        <v>12</v>
      </c>
      <c r="E1662" t="s">
        <v>215</v>
      </c>
      <c r="F1662" t="s">
        <v>72</v>
      </c>
      <c r="I1662" t="s">
        <v>218</v>
      </c>
      <c r="N1662">
        <f>Таблица1[[#This Row],[Часов на заказчика  в работе]]+Таблица1[[#This Row],[Часов на заказчика  дежурство]]</f>
        <v>0</v>
      </c>
      <c r="O16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2" s="9">
        <v>190000</v>
      </c>
      <c r="R1662" s="9"/>
      <c r="S1662" s="5">
        <v>1</v>
      </c>
      <c r="T16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табеле]])*S1662,0)</f>
        <v>0</v>
      </c>
      <c r="U1662" s="5">
        <f>IF(Таблица1[[#This Row],[ТТН]]&gt;0,Таблица1[[#This Row],[Ставка за ТТН]]*Таблица1[[#This Row],[ТТН]],0)</f>
        <v>0</v>
      </c>
    </row>
    <row r="1663" spans="1:21" x14ac:dyDescent="0.25">
      <c r="A1663" t="s">
        <v>84</v>
      </c>
      <c r="B1663" s="24">
        <v>13</v>
      </c>
      <c r="C1663" t="s">
        <v>150</v>
      </c>
      <c r="D1663" t="s">
        <v>12</v>
      </c>
      <c r="E1663" t="s">
        <v>215</v>
      </c>
      <c r="F1663" t="s">
        <v>72</v>
      </c>
      <c r="I1663" t="s">
        <v>218</v>
      </c>
      <c r="N1663">
        <f>Таблица1[[#This Row],[Часов на заказчика  в работе]]+Таблица1[[#This Row],[Часов на заказчика  дежурство]]</f>
        <v>0</v>
      </c>
      <c r="O16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3" s="9">
        <v>190000</v>
      </c>
      <c r="R1663" s="9"/>
      <c r="S1663" s="5">
        <v>1</v>
      </c>
      <c r="T16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табеле]])*S1663,0)</f>
        <v>0</v>
      </c>
      <c r="U1663" s="5">
        <f>IF(Таблица1[[#This Row],[ТТН]]&gt;0,Таблица1[[#This Row],[Ставка за ТТН]]*Таблица1[[#This Row],[ТТН]],0)</f>
        <v>0</v>
      </c>
    </row>
    <row r="1664" spans="1:21" x14ac:dyDescent="0.25">
      <c r="A1664" t="s">
        <v>84</v>
      </c>
      <c r="B1664" s="24">
        <v>14</v>
      </c>
      <c r="C1664" t="s">
        <v>150</v>
      </c>
      <c r="D1664" t="s">
        <v>12</v>
      </c>
      <c r="E1664" t="s">
        <v>215</v>
      </c>
      <c r="F1664" t="s">
        <v>72</v>
      </c>
      <c r="I1664" t="s">
        <v>218</v>
      </c>
      <c r="N1664">
        <f>Таблица1[[#This Row],[Часов на заказчика  в работе]]+Таблица1[[#This Row],[Часов на заказчика  дежурство]]</f>
        <v>0</v>
      </c>
      <c r="O16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4" s="9">
        <v>190000</v>
      </c>
      <c r="R1664" s="9"/>
      <c r="S1664" s="5">
        <v>1</v>
      </c>
      <c r="T16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табеле]])*S1664,0)</f>
        <v>0</v>
      </c>
      <c r="U1664" s="5">
        <f>IF(Таблица1[[#This Row],[ТТН]]&gt;0,Таблица1[[#This Row],[Ставка за ТТН]]*Таблица1[[#This Row],[ТТН]],0)</f>
        <v>0</v>
      </c>
    </row>
    <row r="1665" spans="1:21" x14ac:dyDescent="0.25">
      <c r="A1665" t="s">
        <v>84</v>
      </c>
      <c r="B1665" s="24">
        <v>15</v>
      </c>
      <c r="C1665" t="s">
        <v>150</v>
      </c>
      <c r="D1665" t="s">
        <v>12</v>
      </c>
      <c r="E1665" t="s">
        <v>215</v>
      </c>
      <c r="F1665" t="s">
        <v>72</v>
      </c>
      <c r="H1665" t="s">
        <v>52</v>
      </c>
      <c r="I1665" t="s">
        <v>217</v>
      </c>
      <c r="J1665">
        <v>1</v>
      </c>
      <c r="N1665">
        <f>Таблица1[[#This Row],[Часов на заказчика  в работе]]+Таблица1[[#This Row],[Часов на заказчика  дежурство]]</f>
        <v>0</v>
      </c>
      <c r="O16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5" s="9">
        <v>190000</v>
      </c>
      <c r="R1665" s="9"/>
      <c r="S1665" s="5">
        <v>1</v>
      </c>
      <c r="T16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табеле]])*S1665,0)</f>
        <v>0</v>
      </c>
      <c r="U1665" s="5">
        <f>IF(Таблица1[[#This Row],[ТТН]]&gt;0,Таблица1[[#This Row],[Ставка за ТТН]]*Таблица1[[#This Row],[ТТН]],0)</f>
        <v>0</v>
      </c>
    </row>
    <row r="1666" spans="1:21" x14ac:dyDescent="0.25">
      <c r="A1666" t="s">
        <v>84</v>
      </c>
      <c r="B1666" s="24">
        <v>16</v>
      </c>
      <c r="C1666" t="s">
        <v>150</v>
      </c>
      <c r="D1666" t="s">
        <v>12</v>
      </c>
      <c r="E1666" t="s">
        <v>215</v>
      </c>
      <c r="F1666" t="s">
        <v>72</v>
      </c>
      <c r="H1666" t="s">
        <v>24</v>
      </c>
      <c r="I1666" t="s">
        <v>217</v>
      </c>
      <c r="J1666">
        <v>8</v>
      </c>
      <c r="N1666">
        <f>Таблица1[[#This Row],[Часов на заказчика  в работе]]+Таблица1[[#This Row],[Часов на заказчика  дежурство]]</f>
        <v>0</v>
      </c>
      <c r="O16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6" s="9">
        <v>190000</v>
      </c>
      <c r="R1666" s="9"/>
      <c r="S1666" s="5">
        <v>1</v>
      </c>
      <c r="T16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табеле]])*S1666,0)</f>
        <v>0</v>
      </c>
      <c r="U1666" s="5">
        <f>IF(Таблица1[[#This Row],[ТТН]]&gt;0,Таблица1[[#This Row],[Ставка за ТТН]]*Таблица1[[#This Row],[ТТН]],0)</f>
        <v>0</v>
      </c>
    </row>
    <row r="1667" spans="1:21" x14ac:dyDescent="0.25">
      <c r="A1667" t="s">
        <v>84</v>
      </c>
      <c r="B1667" s="24">
        <v>17</v>
      </c>
      <c r="C1667" t="s">
        <v>150</v>
      </c>
      <c r="D1667" t="s">
        <v>12</v>
      </c>
      <c r="E1667" t="s">
        <v>215</v>
      </c>
      <c r="F1667" t="s">
        <v>72</v>
      </c>
      <c r="H1667" t="s">
        <v>50</v>
      </c>
      <c r="I1667" t="s">
        <v>217</v>
      </c>
      <c r="J1667">
        <v>11</v>
      </c>
      <c r="N1667">
        <f>Таблица1[[#This Row],[Часов на заказчика  в работе]]+Таблица1[[#This Row],[Часов на заказчика  дежурство]]</f>
        <v>0</v>
      </c>
      <c r="O16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7" s="9">
        <v>190000</v>
      </c>
      <c r="R1667" s="9"/>
      <c r="S1667" s="5">
        <v>1</v>
      </c>
      <c r="T16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табеле]])*S1667,0)</f>
        <v>0</v>
      </c>
      <c r="U1667" s="5">
        <f>IF(Таблица1[[#This Row],[ТТН]]&gt;0,Таблица1[[#This Row],[Ставка за ТТН]]*Таблица1[[#This Row],[ТТН]],0)</f>
        <v>0</v>
      </c>
    </row>
    <row r="1668" spans="1:21" x14ac:dyDescent="0.25">
      <c r="A1668" t="s">
        <v>84</v>
      </c>
      <c r="B1668" s="24">
        <v>18</v>
      </c>
      <c r="C1668" t="s">
        <v>150</v>
      </c>
      <c r="D1668" t="s">
        <v>12</v>
      </c>
      <c r="E1668" t="s">
        <v>215</v>
      </c>
      <c r="F1668" t="s">
        <v>72</v>
      </c>
      <c r="H1668" t="s">
        <v>50</v>
      </c>
      <c r="I1668" t="s">
        <v>217</v>
      </c>
      <c r="J1668">
        <v>11</v>
      </c>
      <c r="N1668">
        <f>Таблица1[[#This Row],[Часов на заказчика  в работе]]+Таблица1[[#This Row],[Часов на заказчика  дежурство]]</f>
        <v>0</v>
      </c>
      <c r="O16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8" s="9">
        <v>190000</v>
      </c>
      <c r="R1668" s="9"/>
      <c r="S1668" s="5">
        <v>1</v>
      </c>
      <c r="T16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табеле]])*S1668,0)</f>
        <v>0</v>
      </c>
      <c r="U1668" s="5">
        <f>IF(Таблица1[[#This Row],[ТТН]]&gt;0,Таблица1[[#This Row],[Ставка за ТТН]]*Таблица1[[#This Row],[ТТН]],0)</f>
        <v>0</v>
      </c>
    </row>
    <row r="1669" spans="1:21" x14ac:dyDescent="0.25">
      <c r="A1669" t="s">
        <v>84</v>
      </c>
      <c r="B1669" s="24">
        <v>19</v>
      </c>
      <c r="C1669" t="s">
        <v>150</v>
      </c>
      <c r="D1669" t="s">
        <v>12</v>
      </c>
      <c r="E1669" t="s">
        <v>215</v>
      </c>
      <c r="F1669" t="s">
        <v>72</v>
      </c>
      <c r="H1669" t="s">
        <v>50</v>
      </c>
      <c r="I1669" t="s">
        <v>217</v>
      </c>
      <c r="J1669">
        <v>11</v>
      </c>
      <c r="N1669">
        <f>Таблица1[[#This Row],[Часов на заказчика  в работе]]+Таблица1[[#This Row],[Часов на заказчика  дежурство]]</f>
        <v>0</v>
      </c>
      <c r="O16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69" s="9">
        <v>190000</v>
      </c>
      <c r="R1669" s="9"/>
      <c r="S1669" s="5">
        <v>1</v>
      </c>
      <c r="T16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табеле]])*S1669,0)</f>
        <v>0</v>
      </c>
      <c r="U1669" s="5">
        <f>IF(Таблица1[[#This Row],[ТТН]]&gt;0,Таблица1[[#This Row],[Ставка за ТТН]]*Таблица1[[#This Row],[ТТН]],0)</f>
        <v>0</v>
      </c>
    </row>
    <row r="1670" spans="1:21" x14ac:dyDescent="0.25">
      <c r="A1670" t="s">
        <v>84</v>
      </c>
      <c r="B1670" s="24">
        <v>20</v>
      </c>
      <c r="C1670" t="s">
        <v>150</v>
      </c>
      <c r="D1670" t="s">
        <v>12</v>
      </c>
      <c r="E1670" t="s">
        <v>215</v>
      </c>
      <c r="F1670" t="s">
        <v>72</v>
      </c>
      <c r="H1670" t="s">
        <v>24</v>
      </c>
      <c r="I1670" t="s">
        <v>217</v>
      </c>
      <c r="J1670">
        <v>8</v>
      </c>
      <c r="N1670">
        <f>Таблица1[[#This Row],[Часов на заказчика  в работе]]+Таблица1[[#This Row],[Часов на заказчика  дежурство]]</f>
        <v>0</v>
      </c>
      <c r="O16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0" s="9">
        <v>190000</v>
      </c>
      <c r="R1670" s="9"/>
      <c r="S1670" s="5">
        <v>1</v>
      </c>
      <c r="T16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табеле]])*S1670,0)</f>
        <v>0</v>
      </c>
      <c r="U1670" s="5">
        <f>IF(Таблица1[[#This Row],[ТТН]]&gt;0,Таблица1[[#This Row],[Ставка за ТТН]]*Таблица1[[#This Row],[ТТН]],0)</f>
        <v>0</v>
      </c>
    </row>
    <row r="1671" spans="1:21" x14ac:dyDescent="0.25">
      <c r="A1671" t="s">
        <v>84</v>
      </c>
      <c r="B1671" s="24">
        <v>21</v>
      </c>
      <c r="C1671" t="s">
        <v>150</v>
      </c>
      <c r="D1671" t="s">
        <v>12</v>
      </c>
      <c r="E1671" t="s">
        <v>215</v>
      </c>
      <c r="F1671" t="s">
        <v>72</v>
      </c>
      <c r="H1671" t="s">
        <v>24</v>
      </c>
      <c r="I1671" t="s">
        <v>217</v>
      </c>
      <c r="J1671">
        <v>8</v>
      </c>
      <c r="N1671">
        <f>Таблица1[[#This Row],[Часов на заказчика  в работе]]+Таблица1[[#This Row],[Часов на заказчика  дежурство]]</f>
        <v>0</v>
      </c>
      <c r="O16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1" s="9">
        <v>190000</v>
      </c>
      <c r="R1671" s="9"/>
      <c r="S1671" s="5">
        <v>1</v>
      </c>
      <c r="T16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табеле]])*S1671,0)</f>
        <v>0</v>
      </c>
      <c r="U1671" s="5">
        <f>IF(Таблица1[[#This Row],[ТТН]]&gt;0,Таблица1[[#This Row],[Ставка за ТТН]]*Таблица1[[#This Row],[ТТН]],0)</f>
        <v>0</v>
      </c>
    </row>
    <row r="1672" spans="1:21" x14ac:dyDescent="0.25">
      <c r="A1672" t="s">
        <v>84</v>
      </c>
      <c r="B1672" s="24">
        <v>22</v>
      </c>
      <c r="C1672" t="s">
        <v>150</v>
      </c>
      <c r="D1672" t="s">
        <v>12</v>
      </c>
      <c r="E1672" t="s">
        <v>215</v>
      </c>
      <c r="F1672" t="s">
        <v>72</v>
      </c>
      <c r="H1672" t="s">
        <v>24</v>
      </c>
      <c r="I1672" t="s">
        <v>217</v>
      </c>
      <c r="J1672">
        <v>8</v>
      </c>
      <c r="N1672">
        <f>Таблица1[[#This Row],[Часов на заказчика  в работе]]+Таблица1[[#This Row],[Часов на заказчика  дежурство]]</f>
        <v>0</v>
      </c>
      <c r="O16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2" s="9">
        <v>190000</v>
      </c>
      <c r="R1672" s="9"/>
      <c r="S1672" s="5">
        <v>1</v>
      </c>
      <c r="T16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табеле]])*S1672,0)</f>
        <v>0</v>
      </c>
      <c r="U1672" s="5">
        <f>IF(Таблица1[[#This Row],[ТТН]]&gt;0,Таблица1[[#This Row],[Ставка за ТТН]]*Таблица1[[#This Row],[ТТН]],0)</f>
        <v>0</v>
      </c>
    </row>
    <row r="1673" spans="1:21" x14ac:dyDescent="0.25">
      <c r="A1673" t="s">
        <v>84</v>
      </c>
      <c r="B1673" s="24">
        <v>23</v>
      </c>
      <c r="C1673" t="s">
        <v>150</v>
      </c>
      <c r="D1673" t="s">
        <v>12</v>
      </c>
      <c r="E1673" t="s">
        <v>215</v>
      </c>
      <c r="F1673" t="s">
        <v>72</v>
      </c>
      <c r="H1673" t="s">
        <v>24</v>
      </c>
      <c r="I1673" t="s">
        <v>217</v>
      </c>
      <c r="J1673">
        <v>8</v>
      </c>
      <c r="N1673">
        <f>Таблица1[[#This Row],[Часов на заказчика  в работе]]+Таблица1[[#This Row],[Часов на заказчика  дежурство]]</f>
        <v>0</v>
      </c>
      <c r="O16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3" s="9">
        <v>190000</v>
      </c>
      <c r="R1673" s="9"/>
      <c r="S1673" s="5">
        <v>1</v>
      </c>
      <c r="T16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табеле]])*S1673,0)</f>
        <v>0</v>
      </c>
      <c r="U1673" s="5">
        <f>IF(Таблица1[[#This Row],[ТТН]]&gt;0,Таблица1[[#This Row],[Ставка за ТТН]]*Таблица1[[#This Row],[ТТН]],0)</f>
        <v>0</v>
      </c>
    </row>
    <row r="1674" spans="1:21" x14ac:dyDescent="0.25">
      <c r="A1674" t="s">
        <v>84</v>
      </c>
      <c r="B1674" s="24">
        <v>24</v>
      </c>
      <c r="C1674" t="s">
        <v>150</v>
      </c>
      <c r="D1674" t="s">
        <v>12</v>
      </c>
      <c r="E1674" t="s">
        <v>215</v>
      </c>
      <c r="F1674" t="s">
        <v>72</v>
      </c>
      <c r="H1674" t="s">
        <v>50</v>
      </c>
      <c r="I1674" t="s">
        <v>217</v>
      </c>
      <c r="J1674">
        <v>11</v>
      </c>
      <c r="N1674">
        <f>Таблица1[[#This Row],[Часов на заказчика  в работе]]+Таблица1[[#This Row],[Часов на заказчика  дежурство]]</f>
        <v>0</v>
      </c>
      <c r="O16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4" s="9">
        <v>190000</v>
      </c>
      <c r="R1674" s="9"/>
      <c r="S1674" s="5">
        <v>1</v>
      </c>
      <c r="T16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табеле]])*S1674,0)</f>
        <v>0</v>
      </c>
      <c r="U1674" s="5">
        <f>IF(Таблица1[[#This Row],[ТТН]]&gt;0,Таблица1[[#This Row],[Ставка за ТТН]]*Таблица1[[#This Row],[ТТН]],0)</f>
        <v>0</v>
      </c>
    </row>
    <row r="1675" spans="1:21" x14ac:dyDescent="0.25">
      <c r="A1675" t="s">
        <v>84</v>
      </c>
      <c r="B1675" s="24">
        <v>25</v>
      </c>
      <c r="C1675" t="s">
        <v>150</v>
      </c>
      <c r="D1675" t="s">
        <v>12</v>
      </c>
      <c r="E1675" t="s">
        <v>215</v>
      </c>
      <c r="F1675" t="s">
        <v>72</v>
      </c>
      <c r="H1675" t="s">
        <v>50</v>
      </c>
      <c r="I1675" t="s">
        <v>217</v>
      </c>
      <c r="J1675">
        <v>11</v>
      </c>
      <c r="N1675">
        <f>Таблица1[[#This Row],[Часов на заказчика  в работе]]+Таблица1[[#This Row],[Часов на заказчика  дежурство]]</f>
        <v>0</v>
      </c>
      <c r="O16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5" s="9">
        <v>190000</v>
      </c>
      <c r="R1675" s="9"/>
      <c r="S1675" s="5">
        <v>1</v>
      </c>
      <c r="T16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табеле]])*S1675,0)</f>
        <v>0</v>
      </c>
      <c r="U1675" s="5">
        <f>IF(Таблица1[[#This Row],[ТТН]]&gt;0,Таблица1[[#This Row],[Ставка за ТТН]]*Таблица1[[#This Row],[ТТН]],0)</f>
        <v>0</v>
      </c>
    </row>
    <row r="1676" spans="1:21" x14ac:dyDescent="0.25">
      <c r="A1676" t="s">
        <v>84</v>
      </c>
      <c r="B1676" s="24">
        <v>26</v>
      </c>
      <c r="C1676" t="s">
        <v>150</v>
      </c>
      <c r="D1676" t="s">
        <v>12</v>
      </c>
      <c r="E1676" t="s">
        <v>215</v>
      </c>
      <c r="F1676" t="s">
        <v>72</v>
      </c>
      <c r="H1676" t="s">
        <v>50</v>
      </c>
      <c r="I1676" t="s">
        <v>217</v>
      </c>
      <c r="J1676">
        <v>11</v>
      </c>
      <c r="N1676">
        <f>Таблица1[[#This Row],[Часов на заказчика  в работе]]+Таблица1[[#This Row],[Часов на заказчика  дежурство]]</f>
        <v>0</v>
      </c>
      <c r="O16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6" s="9">
        <v>190000</v>
      </c>
      <c r="R1676" s="9"/>
      <c r="S1676" s="5">
        <v>1</v>
      </c>
      <c r="T16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табеле]])*S1676,0)</f>
        <v>0</v>
      </c>
      <c r="U1676" s="5">
        <f>IF(Таблица1[[#This Row],[ТТН]]&gt;0,Таблица1[[#This Row],[Ставка за ТТН]]*Таблица1[[#This Row],[ТТН]],0)</f>
        <v>0</v>
      </c>
    </row>
    <row r="1677" spans="1:21" x14ac:dyDescent="0.25">
      <c r="A1677" t="s">
        <v>84</v>
      </c>
      <c r="B1677" s="24">
        <v>27</v>
      </c>
      <c r="C1677" t="s">
        <v>150</v>
      </c>
      <c r="D1677" t="s">
        <v>12</v>
      </c>
      <c r="E1677" t="s">
        <v>215</v>
      </c>
      <c r="F1677" t="s">
        <v>72</v>
      </c>
      <c r="H1677" t="s">
        <v>50</v>
      </c>
      <c r="I1677" t="s">
        <v>217</v>
      </c>
      <c r="J1677">
        <v>11</v>
      </c>
      <c r="N1677">
        <f>Таблица1[[#This Row],[Часов на заказчика  в работе]]+Таблица1[[#This Row],[Часов на заказчика  дежурство]]</f>
        <v>0</v>
      </c>
      <c r="O16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7" s="9">
        <v>190000</v>
      </c>
      <c r="R1677" s="9"/>
      <c r="S1677" s="5">
        <v>1</v>
      </c>
      <c r="T16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табеле]])*S1677,0)</f>
        <v>0</v>
      </c>
      <c r="U1677" s="5">
        <f>IF(Таблица1[[#This Row],[ТТН]]&gt;0,Таблица1[[#This Row],[Ставка за ТТН]]*Таблица1[[#This Row],[ТТН]],0)</f>
        <v>0</v>
      </c>
    </row>
    <row r="1678" spans="1:21" x14ac:dyDescent="0.25">
      <c r="A1678" t="s">
        <v>84</v>
      </c>
      <c r="B1678" s="24">
        <v>28</v>
      </c>
      <c r="C1678" t="s">
        <v>150</v>
      </c>
      <c r="D1678" t="s">
        <v>12</v>
      </c>
      <c r="E1678" t="s">
        <v>215</v>
      </c>
      <c r="F1678" t="s">
        <v>72</v>
      </c>
      <c r="H1678" t="s">
        <v>10</v>
      </c>
      <c r="I1678" t="s">
        <v>219</v>
      </c>
      <c r="J1678">
        <v>11</v>
      </c>
      <c r="L1678">
        <v>11</v>
      </c>
      <c r="N1678">
        <f>Таблица1[[#This Row],[Часов на заказчика  в работе]]+Таблица1[[#This Row],[Часов на заказчика  дежурство]]</f>
        <v>11</v>
      </c>
      <c r="O16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8" s="9">
        <v>190000</v>
      </c>
      <c r="R1678" s="9"/>
      <c r="S1678" s="5">
        <v>1</v>
      </c>
      <c r="T16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табеле]])*S1678,0)</f>
        <v>6333.333333333333</v>
      </c>
      <c r="U1678" s="5">
        <f>IF(Таблица1[[#This Row],[ТТН]]&gt;0,Таблица1[[#This Row],[Ставка за ТТН]]*Таблица1[[#This Row],[ТТН]],0)</f>
        <v>0</v>
      </c>
    </row>
    <row r="1679" spans="1:21" x14ac:dyDescent="0.25">
      <c r="A1679" t="s">
        <v>84</v>
      </c>
      <c r="B1679" s="24">
        <v>29</v>
      </c>
      <c r="C1679" t="s">
        <v>150</v>
      </c>
      <c r="D1679" t="s">
        <v>12</v>
      </c>
      <c r="E1679" t="s">
        <v>215</v>
      </c>
      <c r="F1679" t="s">
        <v>72</v>
      </c>
      <c r="H1679" t="s">
        <v>10</v>
      </c>
      <c r="I1679" t="s">
        <v>219</v>
      </c>
      <c r="J1679">
        <v>11</v>
      </c>
      <c r="L1679">
        <v>11</v>
      </c>
      <c r="N1679">
        <f>Таблица1[[#This Row],[Часов на заказчика  в работе]]+Таблица1[[#This Row],[Часов на заказчика  дежурство]]</f>
        <v>11</v>
      </c>
      <c r="O16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79" s="9">
        <v>190000</v>
      </c>
      <c r="R1679" s="9"/>
      <c r="S1679" s="5">
        <v>1</v>
      </c>
      <c r="T16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табеле]])*S1679,0)</f>
        <v>6333.333333333333</v>
      </c>
      <c r="U1679" s="5">
        <f>IF(Таблица1[[#This Row],[ТТН]]&gt;0,Таблица1[[#This Row],[Ставка за ТТН]]*Таблица1[[#This Row],[ТТН]],0)</f>
        <v>0</v>
      </c>
    </row>
    <row r="1680" spans="1:21" x14ac:dyDescent="0.25">
      <c r="A1680" t="s">
        <v>84</v>
      </c>
      <c r="B1680" s="24">
        <v>30</v>
      </c>
      <c r="C1680" t="s">
        <v>151</v>
      </c>
      <c r="D1680" t="s">
        <v>12</v>
      </c>
      <c r="E1680" t="s">
        <v>215</v>
      </c>
      <c r="F1680" t="s">
        <v>72</v>
      </c>
      <c r="H1680" t="s">
        <v>10</v>
      </c>
      <c r="I1680" t="s">
        <v>219</v>
      </c>
      <c r="J1680">
        <v>11</v>
      </c>
      <c r="L1680">
        <v>11</v>
      </c>
      <c r="N1680">
        <f>Таблица1[[#This Row],[Часов на заказчика  в работе]]+Таблица1[[#This Row],[Часов на заказчика  дежурство]]</f>
        <v>11</v>
      </c>
      <c r="O16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0" s="9">
        <v>190000</v>
      </c>
      <c r="R1680" s="9"/>
      <c r="S1680" s="5">
        <v>1</v>
      </c>
      <c r="T16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табеле]])*S1680,0)</f>
        <v>6333.333333333333</v>
      </c>
      <c r="U1680" s="5">
        <f>IF(Таблица1[[#This Row],[ТТН]]&gt;0,Таблица1[[#This Row],[Ставка за ТТН]]*Таблица1[[#This Row],[ТТН]],0)</f>
        <v>0</v>
      </c>
    </row>
    <row r="1681" spans="1:21" x14ac:dyDescent="0.25">
      <c r="A1681" t="s">
        <v>84</v>
      </c>
      <c r="B1681" s="24">
        <v>1</v>
      </c>
      <c r="C1681" t="s">
        <v>151</v>
      </c>
      <c r="D1681" t="s">
        <v>32</v>
      </c>
      <c r="E1681" t="s">
        <v>215</v>
      </c>
      <c r="F1681" t="s">
        <v>31</v>
      </c>
      <c r="H1681" t="s">
        <v>10</v>
      </c>
      <c r="I1681" t="s">
        <v>219</v>
      </c>
      <c r="J1681">
        <v>22</v>
      </c>
      <c r="L1681">
        <v>22</v>
      </c>
      <c r="N1681">
        <f>Таблица1[[#This Row],[Часов на заказчика  в работе]]+Таблица1[[#This Row],[Часов на заказчика  дежурство]]</f>
        <v>22</v>
      </c>
      <c r="O16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1" s="9">
        <v>220000</v>
      </c>
      <c r="R1681" s="9"/>
      <c r="S1681" s="5">
        <v>1</v>
      </c>
      <c r="T16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табеле]])*S1681,0)</f>
        <v>14666.666666666666</v>
      </c>
      <c r="U1681" s="5">
        <f>IF(Таблица1[[#This Row],[ТТН]]&gt;0,Таблица1[[#This Row],[Ставка за ТТН]]*Таблица1[[#This Row],[ТТН]],0)</f>
        <v>0</v>
      </c>
    </row>
    <row r="1682" spans="1:21" x14ac:dyDescent="0.25">
      <c r="A1682" t="s">
        <v>84</v>
      </c>
      <c r="B1682" s="24">
        <v>2</v>
      </c>
      <c r="C1682" t="s">
        <v>151</v>
      </c>
      <c r="D1682" t="s">
        <v>32</v>
      </c>
      <c r="E1682" t="s">
        <v>215</v>
      </c>
      <c r="F1682" t="s">
        <v>31</v>
      </c>
      <c r="H1682" t="s">
        <v>10</v>
      </c>
      <c r="I1682" t="s">
        <v>219</v>
      </c>
      <c r="J1682">
        <v>11</v>
      </c>
      <c r="L1682">
        <v>11</v>
      </c>
      <c r="N1682">
        <f>Таблица1[[#This Row],[Часов на заказчика  в работе]]+Таблица1[[#This Row],[Часов на заказчика  дежурство]]</f>
        <v>11</v>
      </c>
      <c r="O16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2" s="9">
        <v>220000</v>
      </c>
      <c r="R1682" s="9"/>
      <c r="S1682" s="5">
        <v>1</v>
      </c>
      <c r="T16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табеле]])*S1682,0)</f>
        <v>7333.333333333333</v>
      </c>
      <c r="U1682" s="5">
        <f>IF(Таблица1[[#This Row],[ТТН]]&gt;0,Таблица1[[#This Row],[Ставка за ТТН]]*Таблица1[[#This Row],[ТТН]],0)</f>
        <v>0</v>
      </c>
    </row>
    <row r="1683" spans="1:21" x14ac:dyDescent="0.25">
      <c r="A1683" t="s">
        <v>84</v>
      </c>
      <c r="B1683" s="24">
        <v>3</v>
      </c>
      <c r="C1683" t="s">
        <v>151</v>
      </c>
      <c r="D1683" t="s">
        <v>32</v>
      </c>
      <c r="E1683" t="s">
        <v>215</v>
      </c>
      <c r="F1683" t="s">
        <v>31</v>
      </c>
      <c r="H1683" t="s">
        <v>10</v>
      </c>
      <c r="I1683" t="s">
        <v>219</v>
      </c>
      <c r="J1683">
        <v>11</v>
      </c>
      <c r="L1683">
        <v>11</v>
      </c>
      <c r="N1683">
        <f>Таблица1[[#This Row],[Часов на заказчика  в работе]]+Таблица1[[#This Row],[Часов на заказчика  дежурство]]</f>
        <v>11</v>
      </c>
      <c r="O16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3" s="9">
        <v>220000</v>
      </c>
      <c r="R1683" s="9"/>
      <c r="S1683" s="5">
        <v>1</v>
      </c>
      <c r="T16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табеле]])*S1683,0)</f>
        <v>7333.333333333333</v>
      </c>
      <c r="U1683" s="5">
        <f>IF(Таблица1[[#This Row],[ТТН]]&gt;0,Таблица1[[#This Row],[Ставка за ТТН]]*Таблица1[[#This Row],[ТТН]],0)</f>
        <v>0</v>
      </c>
    </row>
    <row r="1684" spans="1:21" x14ac:dyDescent="0.25">
      <c r="A1684" t="s">
        <v>84</v>
      </c>
      <c r="B1684" s="24">
        <v>4</v>
      </c>
      <c r="C1684" t="s">
        <v>151</v>
      </c>
      <c r="D1684" t="s">
        <v>32</v>
      </c>
      <c r="E1684" t="s">
        <v>215</v>
      </c>
      <c r="F1684" t="s">
        <v>31</v>
      </c>
      <c r="H1684" t="s">
        <v>10</v>
      </c>
      <c r="I1684" t="s">
        <v>219</v>
      </c>
      <c r="J1684">
        <v>22</v>
      </c>
      <c r="L1684">
        <v>22</v>
      </c>
      <c r="N1684">
        <f>Таблица1[[#This Row],[Часов на заказчика  в работе]]+Таблица1[[#This Row],[Часов на заказчика  дежурство]]</f>
        <v>22</v>
      </c>
      <c r="O16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4" s="9">
        <v>220000</v>
      </c>
      <c r="R1684" s="9"/>
      <c r="S1684" s="5">
        <v>1</v>
      </c>
      <c r="T16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табеле]])*S1684,0)</f>
        <v>14666.666666666666</v>
      </c>
      <c r="U1684" s="5">
        <f>IF(Таблица1[[#This Row],[ТТН]]&gt;0,Таблица1[[#This Row],[Ставка за ТТН]]*Таблица1[[#This Row],[ТТН]],0)</f>
        <v>0</v>
      </c>
    </row>
    <row r="1685" spans="1:21" x14ac:dyDescent="0.25">
      <c r="A1685" t="s">
        <v>84</v>
      </c>
      <c r="B1685" s="24">
        <v>5</v>
      </c>
      <c r="C1685" t="s">
        <v>151</v>
      </c>
      <c r="D1685" t="s">
        <v>32</v>
      </c>
      <c r="E1685" t="s">
        <v>215</v>
      </c>
      <c r="F1685" t="s">
        <v>31</v>
      </c>
      <c r="H1685" t="s">
        <v>10</v>
      </c>
      <c r="I1685" t="s">
        <v>219</v>
      </c>
      <c r="J1685">
        <v>22</v>
      </c>
      <c r="L1685">
        <v>22</v>
      </c>
      <c r="N1685">
        <f>Таблица1[[#This Row],[Часов на заказчика  в работе]]+Таблица1[[#This Row],[Часов на заказчика  дежурство]]</f>
        <v>22</v>
      </c>
      <c r="O16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5" s="9">
        <v>220000</v>
      </c>
      <c r="R1685" s="9"/>
      <c r="S1685" s="5">
        <v>1</v>
      </c>
      <c r="T16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табеле]])*S1685,0)</f>
        <v>14666.666666666666</v>
      </c>
      <c r="U1685" s="5">
        <f>IF(Таблица1[[#This Row],[ТТН]]&gt;0,Таблица1[[#This Row],[Ставка за ТТН]]*Таблица1[[#This Row],[ТТН]],0)</f>
        <v>0</v>
      </c>
    </row>
    <row r="1686" spans="1:21" x14ac:dyDescent="0.25">
      <c r="A1686" t="s">
        <v>84</v>
      </c>
      <c r="B1686" s="24">
        <v>6</v>
      </c>
      <c r="C1686" t="s">
        <v>151</v>
      </c>
      <c r="D1686" t="s">
        <v>32</v>
      </c>
      <c r="E1686" t="s">
        <v>215</v>
      </c>
      <c r="F1686" t="s">
        <v>31</v>
      </c>
      <c r="H1686" t="s">
        <v>10</v>
      </c>
      <c r="I1686" t="s">
        <v>219</v>
      </c>
      <c r="J1686">
        <v>22</v>
      </c>
      <c r="L1686">
        <v>22</v>
      </c>
      <c r="N1686">
        <f>Таблица1[[#This Row],[Часов на заказчика  в работе]]+Таблица1[[#This Row],[Часов на заказчика  дежурство]]</f>
        <v>22</v>
      </c>
      <c r="O16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6" s="9">
        <v>220000</v>
      </c>
      <c r="R1686" s="9"/>
      <c r="S1686" s="5">
        <v>1</v>
      </c>
      <c r="T16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табеле]])*S1686,0)</f>
        <v>14666.666666666666</v>
      </c>
      <c r="U1686" s="5">
        <f>IF(Таблица1[[#This Row],[ТТН]]&gt;0,Таблица1[[#This Row],[Ставка за ТТН]]*Таблица1[[#This Row],[ТТН]],0)</f>
        <v>0</v>
      </c>
    </row>
    <row r="1687" spans="1:21" x14ac:dyDescent="0.25">
      <c r="A1687" t="s">
        <v>84</v>
      </c>
      <c r="B1687" s="24">
        <v>7</v>
      </c>
      <c r="C1687" t="s">
        <v>151</v>
      </c>
      <c r="D1687" t="s">
        <v>32</v>
      </c>
      <c r="E1687" t="s">
        <v>215</v>
      </c>
      <c r="F1687" t="s">
        <v>31</v>
      </c>
      <c r="H1687" t="s">
        <v>10</v>
      </c>
      <c r="I1687" t="s">
        <v>219</v>
      </c>
      <c r="J1687">
        <v>22</v>
      </c>
      <c r="L1687">
        <v>22</v>
      </c>
      <c r="N1687">
        <f>Таблица1[[#This Row],[Часов на заказчика  в работе]]+Таблица1[[#This Row],[Часов на заказчика  дежурство]]</f>
        <v>22</v>
      </c>
      <c r="O16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7" s="9">
        <v>220000</v>
      </c>
      <c r="R1687" s="9"/>
      <c r="S1687" s="5">
        <v>1</v>
      </c>
      <c r="T16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табеле]])*S1687,0)</f>
        <v>14666.666666666666</v>
      </c>
      <c r="U1687" s="5">
        <f>IF(Таблица1[[#This Row],[ТТН]]&gt;0,Таблица1[[#This Row],[Ставка за ТТН]]*Таблица1[[#This Row],[ТТН]],0)</f>
        <v>0</v>
      </c>
    </row>
    <row r="1688" spans="1:21" x14ac:dyDescent="0.25">
      <c r="A1688" t="s">
        <v>84</v>
      </c>
      <c r="B1688" s="24">
        <v>8</v>
      </c>
      <c r="C1688" t="s">
        <v>151</v>
      </c>
      <c r="D1688" t="s">
        <v>32</v>
      </c>
      <c r="E1688" t="s">
        <v>215</v>
      </c>
      <c r="F1688" t="s">
        <v>31</v>
      </c>
      <c r="H1688" t="s">
        <v>10</v>
      </c>
      <c r="I1688" t="s">
        <v>219</v>
      </c>
      <c r="J1688">
        <v>22</v>
      </c>
      <c r="L1688">
        <v>22</v>
      </c>
      <c r="N1688">
        <f>Таблица1[[#This Row],[Часов на заказчика  в работе]]+Таблица1[[#This Row],[Часов на заказчика  дежурство]]</f>
        <v>22</v>
      </c>
      <c r="O16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8" s="9">
        <v>220000</v>
      </c>
      <c r="R1688" s="9"/>
      <c r="S1688" s="5">
        <v>1</v>
      </c>
      <c r="T16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табеле]])*S1688,0)</f>
        <v>14666.666666666666</v>
      </c>
      <c r="U1688" s="5">
        <f>IF(Таблица1[[#This Row],[ТТН]]&gt;0,Таблица1[[#This Row],[Ставка за ТТН]]*Таблица1[[#This Row],[ТТН]],0)</f>
        <v>0</v>
      </c>
    </row>
    <row r="1689" spans="1:21" x14ac:dyDescent="0.25">
      <c r="A1689" t="s">
        <v>84</v>
      </c>
      <c r="B1689" s="24">
        <v>9</v>
      </c>
      <c r="C1689" t="s">
        <v>151</v>
      </c>
      <c r="D1689" t="s">
        <v>32</v>
      </c>
      <c r="E1689" t="s">
        <v>215</v>
      </c>
      <c r="F1689" t="s">
        <v>31</v>
      </c>
      <c r="H1689" t="s">
        <v>10</v>
      </c>
      <c r="I1689" t="s">
        <v>219</v>
      </c>
      <c r="J1689">
        <v>22</v>
      </c>
      <c r="L1689">
        <v>22</v>
      </c>
      <c r="N1689">
        <f>Таблица1[[#This Row],[Часов на заказчика  в работе]]+Таблица1[[#This Row],[Часов на заказчика  дежурство]]</f>
        <v>22</v>
      </c>
      <c r="O16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89" s="9">
        <v>220000</v>
      </c>
      <c r="R1689" s="9"/>
      <c r="S1689" s="5">
        <v>1</v>
      </c>
      <c r="T16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табеле]])*S1689,0)</f>
        <v>14666.666666666666</v>
      </c>
      <c r="U1689" s="5">
        <f>IF(Таблица1[[#This Row],[ТТН]]&gt;0,Таблица1[[#This Row],[Ставка за ТТН]]*Таблица1[[#This Row],[ТТН]],0)</f>
        <v>0</v>
      </c>
    </row>
    <row r="1690" spans="1:21" x14ac:dyDescent="0.25">
      <c r="A1690" t="s">
        <v>84</v>
      </c>
      <c r="B1690" s="24">
        <v>10</v>
      </c>
      <c r="C1690" t="s">
        <v>151</v>
      </c>
      <c r="D1690" t="s">
        <v>32</v>
      </c>
      <c r="E1690" t="s">
        <v>215</v>
      </c>
      <c r="F1690" t="s">
        <v>31</v>
      </c>
      <c r="H1690" t="s">
        <v>10</v>
      </c>
      <c r="I1690" t="s">
        <v>219</v>
      </c>
      <c r="J1690">
        <v>11</v>
      </c>
      <c r="L1690">
        <v>11</v>
      </c>
      <c r="N1690">
        <f>Таблица1[[#This Row],[Часов на заказчика  в работе]]+Таблица1[[#This Row],[Часов на заказчика  дежурство]]</f>
        <v>11</v>
      </c>
      <c r="O16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0" s="9">
        <v>220000</v>
      </c>
      <c r="R1690" s="9"/>
      <c r="S1690" s="5">
        <v>1</v>
      </c>
      <c r="T16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табеле]])*S1690,0)</f>
        <v>7333.333333333333</v>
      </c>
      <c r="U1690" s="5">
        <f>IF(Таблица1[[#This Row],[ТТН]]&gt;0,Таблица1[[#This Row],[Ставка за ТТН]]*Таблица1[[#This Row],[ТТН]],0)</f>
        <v>0</v>
      </c>
    </row>
    <row r="1691" spans="1:21" x14ac:dyDescent="0.25">
      <c r="A1691" t="s">
        <v>84</v>
      </c>
      <c r="B1691" s="24">
        <v>11</v>
      </c>
      <c r="C1691" t="s">
        <v>151</v>
      </c>
      <c r="D1691" t="s">
        <v>32</v>
      </c>
      <c r="E1691" t="s">
        <v>215</v>
      </c>
      <c r="F1691" t="s">
        <v>31</v>
      </c>
      <c r="H1691" t="s">
        <v>10</v>
      </c>
      <c r="I1691" t="s">
        <v>219</v>
      </c>
      <c r="J1691">
        <v>22</v>
      </c>
      <c r="L1691">
        <v>22</v>
      </c>
      <c r="N1691">
        <f>Таблица1[[#This Row],[Часов на заказчика  в работе]]+Таблица1[[#This Row],[Часов на заказчика  дежурство]]</f>
        <v>22</v>
      </c>
      <c r="O16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1" s="9">
        <v>220000</v>
      </c>
      <c r="R1691" s="9"/>
      <c r="S1691" s="5">
        <v>1</v>
      </c>
      <c r="T16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табеле]])*S1691,0)</f>
        <v>14666.666666666666</v>
      </c>
      <c r="U1691" s="5">
        <f>IF(Таблица1[[#This Row],[ТТН]]&gt;0,Таблица1[[#This Row],[Ставка за ТТН]]*Таблица1[[#This Row],[ТТН]],0)</f>
        <v>0</v>
      </c>
    </row>
    <row r="1692" spans="1:21" x14ac:dyDescent="0.25">
      <c r="A1692" t="s">
        <v>84</v>
      </c>
      <c r="B1692" s="24">
        <v>12</v>
      </c>
      <c r="C1692" t="s">
        <v>151</v>
      </c>
      <c r="D1692" t="s">
        <v>32</v>
      </c>
      <c r="E1692" t="s">
        <v>215</v>
      </c>
      <c r="F1692" t="s">
        <v>31</v>
      </c>
      <c r="H1692" t="s">
        <v>10</v>
      </c>
      <c r="I1692" t="s">
        <v>219</v>
      </c>
      <c r="J1692">
        <v>11</v>
      </c>
      <c r="L1692">
        <v>11</v>
      </c>
      <c r="N1692">
        <f>Таблица1[[#This Row],[Часов на заказчика  в работе]]+Таблица1[[#This Row],[Часов на заказчика  дежурство]]</f>
        <v>11</v>
      </c>
      <c r="O16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2" s="9">
        <v>220000</v>
      </c>
      <c r="R1692" s="9"/>
      <c r="S1692" s="5">
        <v>1</v>
      </c>
      <c r="T16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табеле]])*S1692,0)</f>
        <v>7333.333333333333</v>
      </c>
      <c r="U1692" s="5">
        <f>IF(Таблица1[[#This Row],[ТТН]]&gt;0,Таблица1[[#This Row],[Ставка за ТТН]]*Таблица1[[#This Row],[ТТН]],0)</f>
        <v>0</v>
      </c>
    </row>
    <row r="1693" spans="1:21" x14ac:dyDescent="0.25">
      <c r="A1693" t="s">
        <v>84</v>
      </c>
      <c r="B1693" s="24">
        <v>13</v>
      </c>
      <c r="C1693" t="s">
        <v>151</v>
      </c>
      <c r="D1693" t="s">
        <v>32</v>
      </c>
      <c r="E1693" t="s">
        <v>215</v>
      </c>
      <c r="F1693" t="s">
        <v>31</v>
      </c>
      <c r="H1693" t="s">
        <v>10</v>
      </c>
      <c r="I1693" t="s">
        <v>219</v>
      </c>
      <c r="J1693">
        <v>22</v>
      </c>
      <c r="L1693">
        <v>22</v>
      </c>
      <c r="N1693">
        <f>Таблица1[[#This Row],[Часов на заказчика  в работе]]+Таблица1[[#This Row],[Часов на заказчика  дежурство]]</f>
        <v>22</v>
      </c>
      <c r="O16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3" s="9">
        <v>220000</v>
      </c>
      <c r="R1693" s="9"/>
      <c r="S1693" s="5">
        <v>1</v>
      </c>
      <c r="T16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табеле]])*S1693,0)</f>
        <v>14666.666666666666</v>
      </c>
      <c r="U1693" s="5">
        <f>IF(Таблица1[[#This Row],[ТТН]]&gt;0,Таблица1[[#This Row],[Ставка за ТТН]]*Таблица1[[#This Row],[ТТН]],0)</f>
        <v>0</v>
      </c>
    </row>
    <row r="1694" spans="1:21" x14ac:dyDescent="0.25">
      <c r="A1694" t="s">
        <v>84</v>
      </c>
      <c r="B1694" s="24">
        <v>14</v>
      </c>
      <c r="C1694" t="s">
        <v>151</v>
      </c>
      <c r="D1694" t="s">
        <v>32</v>
      </c>
      <c r="E1694" t="s">
        <v>215</v>
      </c>
      <c r="F1694" t="s">
        <v>31</v>
      </c>
      <c r="H1694" t="s">
        <v>10</v>
      </c>
      <c r="I1694" t="s">
        <v>219</v>
      </c>
      <c r="J1694">
        <v>11</v>
      </c>
      <c r="L1694">
        <v>11</v>
      </c>
      <c r="N1694">
        <f>Таблица1[[#This Row],[Часов на заказчика  в работе]]+Таблица1[[#This Row],[Часов на заказчика  дежурство]]</f>
        <v>11</v>
      </c>
      <c r="O16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4" s="9">
        <v>220000</v>
      </c>
      <c r="R1694" s="9"/>
      <c r="S1694" s="5">
        <v>1</v>
      </c>
      <c r="T16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табеле]])*S1694,0)</f>
        <v>7333.333333333333</v>
      </c>
      <c r="U1694" s="5">
        <f>IF(Таблица1[[#This Row],[ТТН]]&gt;0,Таблица1[[#This Row],[Ставка за ТТН]]*Таблица1[[#This Row],[ТТН]],0)</f>
        <v>0</v>
      </c>
    </row>
    <row r="1695" spans="1:21" x14ac:dyDescent="0.25">
      <c r="A1695" t="s">
        <v>84</v>
      </c>
      <c r="B1695" s="24">
        <v>15</v>
      </c>
      <c r="C1695" t="s">
        <v>151</v>
      </c>
      <c r="D1695" t="s">
        <v>32</v>
      </c>
      <c r="E1695" t="s">
        <v>215</v>
      </c>
      <c r="F1695" t="s">
        <v>31</v>
      </c>
      <c r="H1695" t="s">
        <v>10</v>
      </c>
      <c r="I1695" t="s">
        <v>219</v>
      </c>
      <c r="J1695">
        <v>11</v>
      </c>
      <c r="L1695">
        <v>11</v>
      </c>
      <c r="N1695">
        <f>Таблица1[[#This Row],[Часов на заказчика  в работе]]+Таблица1[[#This Row],[Часов на заказчика  дежурство]]</f>
        <v>11</v>
      </c>
      <c r="O16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5" s="9">
        <v>220000</v>
      </c>
      <c r="R1695" s="9"/>
      <c r="S1695" s="5">
        <v>1</v>
      </c>
      <c r="T16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табеле]])*S1695,0)</f>
        <v>7333.333333333333</v>
      </c>
      <c r="U1695" s="5">
        <f>IF(Таблица1[[#This Row],[ТТН]]&gt;0,Таблица1[[#This Row],[Ставка за ТТН]]*Таблица1[[#This Row],[ТТН]],0)</f>
        <v>0</v>
      </c>
    </row>
    <row r="1696" spans="1:21" x14ac:dyDescent="0.25">
      <c r="A1696" t="s">
        <v>84</v>
      </c>
      <c r="B1696" s="24">
        <v>16</v>
      </c>
      <c r="C1696" t="s">
        <v>151</v>
      </c>
      <c r="D1696" t="s">
        <v>32</v>
      </c>
      <c r="E1696" t="s">
        <v>215</v>
      </c>
      <c r="F1696" t="s">
        <v>31</v>
      </c>
      <c r="H1696" t="s">
        <v>10</v>
      </c>
      <c r="I1696" t="s">
        <v>219</v>
      </c>
      <c r="J1696">
        <v>11</v>
      </c>
      <c r="L1696">
        <v>11</v>
      </c>
      <c r="N1696">
        <f>Таблица1[[#This Row],[Часов на заказчика  в работе]]+Таблица1[[#This Row],[Часов на заказчика  дежурство]]</f>
        <v>11</v>
      </c>
      <c r="O16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6" s="9">
        <v>220000</v>
      </c>
      <c r="R1696" s="9"/>
      <c r="S1696" s="5">
        <v>1</v>
      </c>
      <c r="T16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табеле]])*S1696,0)</f>
        <v>7333.333333333333</v>
      </c>
      <c r="U1696" s="5">
        <f>IF(Таблица1[[#This Row],[ТТН]]&gt;0,Таблица1[[#This Row],[Ставка за ТТН]]*Таблица1[[#This Row],[ТТН]],0)</f>
        <v>0</v>
      </c>
    </row>
    <row r="1697" spans="1:21" x14ac:dyDescent="0.25">
      <c r="A1697" t="s">
        <v>84</v>
      </c>
      <c r="B1697" s="24">
        <v>17</v>
      </c>
      <c r="C1697" t="s">
        <v>151</v>
      </c>
      <c r="D1697" t="s">
        <v>32</v>
      </c>
      <c r="E1697" t="s">
        <v>215</v>
      </c>
      <c r="F1697" t="s">
        <v>31</v>
      </c>
      <c r="H1697" t="s">
        <v>10</v>
      </c>
      <c r="I1697" t="s">
        <v>219</v>
      </c>
      <c r="J1697">
        <v>11</v>
      </c>
      <c r="L1697">
        <v>11</v>
      </c>
      <c r="N1697">
        <f>Таблица1[[#This Row],[Часов на заказчика  в работе]]+Таблица1[[#This Row],[Часов на заказчика  дежурство]]</f>
        <v>11</v>
      </c>
      <c r="O16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7" s="9">
        <v>220000</v>
      </c>
      <c r="R1697" s="9"/>
      <c r="S1697" s="5">
        <v>1</v>
      </c>
      <c r="T16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табеле]])*S1697,0)</f>
        <v>7333.333333333333</v>
      </c>
      <c r="U1697" s="5">
        <f>IF(Таблица1[[#This Row],[ТТН]]&gt;0,Таблица1[[#This Row],[Ставка за ТТН]]*Таблица1[[#This Row],[ТТН]],0)</f>
        <v>0</v>
      </c>
    </row>
    <row r="1698" spans="1:21" x14ac:dyDescent="0.25">
      <c r="A1698" t="s">
        <v>84</v>
      </c>
      <c r="B1698" s="24">
        <v>18</v>
      </c>
      <c r="C1698" t="s">
        <v>151</v>
      </c>
      <c r="D1698" t="s">
        <v>32</v>
      </c>
      <c r="E1698" t="s">
        <v>215</v>
      </c>
      <c r="F1698" t="s">
        <v>31</v>
      </c>
      <c r="H1698" t="s">
        <v>10</v>
      </c>
      <c r="I1698" t="s">
        <v>219</v>
      </c>
      <c r="J1698">
        <v>11</v>
      </c>
      <c r="L1698">
        <v>11</v>
      </c>
      <c r="N1698">
        <f>Таблица1[[#This Row],[Часов на заказчика  в работе]]+Таблица1[[#This Row],[Часов на заказчика  дежурство]]</f>
        <v>11</v>
      </c>
      <c r="O16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8" s="9">
        <v>220000</v>
      </c>
      <c r="R1698" s="9"/>
      <c r="S1698" s="5">
        <v>1</v>
      </c>
      <c r="T16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табеле]])*S1698,0)</f>
        <v>7333.333333333333</v>
      </c>
      <c r="U1698" s="5">
        <f>IF(Таблица1[[#This Row],[ТТН]]&gt;0,Таблица1[[#This Row],[Ставка за ТТН]]*Таблица1[[#This Row],[ТТН]],0)</f>
        <v>0</v>
      </c>
    </row>
    <row r="1699" spans="1:21" x14ac:dyDescent="0.25">
      <c r="A1699" t="s">
        <v>84</v>
      </c>
      <c r="B1699" s="24">
        <v>19</v>
      </c>
      <c r="C1699" t="s">
        <v>151</v>
      </c>
      <c r="D1699" t="s">
        <v>32</v>
      </c>
      <c r="E1699" t="s">
        <v>215</v>
      </c>
      <c r="F1699" t="s">
        <v>31</v>
      </c>
      <c r="H1699" t="s">
        <v>10</v>
      </c>
      <c r="I1699" t="s">
        <v>219</v>
      </c>
      <c r="J1699">
        <v>11</v>
      </c>
      <c r="L1699">
        <v>11</v>
      </c>
      <c r="N1699">
        <f>Таблица1[[#This Row],[Часов на заказчика  в работе]]+Таблица1[[#This Row],[Часов на заказчика  дежурство]]</f>
        <v>11</v>
      </c>
      <c r="O16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699" s="9">
        <v>220000</v>
      </c>
      <c r="R1699" s="9"/>
      <c r="S1699" s="5">
        <v>1</v>
      </c>
      <c r="T16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табеле]])*S1699,0)</f>
        <v>7333.333333333333</v>
      </c>
      <c r="U1699" s="5">
        <f>IF(Таблица1[[#This Row],[ТТН]]&gt;0,Таблица1[[#This Row],[Ставка за ТТН]]*Таблица1[[#This Row],[ТТН]],0)</f>
        <v>0</v>
      </c>
    </row>
    <row r="1700" spans="1:21" x14ac:dyDescent="0.25">
      <c r="A1700" t="s">
        <v>84</v>
      </c>
      <c r="B1700" s="24">
        <v>20</v>
      </c>
      <c r="C1700" t="s">
        <v>151</v>
      </c>
      <c r="D1700" t="s">
        <v>32</v>
      </c>
      <c r="E1700" t="s">
        <v>215</v>
      </c>
      <c r="F1700" t="s">
        <v>31</v>
      </c>
      <c r="H1700" t="s">
        <v>10</v>
      </c>
      <c r="I1700" t="s">
        <v>219</v>
      </c>
      <c r="J1700">
        <v>11</v>
      </c>
      <c r="L1700">
        <v>11</v>
      </c>
      <c r="N1700">
        <f>Таблица1[[#This Row],[Часов на заказчика  в работе]]+Таблица1[[#This Row],[Часов на заказчика  дежурство]]</f>
        <v>11</v>
      </c>
      <c r="O17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0" s="9">
        <v>220000</v>
      </c>
      <c r="R1700" s="9"/>
      <c r="S1700" s="5">
        <v>1</v>
      </c>
      <c r="T17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табеле]])*S1700,0)</f>
        <v>7333.333333333333</v>
      </c>
      <c r="U1700" s="5">
        <f>IF(Таблица1[[#This Row],[ТТН]]&gt;0,Таблица1[[#This Row],[Ставка за ТТН]]*Таблица1[[#This Row],[ТТН]],0)</f>
        <v>0</v>
      </c>
    </row>
    <row r="1701" spans="1:21" x14ac:dyDescent="0.25">
      <c r="A1701" t="s">
        <v>84</v>
      </c>
      <c r="B1701" s="24">
        <v>21</v>
      </c>
      <c r="C1701" t="s">
        <v>151</v>
      </c>
      <c r="D1701" t="s">
        <v>32</v>
      </c>
      <c r="E1701" t="s">
        <v>215</v>
      </c>
      <c r="F1701" t="s">
        <v>31</v>
      </c>
      <c r="H1701" t="s">
        <v>10</v>
      </c>
      <c r="I1701" t="s">
        <v>219</v>
      </c>
      <c r="J1701">
        <v>11</v>
      </c>
      <c r="L1701">
        <v>11</v>
      </c>
      <c r="N1701">
        <f>Таблица1[[#This Row],[Часов на заказчика  в работе]]+Таблица1[[#This Row],[Часов на заказчика  дежурство]]</f>
        <v>11</v>
      </c>
      <c r="O17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1" s="9">
        <v>220000</v>
      </c>
      <c r="R1701" s="9"/>
      <c r="S1701" s="5">
        <v>1</v>
      </c>
      <c r="T17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табеле]])*S1701,0)</f>
        <v>7333.333333333333</v>
      </c>
      <c r="U1701" s="5">
        <f>IF(Таблица1[[#This Row],[ТТН]]&gt;0,Таблица1[[#This Row],[Ставка за ТТН]]*Таблица1[[#This Row],[ТТН]],0)</f>
        <v>0</v>
      </c>
    </row>
    <row r="1702" spans="1:21" x14ac:dyDescent="0.25">
      <c r="A1702" t="s">
        <v>84</v>
      </c>
      <c r="B1702" s="24">
        <v>22</v>
      </c>
      <c r="C1702" t="s">
        <v>151</v>
      </c>
      <c r="D1702" t="s">
        <v>32</v>
      </c>
      <c r="E1702" t="s">
        <v>215</v>
      </c>
      <c r="F1702" t="s">
        <v>31</v>
      </c>
      <c r="H1702" t="s">
        <v>10</v>
      </c>
      <c r="I1702" t="s">
        <v>219</v>
      </c>
      <c r="J1702">
        <v>11</v>
      </c>
      <c r="L1702">
        <v>11</v>
      </c>
      <c r="N1702">
        <f>Таблица1[[#This Row],[Часов на заказчика  в работе]]+Таблица1[[#This Row],[Часов на заказчика  дежурство]]</f>
        <v>11</v>
      </c>
      <c r="O17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2" s="9">
        <v>220000</v>
      </c>
      <c r="R1702" s="9"/>
      <c r="S1702" s="5">
        <v>1</v>
      </c>
      <c r="T17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табеле]])*S1702,0)</f>
        <v>7333.333333333333</v>
      </c>
      <c r="U1702" s="5">
        <f>IF(Таблица1[[#This Row],[ТТН]]&gt;0,Таблица1[[#This Row],[Ставка за ТТН]]*Таблица1[[#This Row],[ТТН]],0)</f>
        <v>0</v>
      </c>
    </row>
    <row r="1703" spans="1:21" x14ac:dyDescent="0.25">
      <c r="A1703" t="s">
        <v>84</v>
      </c>
      <c r="B1703" s="24">
        <v>23</v>
      </c>
      <c r="C1703" t="s">
        <v>151</v>
      </c>
      <c r="D1703" t="s">
        <v>32</v>
      </c>
      <c r="E1703" t="s">
        <v>215</v>
      </c>
      <c r="F1703" t="s">
        <v>31</v>
      </c>
      <c r="H1703" t="s">
        <v>10</v>
      </c>
      <c r="I1703" t="s">
        <v>219</v>
      </c>
      <c r="J1703">
        <v>11</v>
      </c>
      <c r="L1703">
        <v>11</v>
      </c>
      <c r="N1703">
        <f>Таблица1[[#This Row],[Часов на заказчика  в работе]]+Таблица1[[#This Row],[Часов на заказчика  дежурство]]</f>
        <v>11</v>
      </c>
      <c r="O17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3" s="9">
        <v>220000</v>
      </c>
      <c r="R1703" s="9"/>
      <c r="S1703" s="5">
        <v>1</v>
      </c>
      <c r="T17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табеле]])*S1703,0)</f>
        <v>7333.333333333333</v>
      </c>
      <c r="U1703" s="5">
        <f>IF(Таблица1[[#This Row],[ТТН]]&gt;0,Таблица1[[#This Row],[Ставка за ТТН]]*Таблица1[[#This Row],[ТТН]],0)</f>
        <v>0</v>
      </c>
    </row>
    <row r="1704" spans="1:21" x14ac:dyDescent="0.25">
      <c r="A1704" t="s">
        <v>84</v>
      </c>
      <c r="B1704" s="24">
        <v>24</v>
      </c>
      <c r="C1704" t="s">
        <v>151</v>
      </c>
      <c r="D1704" t="s">
        <v>32</v>
      </c>
      <c r="E1704" t="s">
        <v>215</v>
      </c>
      <c r="F1704" t="s">
        <v>31</v>
      </c>
      <c r="H1704" t="s">
        <v>10</v>
      </c>
      <c r="I1704" t="s">
        <v>219</v>
      </c>
      <c r="J1704">
        <v>11</v>
      </c>
      <c r="L1704">
        <v>11</v>
      </c>
      <c r="N1704">
        <f>Таблица1[[#This Row],[Часов на заказчика  в работе]]+Таблица1[[#This Row],[Часов на заказчика  дежурство]]</f>
        <v>11</v>
      </c>
      <c r="O17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4" s="9">
        <v>220000</v>
      </c>
      <c r="R1704" s="9"/>
      <c r="S1704" s="5">
        <v>1</v>
      </c>
      <c r="T17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табеле]])*S1704,0)</f>
        <v>7333.333333333333</v>
      </c>
      <c r="U1704" s="5">
        <f>IF(Таблица1[[#This Row],[ТТН]]&gt;0,Таблица1[[#This Row],[Ставка за ТТН]]*Таблица1[[#This Row],[ТТН]],0)</f>
        <v>0</v>
      </c>
    </row>
    <row r="1705" spans="1:21" x14ac:dyDescent="0.25">
      <c r="A1705" t="s">
        <v>84</v>
      </c>
      <c r="B1705" s="24">
        <v>25</v>
      </c>
      <c r="C1705" t="s">
        <v>151</v>
      </c>
      <c r="D1705" t="s">
        <v>32</v>
      </c>
      <c r="E1705" t="s">
        <v>215</v>
      </c>
      <c r="F1705" t="s">
        <v>31</v>
      </c>
      <c r="H1705" t="s">
        <v>10</v>
      </c>
      <c r="I1705" t="s">
        <v>219</v>
      </c>
      <c r="J1705">
        <v>11</v>
      </c>
      <c r="L1705">
        <v>11</v>
      </c>
      <c r="N1705">
        <f>Таблица1[[#This Row],[Часов на заказчика  в работе]]+Таблица1[[#This Row],[Часов на заказчика  дежурство]]</f>
        <v>11</v>
      </c>
      <c r="O17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5" s="9">
        <v>220000</v>
      </c>
      <c r="R1705" s="9"/>
      <c r="S1705" s="5">
        <v>1</v>
      </c>
      <c r="T17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табеле]])*S1705,0)</f>
        <v>7333.333333333333</v>
      </c>
      <c r="U1705" s="5">
        <f>IF(Таблица1[[#This Row],[ТТН]]&gt;0,Таблица1[[#This Row],[Ставка за ТТН]]*Таблица1[[#This Row],[ТТН]],0)</f>
        <v>0</v>
      </c>
    </row>
    <row r="1706" spans="1:21" x14ac:dyDescent="0.25">
      <c r="A1706" t="s">
        <v>84</v>
      </c>
      <c r="B1706" s="24">
        <v>26</v>
      </c>
      <c r="C1706" t="s">
        <v>151</v>
      </c>
      <c r="D1706" t="s">
        <v>32</v>
      </c>
      <c r="E1706" t="s">
        <v>215</v>
      </c>
      <c r="F1706" t="s">
        <v>31</v>
      </c>
      <c r="H1706" t="s">
        <v>10</v>
      </c>
      <c r="I1706" t="s">
        <v>219</v>
      </c>
      <c r="J1706">
        <v>11</v>
      </c>
      <c r="L1706">
        <v>11</v>
      </c>
      <c r="N1706">
        <f>Таблица1[[#This Row],[Часов на заказчика  в работе]]+Таблица1[[#This Row],[Часов на заказчика  дежурство]]</f>
        <v>11</v>
      </c>
      <c r="O17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6" s="9">
        <v>220000</v>
      </c>
      <c r="R1706" s="9"/>
      <c r="S1706" s="5">
        <v>1</v>
      </c>
      <c r="T17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табеле]])*S1706,0)</f>
        <v>7333.333333333333</v>
      </c>
      <c r="U1706" s="5">
        <f>IF(Таблица1[[#This Row],[ТТН]]&gt;0,Таблица1[[#This Row],[Ставка за ТТН]]*Таблица1[[#This Row],[ТТН]],0)</f>
        <v>0</v>
      </c>
    </row>
    <row r="1707" spans="1:21" x14ac:dyDescent="0.25">
      <c r="A1707" t="s">
        <v>84</v>
      </c>
      <c r="B1707" s="24">
        <v>27</v>
      </c>
      <c r="C1707" t="s">
        <v>151</v>
      </c>
      <c r="D1707" t="s">
        <v>32</v>
      </c>
      <c r="E1707" t="s">
        <v>215</v>
      </c>
      <c r="F1707" t="s">
        <v>31</v>
      </c>
      <c r="H1707" t="s">
        <v>10</v>
      </c>
      <c r="I1707" t="s">
        <v>219</v>
      </c>
      <c r="J1707">
        <v>11</v>
      </c>
      <c r="L1707">
        <v>11</v>
      </c>
      <c r="N1707">
        <f>Таблица1[[#This Row],[Часов на заказчика  в работе]]+Таблица1[[#This Row],[Часов на заказчика  дежурство]]</f>
        <v>11</v>
      </c>
      <c r="O17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7" s="9">
        <v>220000</v>
      </c>
      <c r="R1707" s="9"/>
      <c r="S1707" s="5">
        <v>1</v>
      </c>
      <c r="T17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табеле]])*S1707,0)</f>
        <v>7333.333333333333</v>
      </c>
      <c r="U1707" s="5">
        <f>IF(Таблица1[[#This Row],[ТТН]]&gt;0,Таблица1[[#This Row],[Ставка за ТТН]]*Таблица1[[#This Row],[ТТН]],0)</f>
        <v>0</v>
      </c>
    </row>
    <row r="1708" spans="1:21" x14ac:dyDescent="0.25">
      <c r="A1708" t="s">
        <v>84</v>
      </c>
      <c r="B1708" s="24">
        <v>28</v>
      </c>
      <c r="C1708" t="s">
        <v>151</v>
      </c>
      <c r="D1708" t="s">
        <v>32</v>
      </c>
      <c r="E1708" t="s">
        <v>215</v>
      </c>
      <c r="F1708" t="s">
        <v>31</v>
      </c>
      <c r="H1708" t="s">
        <v>10</v>
      </c>
      <c r="I1708" t="s">
        <v>219</v>
      </c>
      <c r="J1708">
        <v>11</v>
      </c>
      <c r="L1708">
        <v>11</v>
      </c>
      <c r="N1708">
        <f>Таблица1[[#This Row],[Часов на заказчика  в работе]]+Таблица1[[#This Row],[Часов на заказчика  дежурство]]</f>
        <v>11</v>
      </c>
      <c r="O17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8" s="9">
        <v>220000</v>
      </c>
      <c r="R1708" s="9"/>
      <c r="S1708" s="5">
        <v>1</v>
      </c>
      <c r="T17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табеле]])*S1708,0)</f>
        <v>7333.333333333333</v>
      </c>
      <c r="U1708" s="5">
        <f>IF(Таблица1[[#This Row],[ТТН]]&gt;0,Таблица1[[#This Row],[Ставка за ТТН]]*Таблица1[[#This Row],[ТТН]],0)</f>
        <v>0</v>
      </c>
    </row>
    <row r="1709" spans="1:21" x14ac:dyDescent="0.25">
      <c r="A1709" t="s">
        <v>84</v>
      </c>
      <c r="B1709" s="24">
        <v>29</v>
      </c>
      <c r="C1709" t="s">
        <v>151</v>
      </c>
      <c r="D1709" t="s">
        <v>32</v>
      </c>
      <c r="E1709" t="s">
        <v>215</v>
      </c>
      <c r="F1709" t="s">
        <v>31</v>
      </c>
      <c r="H1709" t="s">
        <v>10</v>
      </c>
      <c r="I1709" t="s">
        <v>219</v>
      </c>
      <c r="J1709">
        <v>11</v>
      </c>
      <c r="L1709">
        <v>11</v>
      </c>
      <c r="N1709">
        <f>Таблица1[[#This Row],[Часов на заказчика  в работе]]+Таблица1[[#This Row],[Часов на заказчика  дежурство]]</f>
        <v>11</v>
      </c>
      <c r="O17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09" s="9">
        <v>220000</v>
      </c>
      <c r="R1709" s="9"/>
      <c r="S1709" s="5">
        <v>1</v>
      </c>
      <c r="T17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табеле]])*S1709,0)</f>
        <v>7333.333333333333</v>
      </c>
      <c r="U1709" s="5">
        <f>IF(Таблица1[[#This Row],[ТТН]]&gt;0,Таблица1[[#This Row],[Ставка за ТТН]]*Таблица1[[#This Row],[ТТН]],0)</f>
        <v>0</v>
      </c>
    </row>
    <row r="1710" spans="1:21" x14ac:dyDescent="0.25">
      <c r="A1710" t="s">
        <v>84</v>
      </c>
      <c r="B1710" s="24">
        <v>30</v>
      </c>
      <c r="C1710" t="s">
        <v>152</v>
      </c>
      <c r="D1710" t="s">
        <v>32</v>
      </c>
      <c r="E1710" t="s">
        <v>215</v>
      </c>
      <c r="F1710" t="s">
        <v>31</v>
      </c>
      <c r="H1710" t="s">
        <v>10</v>
      </c>
      <c r="I1710" t="s">
        <v>219</v>
      </c>
      <c r="J1710">
        <v>11</v>
      </c>
      <c r="L1710">
        <v>11</v>
      </c>
      <c r="N1710">
        <f>Таблица1[[#This Row],[Часов на заказчика  в работе]]+Таблица1[[#This Row],[Часов на заказчика  дежурство]]</f>
        <v>11</v>
      </c>
      <c r="O17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0" s="9">
        <v>220000</v>
      </c>
      <c r="R1710" s="9"/>
      <c r="S1710" s="5">
        <v>1</v>
      </c>
      <c r="T17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табеле]])*S1710,0)</f>
        <v>7333.333333333333</v>
      </c>
      <c r="U1710" s="5">
        <f>IF(Таблица1[[#This Row],[ТТН]]&gt;0,Таблица1[[#This Row],[Ставка за ТТН]]*Таблица1[[#This Row],[ТТН]],0)</f>
        <v>0</v>
      </c>
    </row>
    <row r="1711" spans="1:21" x14ac:dyDescent="0.25">
      <c r="A1711" t="s">
        <v>84</v>
      </c>
      <c r="B1711" s="24">
        <v>1</v>
      </c>
      <c r="C1711" t="s">
        <v>152</v>
      </c>
      <c r="D1711" t="s">
        <v>9</v>
      </c>
      <c r="E1711" t="s">
        <v>215</v>
      </c>
      <c r="F1711" t="s">
        <v>9</v>
      </c>
      <c r="H1711" t="s">
        <v>10</v>
      </c>
      <c r="I1711" t="s">
        <v>217</v>
      </c>
      <c r="J1711">
        <v>11</v>
      </c>
      <c r="N1711">
        <f>Таблица1[[#This Row],[Часов на заказчика  в работе]]+Таблица1[[#This Row],[Часов на заказчика  дежурство]]</f>
        <v>0</v>
      </c>
      <c r="O17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1" s="9">
        <v>200000</v>
      </c>
      <c r="R1711" s="9"/>
      <c r="S1711" s="5">
        <v>1.2</v>
      </c>
      <c r="T17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табеле]])*S1711,0)</f>
        <v>7999.9999999999991</v>
      </c>
      <c r="U1711" s="5">
        <f>IF(Таблица1[[#This Row],[ТТН]]&gt;0,Таблица1[[#This Row],[Ставка за ТТН]]*Таблица1[[#This Row],[ТТН]],0)</f>
        <v>0</v>
      </c>
    </row>
    <row r="1712" spans="1:21" x14ac:dyDescent="0.25">
      <c r="A1712" t="s">
        <v>84</v>
      </c>
      <c r="B1712" s="24">
        <v>2</v>
      </c>
      <c r="C1712" t="s">
        <v>152</v>
      </c>
      <c r="D1712" t="s">
        <v>9</v>
      </c>
      <c r="E1712" t="s">
        <v>215</v>
      </c>
      <c r="F1712" t="s">
        <v>9</v>
      </c>
      <c r="H1712" t="s">
        <v>10</v>
      </c>
      <c r="I1712" t="s">
        <v>217</v>
      </c>
      <c r="J1712">
        <v>11</v>
      </c>
      <c r="N1712">
        <f>Таблица1[[#This Row],[Часов на заказчика  в работе]]+Таблица1[[#This Row],[Часов на заказчика  дежурство]]</f>
        <v>0</v>
      </c>
      <c r="O17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2" s="9">
        <v>200000</v>
      </c>
      <c r="R1712" s="9"/>
      <c r="S1712" s="5">
        <v>1.2</v>
      </c>
      <c r="T17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табеле]])*S1712,0)</f>
        <v>7999.9999999999991</v>
      </c>
      <c r="U1712" s="5">
        <f>IF(Таблица1[[#This Row],[ТТН]]&gt;0,Таблица1[[#This Row],[Ставка за ТТН]]*Таблица1[[#This Row],[ТТН]],0)</f>
        <v>0</v>
      </c>
    </row>
    <row r="1713" spans="1:21" x14ac:dyDescent="0.25">
      <c r="A1713" t="s">
        <v>84</v>
      </c>
      <c r="B1713" s="24">
        <v>3</v>
      </c>
      <c r="C1713" t="s">
        <v>152</v>
      </c>
      <c r="D1713" t="s">
        <v>9</v>
      </c>
      <c r="E1713" t="s">
        <v>215</v>
      </c>
      <c r="F1713" t="s">
        <v>9</v>
      </c>
      <c r="H1713" t="s">
        <v>10</v>
      </c>
      <c r="I1713" t="s">
        <v>217</v>
      </c>
      <c r="J1713">
        <v>11</v>
      </c>
      <c r="N1713">
        <f>Таблица1[[#This Row],[Часов на заказчика  в работе]]+Таблица1[[#This Row],[Часов на заказчика  дежурство]]</f>
        <v>0</v>
      </c>
      <c r="O17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3" s="9">
        <v>200000</v>
      </c>
      <c r="R1713" s="9"/>
      <c r="S1713" s="5">
        <v>1.2</v>
      </c>
      <c r="T17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табеле]])*S1713,0)</f>
        <v>7999.9999999999991</v>
      </c>
      <c r="U1713" s="5">
        <f>IF(Таблица1[[#This Row],[ТТН]]&gt;0,Таблица1[[#This Row],[Ставка за ТТН]]*Таблица1[[#This Row],[ТТН]],0)</f>
        <v>0</v>
      </c>
    </row>
    <row r="1714" spans="1:21" x14ac:dyDescent="0.25">
      <c r="A1714" t="s">
        <v>84</v>
      </c>
      <c r="B1714" s="24">
        <v>4</v>
      </c>
      <c r="C1714" t="s">
        <v>152</v>
      </c>
      <c r="D1714" t="s">
        <v>9</v>
      </c>
      <c r="E1714" t="s">
        <v>215</v>
      </c>
      <c r="F1714" t="s">
        <v>9</v>
      </c>
      <c r="H1714" t="s">
        <v>10</v>
      </c>
      <c r="I1714" t="s">
        <v>217</v>
      </c>
      <c r="J1714">
        <v>11</v>
      </c>
      <c r="N1714">
        <f>Таблица1[[#This Row],[Часов на заказчика  в работе]]+Таблица1[[#This Row],[Часов на заказчика  дежурство]]</f>
        <v>0</v>
      </c>
      <c r="O17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4" s="9">
        <v>200000</v>
      </c>
      <c r="R1714" s="9"/>
      <c r="S1714" s="5">
        <v>1.2</v>
      </c>
      <c r="T17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табеле]])*S1714,0)</f>
        <v>7999.9999999999991</v>
      </c>
      <c r="U1714" s="5">
        <f>IF(Таблица1[[#This Row],[ТТН]]&gt;0,Таблица1[[#This Row],[Ставка за ТТН]]*Таблица1[[#This Row],[ТТН]],0)</f>
        <v>0</v>
      </c>
    </row>
    <row r="1715" spans="1:21" x14ac:dyDescent="0.25">
      <c r="A1715" t="s">
        <v>84</v>
      </c>
      <c r="B1715" s="24">
        <v>5</v>
      </c>
      <c r="C1715" t="s">
        <v>152</v>
      </c>
      <c r="D1715" t="s">
        <v>9</v>
      </c>
      <c r="E1715" t="s">
        <v>215</v>
      </c>
      <c r="F1715" t="s">
        <v>9</v>
      </c>
      <c r="H1715" t="s">
        <v>10</v>
      </c>
      <c r="I1715" t="s">
        <v>217</v>
      </c>
      <c r="J1715">
        <v>11</v>
      </c>
      <c r="N1715">
        <f>Таблица1[[#This Row],[Часов на заказчика  в работе]]+Таблица1[[#This Row],[Часов на заказчика  дежурство]]</f>
        <v>0</v>
      </c>
      <c r="O17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5" s="9">
        <v>200000</v>
      </c>
      <c r="R1715" s="9"/>
      <c r="S1715" s="5">
        <v>1.2</v>
      </c>
      <c r="T17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табеле]])*S1715,0)</f>
        <v>7999.9999999999991</v>
      </c>
      <c r="U1715" s="5">
        <f>IF(Таблица1[[#This Row],[ТТН]]&gt;0,Таблица1[[#This Row],[Ставка за ТТН]]*Таблица1[[#This Row],[ТТН]],0)</f>
        <v>0</v>
      </c>
    </row>
    <row r="1716" spans="1:21" x14ac:dyDescent="0.25">
      <c r="A1716" t="s">
        <v>84</v>
      </c>
      <c r="B1716" s="24">
        <v>6</v>
      </c>
      <c r="C1716" t="s">
        <v>152</v>
      </c>
      <c r="D1716" t="s">
        <v>9</v>
      </c>
      <c r="E1716" t="s">
        <v>215</v>
      </c>
      <c r="F1716" t="s">
        <v>9</v>
      </c>
      <c r="H1716" t="s">
        <v>10</v>
      </c>
      <c r="I1716" t="s">
        <v>217</v>
      </c>
      <c r="J1716">
        <v>11</v>
      </c>
      <c r="N1716">
        <f>Таблица1[[#This Row],[Часов на заказчика  в работе]]+Таблица1[[#This Row],[Часов на заказчика  дежурство]]</f>
        <v>0</v>
      </c>
      <c r="O17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6" s="9">
        <v>200000</v>
      </c>
      <c r="R1716" s="9"/>
      <c r="S1716" s="5">
        <v>1.2</v>
      </c>
      <c r="T17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табеле]])*S1716,0)</f>
        <v>7999.9999999999991</v>
      </c>
      <c r="U1716" s="5">
        <f>IF(Таблица1[[#This Row],[ТТН]]&gt;0,Таблица1[[#This Row],[Ставка за ТТН]]*Таблица1[[#This Row],[ТТН]],0)</f>
        <v>0</v>
      </c>
    </row>
    <row r="1717" spans="1:21" x14ac:dyDescent="0.25">
      <c r="A1717" t="s">
        <v>84</v>
      </c>
      <c r="B1717" s="24">
        <v>7</v>
      </c>
      <c r="C1717" t="s">
        <v>152</v>
      </c>
      <c r="D1717" t="s">
        <v>9</v>
      </c>
      <c r="E1717" t="s">
        <v>215</v>
      </c>
      <c r="F1717" t="s">
        <v>9</v>
      </c>
      <c r="H1717" t="s">
        <v>10</v>
      </c>
      <c r="I1717" t="s">
        <v>217</v>
      </c>
      <c r="J1717">
        <v>11</v>
      </c>
      <c r="N1717">
        <f>Таблица1[[#This Row],[Часов на заказчика  в работе]]+Таблица1[[#This Row],[Часов на заказчика  дежурство]]</f>
        <v>0</v>
      </c>
      <c r="O17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7" s="9">
        <v>200000</v>
      </c>
      <c r="R1717" s="9"/>
      <c r="S1717" s="5">
        <v>1.2</v>
      </c>
      <c r="T17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табеле]])*S1717,0)</f>
        <v>7999.9999999999991</v>
      </c>
      <c r="U1717" s="5">
        <f>IF(Таблица1[[#This Row],[ТТН]]&gt;0,Таблица1[[#This Row],[Ставка за ТТН]]*Таблица1[[#This Row],[ТТН]],0)</f>
        <v>0</v>
      </c>
    </row>
    <row r="1718" spans="1:21" x14ac:dyDescent="0.25">
      <c r="A1718" t="s">
        <v>84</v>
      </c>
      <c r="B1718" s="24">
        <v>8</v>
      </c>
      <c r="C1718" t="s">
        <v>152</v>
      </c>
      <c r="D1718" t="s">
        <v>9</v>
      </c>
      <c r="E1718" t="s">
        <v>215</v>
      </c>
      <c r="F1718" t="s">
        <v>9</v>
      </c>
      <c r="H1718" t="s">
        <v>10</v>
      </c>
      <c r="I1718" t="s">
        <v>217</v>
      </c>
      <c r="J1718">
        <v>11</v>
      </c>
      <c r="N1718">
        <f>Таблица1[[#This Row],[Часов на заказчика  в работе]]+Таблица1[[#This Row],[Часов на заказчика  дежурство]]</f>
        <v>0</v>
      </c>
      <c r="O17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8" s="9">
        <v>200000</v>
      </c>
      <c r="R1718" s="9"/>
      <c r="S1718" s="5">
        <v>1.2</v>
      </c>
      <c r="T17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табеле]])*S1718,0)</f>
        <v>7999.9999999999991</v>
      </c>
      <c r="U1718" s="5">
        <f>IF(Таблица1[[#This Row],[ТТН]]&gt;0,Таблица1[[#This Row],[Ставка за ТТН]]*Таблица1[[#This Row],[ТТН]],0)</f>
        <v>0</v>
      </c>
    </row>
    <row r="1719" spans="1:21" x14ac:dyDescent="0.25">
      <c r="A1719" t="s">
        <v>84</v>
      </c>
      <c r="B1719" s="24">
        <v>9</v>
      </c>
      <c r="C1719" t="s">
        <v>152</v>
      </c>
      <c r="D1719" t="s">
        <v>9</v>
      </c>
      <c r="E1719" t="s">
        <v>215</v>
      </c>
      <c r="F1719" t="s">
        <v>9</v>
      </c>
      <c r="H1719" t="s">
        <v>10</v>
      </c>
      <c r="I1719" t="s">
        <v>217</v>
      </c>
      <c r="J1719">
        <v>11</v>
      </c>
      <c r="N1719">
        <f>Таблица1[[#This Row],[Часов на заказчика  в работе]]+Таблица1[[#This Row],[Часов на заказчика  дежурство]]</f>
        <v>0</v>
      </c>
      <c r="O17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19" s="9">
        <v>200000</v>
      </c>
      <c r="R1719" s="9"/>
      <c r="S1719" s="5">
        <v>1.2</v>
      </c>
      <c r="T17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табеле]])*S1719,0)</f>
        <v>7999.9999999999991</v>
      </c>
      <c r="U1719" s="5">
        <f>IF(Таблица1[[#This Row],[ТТН]]&gt;0,Таблица1[[#This Row],[Ставка за ТТН]]*Таблица1[[#This Row],[ТТН]],0)</f>
        <v>0</v>
      </c>
    </row>
    <row r="1720" spans="1:21" x14ac:dyDescent="0.25">
      <c r="A1720" t="s">
        <v>84</v>
      </c>
      <c r="B1720" s="24">
        <v>10</v>
      </c>
      <c r="C1720" t="s">
        <v>152</v>
      </c>
      <c r="D1720" t="s">
        <v>9</v>
      </c>
      <c r="E1720" t="s">
        <v>215</v>
      </c>
      <c r="F1720" t="s">
        <v>9</v>
      </c>
      <c r="H1720" t="s">
        <v>10</v>
      </c>
      <c r="I1720" t="s">
        <v>217</v>
      </c>
      <c r="J1720">
        <v>11</v>
      </c>
      <c r="N1720">
        <f>Таблица1[[#This Row],[Часов на заказчика  в работе]]+Таблица1[[#This Row],[Часов на заказчика  дежурство]]</f>
        <v>0</v>
      </c>
      <c r="O17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0" s="9">
        <v>200000</v>
      </c>
      <c r="R1720" s="9"/>
      <c r="S1720" s="5">
        <v>1.2</v>
      </c>
      <c r="T17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табеле]])*S1720,0)</f>
        <v>7999.9999999999991</v>
      </c>
      <c r="U1720" s="5">
        <f>IF(Таблица1[[#This Row],[ТТН]]&gt;0,Таблица1[[#This Row],[Ставка за ТТН]]*Таблица1[[#This Row],[ТТН]],0)</f>
        <v>0</v>
      </c>
    </row>
    <row r="1721" spans="1:21" x14ac:dyDescent="0.25">
      <c r="A1721" t="s">
        <v>84</v>
      </c>
      <c r="B1721" s="24">
        <v>11</v>
      </c>
      <c r="C1721" t="s">
        <v>152</v>
      </c>
      <c r="D1721" t="s">
        <v>9</v>
      </c>
      <c r="E1721" t="s">
        <v>215</v>
      </c>
      <c r="F1721" t="s">
        <v>9</v>
      </c>
      <c r="H1721" t="s">
        <v>10</v>
      </c>
      <c r="I1721" t="s">
        <v>217</v>
      </c>
      <c r="J1721">
        <v>11</v>
      </c>
      <c r="N1721">
        <f>Таблица1[[#This Row],[Часов на заказчика  в работе]]+Таблица1[[#This Row],[Часов на заказчика  дежурство]]</f>
        <v>0</v>
      </c>
      <c r="O17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1" s="9">
        <v>200000</v>
      </c>
      <c r="R1721" s="9"/>
      <c r="S1721" s="5">
        <v>1.2</v>
      </c>
      <c r="T17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табеле]])*S1721,0)</f>
        <v>7999.9999999999991</v>
      </c>
      <c r="U1721" s="5">
        <f>IF(Таблица1[[#This Row],[ТТН]]&gt;0,Таблица1[[#This Row],[Ставка за ТТН]]*Таблица1[[#This Row],[ТТН]],0)</f>
        <v>0</v>
      </c>
    </row>
    <row r="1722" spans="1:21" x14ac:dyDescent="0.25">
      <c r="A1722" t="s">
        <v>84</v>
      </c>
      <c r="B1722" s="24">
        <v>12</v>
      </c>
      <c r="C1722" t="s">
        <v>152</v>
      </c>
      <c r="D1722" t="s">
        <v>9</v>
      </c>
      <c r="E1722" t="s">
        <v>215</v>
      </c>
      <c r="F1722" t="s">
        <v>9</v>
      </c>
      <c r="H1722" t="s">
        <v>10</v>
      </c>
      <c r="I1722" t="s">
        <v>217</v>
      </c>
      <c r="J1722">
        <v>11</v>
      </c>
      <c r="N1722">
        <f>Таблица1[[#This Row],[Часов на заказчика  в работе]]+Таблица1[[#This Row],[Часов на заказчика  дежурство]]</f>
        <v>0</v>
      </c>
      <c r="O17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2" s="9">
        <v>200000</v>
      </c>
      <c r="R1722" s="9"/>
      <c r="S1722" s="5">
        <v>1.2</v>
      </c>
      <c r="T17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табеле]])*S1722,0)</f>
        <v>7999.9999999999991</v>
      </c>
      <c r="U1722" s="5">
        <f>IF(Таблица1[[#This Row],[ТТН]]&gt;0,Таблица1[[#This Row],[Ставка за ТТН]]*Таблица1[[#This Row],[ТТН]],0)</f>
        <v>0</v>
      </c>
    </row>
    <row r="1723" spans="1:21" x14ac:dyDescent="0.25">
      <c r="A1723" t="s">
        <v>84</v>
      </c>
      <c r="B1723" s="24">
        <v>13</v>
      </c>
      <c r="C1723" t="s">
        <v>152</v>
      </c>
      <c r="D1723" t="s">
        <v>9</v>
      </c>
      <c r="E1723" t="s">
        <v>215</v>
      </c>
      <c r="F1723" t="s">
        <v>9</v>
      </c>
      <c r="H1723" t="s">
        <v>10</v>
      </c>
      <c r="I1723" t="s">
        <v>217</v>
      </c>
      <c r="J1723">
        <v>11</v>
      </c>
      <c r="N1723">
        <f>Таблица1[[#This Row],[Часов на заказчика  в работе]]+Таблица1[[#This Row],[Часов на заказчика  дежурство]]</f>
        <v>0</v>
      </c>
      <c r="O17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3" s="9">
        <v>200000</v>
      </c>
      <c r="R1723" s="9"/>
      <c r="S1723" s="5">
        <v>1.2</v>
      </c>
      <c r="T17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табеле]])*S1723,0)</f>
        <v>7999.9999999999991</v>
      </c>
      <c r="U1723" s="5">
        <f>IF(Таблица1[[#This Row],[ТТН]]&gt;0,Таблица1[[#This Row],[Ставка за ТТН]]*Таблица1[[#This Row],[ТТН]],0)</f>
        <v>0</v>
      </c>
    </row>
    <row r="1724" spans="1:21" x14ac:dyDescent="0.25">
      <c r="A1724" t="s">
        <v>84</v>
      </c>
      <c r="B1724" s="24">
        <v>14</v>
      </c>
      <c r="C1724" t="s">
        <v>152</v>
      </c>
      <c r="D1724" t="s">
        <v>9</v>
      </c>
      <c r="E1724" t="s">
        <v>215</v>
      </c>
      <c r="F1724" t="s">
        <v>9</v>
      </c>
      <c r="H1724" t="s">
        <v>10</v>
      </c>
      <c r="I1724" t="s">
        <v>217</v>
      </c>
      <c r="J1724">
        <v>11</v>
      </c>
      <c r="N1724">
        <f>Таблица1[[#This Row],[Часов на заказчика  в работе]]+Таблица1[[#This Row],[Часов на заказчика  дежурство]]</f>
        <v>0</v>
      </c>
      <c r="O17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4" s="9">
        <v>200000</v>
      </c>
      <c r="R1724" s="9"/>
      <c r="S1724" s="5">
        <v>1.2</v>
      </c>
      <c r="T17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табеле]])*S1724,0)</f>
        <v>7999.9999999999991</v>
      </c>
      <c r="U1724" s="5">
        <f>IF(Таблица1[[#This Row],[ТТН]]&gt;0,Таблица1[[#This Row],[Ставка за ТТН]]*Таблица1[[#This Row],[ТТН]],0)</f>
        <v>0</v>
      </c>
    </row>
    <row r="1725" spans="1:21" x14ac:dyDescent="0.25">
      <c r="A1725" t="s">
        <v>84</v>
      </c>
      <c r="B1725" s="24">
        <v>15</v>
      </c>
      <c r="C1725" t="s">
        <v>152</v>
      </c>
      <c r="D1725" t="s">
        <v>9</v>
      </c>
      <c r="E1725" t="s">
        <v>215</v>
      </c>
      <c r="F1725" t="s">
        <v>9</v>
      </c>
      <c r="H1725" t="s">
        <v>10</v>
      </c>
      <c r="I1725" t="s">
        <v>217</v>
      </c>
      <c r="J1725">
        <v>11</v>
      </c>
      <c r="N1725">
        <f>Таблица1[[#This Row],[Часов на заказчика  в работе]]+Таблица1[[#This Row],[Часов на заказчика  дежурство]]</f>
        <v>0</v>
      </c>
      <c r="O17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5" s="9">
        <v>200000</v>
      </c>
      <c r="R1725" s="9"/>
      <c r="S1725" s="5">
        <v>1.2</v>
      </c>
      <c r="T17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табеле]])*S1725,0)</f>
        <v>7999.9999999999991</v>
      </c>
      <c r="U1725" s="5">
        <f>IF(Таблица1[[#This Row],[ТТН]]&gt;0,Таблица1[[#This Row],[Ставка за ТТН]]*Таблица1[[#This Row],[ТТН]],0)</f>
        <v>0</v>
      </c>
    </row>
    <row r="1726" spans="1:21" x14ac:dyDescent="0.25">
      <c r="A1726" t="s">
        <v>84</v>
      </c>
      <c r="B1726" s="24">
        <v>16</v>
      </c>
      <c r="C1726" t="s">
        <v>152</v>
      </c>
      <c r="D1726" t="s">
        <v>9</v>
      </c>
      <c r="E1726" t="s">
        <v>215</v>
      </c>
      <c r="F1726" t="s">
        <v>9</v>
      </c>
      <c r="H1726" t="s">
        <v>10</v>
      </c>
      <c r="I1726" t="s">
        <v>217</v>
      </c>
      <c r="J1726">
        <v>11</v>
      </c>
      <c r="N1726">
        <f>Таблица1[[#This Row],[Часов на заказчика  в работе]]+Таблица1[[#This Row],[Часов на заказчика  дежурство]]</f>
        <v>0</v>
      </c>
      <c r="O17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6" s="9">
        <v>200000</v>
      </c>
      <c r="R1726" s="9"/>
      <c r="S1726" s="5">
        <v>1.2</v>
      </c>
      <c r="T17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табеле]])*S1726,0)</f>
        <v>7999.9999999999991</v>
      </c>
      <c r="U1726" s="5">
        <f>IF(Таблица1[[#This Row],[ТТН]]&gt;0,Таблица1[[#This Row],[Ставка за ТТН]]*Таблица1[[#This Row],[ТТН]],0)</f>
        <v>0</v>
      </c>
    </row>
    <row r="1727" spans="1:21" x14ac:dyDescent="0.25">
      <c r="A1727" t="s">
        <v>84</v>
      </c>
      <c r="B1727" s="24">
        <v>17</v>
      </c>
      <c r="C1727" t="s">
        <v>152</v>
      </c>
      <c r="D1727" t="s">
        <v>9</v>
      </c>
      <c r="E1727" t="s">
        <v>215</v>
      </c>
      <c r="F1727" t="s">
        <v>9</v>
      </c>
      <c r="H1727" t="s">
        <v>10</v>
      </c>
      <c r="I1727" t="s">
        <v>217</v>
      </c>
      <c r="J1727">
        <v>11</v>
      </c>
      <c r="N1727">
        <f>Таблица1[[#This Row],[Часов на заказчика  в работе]]+Таблица1[[#This Row],[Часов на заказчика  дежурство]]</f>
        <v>0</v>
      </c>
      <c r="O17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7" s="9">
        <v>200000</v>
      </c>
      <c r="R1727" s="9"/>
      <c r="S1727" s="5">
        <v>1.2</v>
      </c>
      <c r="T17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табеле]])*S1727,0)</f>
        <v>7999.9999999999991</v>
      </c>
      <c r="U1727" s="5">
        <f>IF(Таблица1[[#This Row],[ТТН]]&gt;0,Таблица1[[#This Row],[Ставка за ТТН]]*Таблица1[[#This Row],[ТТН]],0)</f>
        <v>0</v>
      </c>
    </row>
    <row r="1728" spans="1:21" x14ac:dyDescent="0.25">
      <c r="A1728" t="s">
        <v>84</v>
      </c>
      <c r="B1728" s="24">
        <v>18</v>
      </c>
      <c r="C1728" t="s">
        <v>152</v>
      </c>
      <c r="D1728" t="s">
        <v>9</v>
      </c>
      <c r="E1728" t="s">
        <v>215</v>
      </c>
      <c r="F1728" t="s">
        <v>9</v>
      </c>
      <c r="H1728" t="s">
        <v>10</v>
      </c>
      <c r="I1728" t="s">
        <v>217</v>
      </c>
      <c r="J1728">
        <v>11</v>
      </c>
      <c r="N1728">
        <f>Таблица1[[#This Row],[Часов на заказчика  в работе]]+Таблица1[[#This Row],[Часов на заказчика  дежурство]]</f>
        <v>0</v>
      </c>
      <c r="O17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8" s="9">
        <v>200000</v>
      </c>
      <c r="R1728" s="9"/>
      <c r="S1728" s="5">
        <v>1.2</v>
      </c>
      <c r="T17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табеле]])*S1728,0)</f>
        <v>7999.9999999999991</v>
      </c>
      <c r="U1728" s="5">
        <f>IF(Таблица1[[#This Row],[ТТН]]&gt;0,Таблица1[[#This Row],[Ставка за ТТН]]*Таблица1[[#This Row],[ТТН]],0)</f>
        <v>0</v>
      </c>
    </row>
    <row r="1729" spans="1:21" x14ac:dyDescent="0.25">
      <c r="A1729" t="s">
        <v>84</v>
      </c>
      <c r="B1729" s="24">
        <v>19</v>
      </c>
      <c r="C1729" t="s">
        <v>152</v>
      </c>
      <c r="D1729" t="s">
        <v>9</v>
      </c>
      <c r="E1729" t="s">
        <v>215</v>
      </c>
      <c r="F1729" t="s">
        <v>9</v>
      </c>
      <c r="H1729" t="s">
        <v>10</v>
      </c>
      <c r="I1729" t="s">
        <v>217</v>
      </c>
      <c r="J1729">
        <v>11</v>
      </c>
      <c r="N1729">
        <f>Таблица1[[#This Row],[Часов на заказчика  в работе]]+Таблица1[[#This Row],[Часов на заказчика  дежурство]]</f>
        <v>0</v>
      </c>
      <c r="O17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29" s="9">
        <v>200000</v>
      </c>
      <c r="R1729" s="9"/>
      <c r="S1729" s="5">
        <v>1.2</v>
      </c>
      <c r="T17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табеле]])*S1729,0)</f>
        <v>7999.9999999999991</v>
      </c>
      <c r="U1729" s="5">
        <f>IF(Таблица1[[#This Row],[ТТН]]&gt;0,Таблица1[[#This Row],[Ставка за ТТН]]*Таблица1[[#This Row],[ТТН]],0)</f>
        <v>0</v>
      </c>
    </row>
    <row r="1730" spans="1:21" x14ac:dyDescent="0.25">
      <c r="A1730" t="s">
        <v>84</v>
      </c>
      <c r="B1730" s="24">
        <v>20</v>
      </c>
      <c r="C1730" t="s">
        <v>152</v>
      </c>
      <c r="D1730" t="s">
        <v>9</v>
      </c>
      <c r="E1730" t="s">
        <v>215</v>
      </c>
      <c r="F1730" t="s">
        <v>9</v>
      </c>
      <c r="H1730" t="s">
        <v>10</v>
      </c>
      <c r="I1730" t="s">
        <v>217</v>
      </c>
      <c r="J1730">
        <v>11</v>
      </c>
      <c r="N1730">
        <f>Таблица1[[#This Row],[Часов на заказчика  в работе]]+Таблица1[[#This Row],[Часов на заказчика  дежурство]]</f>
        <v>0</v>
      </c>
      <c r="O17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0" s="9">
        <v>200000</v>
      </c>
      <c r="R1730" s="9"/>
      <c r="S1730" s="5">
        <v>1.2</v>
      </c>
      <c r="T17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табеле]])*S1730,0)</f>
        <v>7999.9999999999991</v>
      </c>
      <c r="U1730" s="5">
        <f>IF(Таблица1[[#This Row],[ТТН]]&gt;0,Таблица1[[#This Row],[Ставка за ТТН]]*Таблица1[[#This Row],[ТТН]],0)</f>
        <v>0</v>
      </c>
    </row>
    <row r="1731" spans="1:21" x14ac:dyDescent="0.25">
      <c r="A1731" t="s">
        <v>84</v>
      </c>
      <c r="B1731" s="24">
        <v>21</v>
      </c>
      <c r="C1731" t="s">
        <v>152</v>
      </c>
      <c r="D1731" t="s">
        <v>9</v>
      </c>
      <c r="E1731" t="s">
        <v>215</v>
      </c>
      <c r="F1731" t="s">
        <v>9</v>
      </c>
      <c r="H1731" t="s">
        <v>10</v>
      </c>
      <c r="I1731" t="s">
        <v>217</v>
      </c>
      <c r="J1731">
        <v>11</v>
      </c>
      <c r="N1731">
        <f>Таблица1[[#This Row],[Часов на заказчика  в работе]]+Таблица1[[#This Row],[Часов на заказчика  дежурство]]</f>
        <v>0</v>
      </c>
      <c r="O17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1" s="9">
        <v>200000</v>
      </c>
      <c r="R1731" s="9"/>
      <c r="S1731" s="5">
        <v>1.2</v>
      </c>
      <c r="T17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табеле]])*S1731,0)</f>
        <v>7999.9999999999991</v>
      </c>
      <c r="U1731" s="5">
        <f>IF(Таблица1[[#This Row],[ТТН]]&gt;0,Таблица1[[#This Row],[Ставка за ТТН]]*Таблица1[[#This Row],[ТТН]],0)</f>
        <v>0</v>
      </c>
    </row>
    <row r="1732" spans="1:21" x14ac:dyDescent="0.25">
      <c r="A1732" t="s">
        <v>84</v>
      </c>
      <c r="B1732" s="24">
        <v>22</v>
      </c>
      <c r="C1732" t="s">
        <v>152</v>
      </c>
      <c r="D1732" t="s">
        <v>9</v>
      </c>
      <c r="E1732" t="s">
        <v>215</v>
      </c>
      <c r="F1732" t="s">
        <v>9</v>
      </c>
      <c r="H1732" t="s">
        <v>10</v>
      </c>
      <c r="I1732" t="s">
        <v>217</v>
      </c>
      <c r="J1732">
        <v>11</v>
      </c>
      <c r="N1732">
        <f>Таблица1[[#This Row],[Часов на заказчика  в работе]]+Таблица1[[#This Row],[Часов на заказчика  дежурство]]</f>
        <v>0</v>
      </c>
      <c r="O17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2" s="9">
        <v>200000</v>
      </c>
      <c r="R1732" s="9"/>
      <c r="S1732" s="5">
        <v>1.2</v>
      </c>
      <c r="T17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табеле]])*S1732,0)</f>
        <v>7999.9999999999991</v>
      </c>
      <c r="U1732" s="5">
        <f>IF(Таблица1[[#This Row],[ТТН]]&gt;0,Таблица1[[#This Row],[Ставка за ТТН]]*Таблица1[[#This Row],[ТТН]],0)</f>
        <v>0</v>
      </c>
    </row>
    <row r="1733" spans="1:21" x14ac:dyDescent="0.25">
      <c r="A1733" t="s">
        <v>84</v>
      </c>
      <c r="B1733" s="24">
        <v>23</v>
      </c>
      <c r="C1733" t="s">
        <v>152</v>
      </c>
      <c r="D1733" t="s">
        <v>9</v>
      </c>
      <c r="E1733" t="s">
        <v>215</v>
      </c>
      <c r="F1733" t="s">
        <v>9</v>
      </c>
      <c r="H1733" t="s">
        <v>10</v>
      </c>
      <c r="I1733" t="s">
        <v>217</v>
      </c>
      <c r="J1733">
        <v>11</v>
      </c>
      <c r="N1733">
        <f>Таблица1[[#This Row],[Часов на заказчика  в работе]]+Таблица1[[#This Row],[Часов на заказчика  дежурство]]</f>
        <v>0</v>
      </c>
      <c r="O17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3" s="9">
        <v>200000</v>
      </c>
      <c r="R1733" s="9"/>
      <c r="S1733" s="5">
        <v>1.2</v>
      </c>
      <c r="T17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табеле]])*S1733,0)</f>
        <v>7999.9999999999991</v>
      </c>
      <c r="U1733" s="5">
        <f>IF(Таблица1[[#This Row],[ТТН]]&gt;0,Таблица1[[#This Row],[Ставка за ТТН]]*Таблица1[[#This Row],[ТТН]],0)</f>
        <v>0</v>
      </c>
    </row>
    <row r="1734" spans="1:21" x14ac:dyDescent="0.25">
      <c r="A1734" t="s">
        <v>84</v>
      </c>
      <c r="B1734" s="24">
        <v>24</v>
      </c>
      <c r="C1734" t="s">
        <v>152</v>
      </c>
      <c r="D1734" t="s">
        <v>9</v>
      </c>
      <c r="E1734" t="s">
        <v>215</v>
      </c>
      <c r="F1734" t="s">
        <v>9</v>
      </c>
      <c r="H1734" t="s">
        <v>10</v>
      </c>
      <c r="I1734" t="s">
        <v>217</v>
      </c>
      <c r="J1734">
        <v>11</v>
      </c>
      <c r="N1734">
        <f>Таблица1[[#This Row],[Часов на заказчика  в работе]]+Таблица1[[#This Row],[Часов на заказчика  дежурство]]</f>
        <v>0</v>
      </c>
      <c r="O17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4" s="9">
        <v>200000</v>
      </c>
      <c r="R1734" s="9"/>
      <c r="S1734" s="5">
        <v>1.2</v>
      </c>
      <c r="T17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табеле]])*S1734,0)</f>
        <v>7999.9999999999991</v>
      </c>
      <c r="U1734" s="5">
        <f>IF(Таблица1[[#This Row],[ТТН]]&gt;0,Таблица1[[#This Row],[Ставка за ТТН]]*Таблица1[[#This Row],[ТТН]],0)</f>
        <v>0</v>
      </c>
    </row>
    <row r="1735" spans="1:21" x14ac:dyDescent="0.25">
      <c r="A1735" t="s">
        <v>84</v>
      </c>
      <c r="B1735" s="24">
        <v>25</v>
      </c>
      <c r="C1735" t="s">
        <v>152</v>
      </c>
      <c r="D1735" t="s">
        <v>9</v>
      </c>
      <c r="E1735" t="s">
        <v>215</v>
      </c>
      <c r="F1735" t="s">
        <v>9</v>
      </c>
      <c r="H1735" t="s">
        <v>10</v>
      </c>
      <c r="I1735" t="s">
        <v>217</v>
      </c>
      <c r="J1735">
        <v>11</v>
      </c>
      <c r="N1735">
        <f>Таблица1[[#This Row],[Часов на заказчика  в работе]]+Таблица1[[#This Row],[Часов на заказчика  дежурство]]</f>
        <v>0</v>
      </c>
      <c r="O17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5" s="9">
        <v>200000</v>
      </c>
      <c r="R1735" s="9"/>
      <c r="S1735" s="5">
        <v>1.2</v>
      </c>
      <c r="T17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табеле]])*S1735,0)</f>
        <v>7999.9999999999991</v>
      </c>
      <c r="U1735" s="5">
        <f>IF(Таблица1[[#This Row],[ТТН]]&gt;0,Таблица1[[#This Row],[Ставка за ТТН]]*Таблица1[[#This Row],[ТТН]],0)</f>
        <v>0</v>
      </c>
    </row>
    <row r="1736" spans="1:21" x14ac:dyDescent="0.25">
      <c r="A1736" t="s">
        <v>84</v>
      </c>
      <c r="B1736" s="24">
        <v>26</v>
      </c>
      <c r="C1736" t="s">
        <v>152</v>
      </c>
      <c r="D1736" t="s">
        <v>9</v>
      </c>
      <c r="E1736" t="s">
        <v>215</v>
      </c>
      <c r="F1736" t="s">
        <v>9</v>
      </c>
      <c r="H1736" t="s">
        <v>10</v>
      </c>
      <c r="I1736" t="s">
        <v>217</v>
      </c>
      <c r="J1736">
        <v>11</v>
      </c>
      <c r="N1736">
        <f>Таблица1[[#This Row],[Часов на заказчика  в работе]]+Таблица1[[#This Row],[Часов на заказчика  дежурство]]</f>
        <v>0</v>
      </c>
      <c r="O17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6" s="9">
        <v>200000</v>
      </c>
      <c r="R1736" s="9"/>
      <c r="S1736" s="5">
        <v>1.2</v>
      </c>
      <c r="T17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табеле]])*S1736,0)</f>
        <v>7999.9999999999991</v>
      </c>
      <c r="U1736" s="5">
        <f>IF(Таблица1[[#This Row],[ТТН]]&gt;0,Таблица1[[#This Row],[Ставка за ТТН]]*Таблица1[[#This Row],[ТТН]],0)</f>
        <v>0</v>
      </c>
    </row>
    <row r="1737" spans="1:21" x14ac:dyDescent="0.25">
      <c r="A1737" t="s">
        <v>84</v>
      </c>
      <c r="B1737" s="24">
        <v>27</v>
      </c>
      <c r="C1737" t="s">
        <v>152</v>
      </c>
      <c r="D1737" t="s">
        <v>9</v>
      </c>
      <c r="E1737" t="s">
        <v>215</v>
      </c>
      <c r="F1737" t="s">
        <v>9</v>
      </c>
      <c r="H1737" t="s">
        <v>10</v>
      </c>
      <c r="I1737" t="s">
        <v>217</v>
      </c>
      <c r="J1737">
        <v>11</v>
      </c>
      <c r="N1737">
        <f>Таблица1[[#This Row],[Часов на заказчика  в работе]]+Таблица1[[#This Row],[Часов на заказчика  дежурство]]</f>
        <v>0</v>
      </c>
      <c r="O17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7" s="9">
        <v>200000</v>
      </c>
      <c r="R1737" s="9"/>
      <c r="S1737" s="5">
        <v>1.2</v>
      </c>
      <c r="T17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табеле]])*S1737,0)</f>
        <v>7999.9999999999991</v>
      </c>
      <c r="U1737" s="5">
        <f>IF(Таблица1[[#This Row],[ТТН]]&gt;0,Таблица1[[#This Row],[Ставка за ТТН]]*Таблица1[[#This Row],[ТТН]],0)</f>
        <v>0</v>
      </c>
    </row>
    <row r="1738" spans="1:21" x14ac:dyDescent="0.25">
      <c r="A1738" t="s">
        <v>84</v>
      </c>
      <c r="B1738" s="24">
        <v>28</v>
      </c>
      <c r="C1738" t="s">
        <v>152</v>
      </c>
      <c r="D1738" t="s">
        <v>9</v>
      </c>
      <c r="E1738" t="s">
        <v>215</v>
      </c>
      <c r="F1738" t="s">
        <v>9</v>
      </c>
      <c r="H1738" t="s">
        <v>24</v>
      </c>
      <c r="I1738" t="s">
        <v>217</v>
      </c>
      <c r="J1738">
        <v>8</v>
      </c>
      <c r="N1738">
        <f>Таблица1[[#This Row],[Часов на заказчика  в работе]]+Таблица1[[#This Row],[Часов на заказчика  дежурство]]</f>
        <v>0</v>
      </c>
      <c r="O17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8" s="9">
        <v>200000</v>
      </c>
      <c r="R1738" s="9"/>
      <c r="S1738" s="5">
        <v>1</v>
      </c>
      <c r="T17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табеле]])*S1738,0)</f>
        <v>0</v>
      </c>
      <c r="U1738" s="5">
        <f>IF(Таблица1[[#This Row],[ТТН]]&gt;0,Таблица1[[#This Row],[Ставка за ТТН]]*Таблица1[[#This Row],[ТТН]],0)</f>
        <v>0</v>
      </c>
    </row>
    <row r="1739" spans="1:21" x14ac:dyDescent="0.25">
      <c r="A1739" t="s">
        <v>84</v>
      </c>
      <c r="B1739" s="24">
        <v>29</v>
      </c>
      <c r="C1739" t="s">
        <v>152</v>
      </c>
      <c r="D1739" t="s">
        <v>9</v>
      </c>
      <c r="E1739" t="s">
        <v>215</v>
      </c>
      <c r="F1739" t="s">
        <v>9</v>
      </c>
      <c r="H1739" t="s">
        <v>24</v>
      </c>
      <c r="I1739" t="s">
        <v>217</v>
      </c>
      <c r="J1739">
        <v>8</v>
      </c>
      <c r="N1739">
        <f>Таблица1[[#This Row],[Часов на заказчика  в работе]]+Таблица1[[#This Row],[Часов на заказчика  дежурство]]</f>
        <v>0</v>
      </c>
      <c r="O17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39" s="9">
        <v>200000</v>
      </c>
      <c r="R1739" s="9"/>
      <c r="S1739" s="5">
        <v>1</v>
      </c>
      <c r="T17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табеле]])*S1739,0)</f>
        <v>0</v>
      </c>
      <c r="U1739" s="5">
        <f>IF(Таблица1[[#This Row],[ТТН]]&gt;0,Таблица1[[#This Row],[Ставка за ТТН]]*Таблица1[[#This Row],[ТТН]],0)</f>
        <v>0</v>
      </c>
    </row>
    <row r="1740" spans="1:21" x14ac:dyDescent="0.25">
      <c r="A1740" t="s">
        <v>84</v>
      </c>
      <c r="B1740" s="24">
        <v>30</v>
      </c>
      <c r="C1740" t="s">
        <v>153</v>
      </c>
      <c r="D1740" t="s">
        <v>9</v>
      </c>
      <c r="E1740" t="s">
        <v>215</v>
      </c>
      <c r="F1740" t="s">
        <v>9</v>
      </c>
      <c r="H1740" t="s">
        <v>24</v>
      </c>
      <c r="I1740" t="s">
        <v>217</v>
      </c>
      <c r="J1740">
        <v>8</v>
      </c>
      <c r="N1740">
        <f>Таблица1[[#This Row],[Часов на заказчика  в работе]]+Таблица1[[#This Row],[Часов на заказчика  дежурство]]</f>
        <v>0</v>
      </c>
      <c r="O17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0" s="9">
        <v>200000</v>
      </c>
      <c r="R1740" s="9"/>
      <c r="S1740" s="5">
        <v>1</v>
      </c>
      <c r="T17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табеле]])*S1740,0)</f>
        <v>0</v>
      </c>
      <c r="U1740" s="5">
        <f>IF(Таблица1[[#This Row],[ТТН]]&gt;0,Таблица1[[#This Row],[Ставка за ТТН]]*Таблица1[[#This Row],[ТТН]],0)</f>
        <v>0</v>
      </c>
    </row>
    <row r="1741" spans="1:21" x14ac:dyDescent="0.25">
      <c r="A1741" t="s">
        <v>84</v>
      </c>
      <c r="B1741" s="24">
        <v>1</v>
      </c>
      <c r="C1741" t="s">
        <v>153</v>
      </c>
      <c r="D1741" t="s">
        <v>32</v>
      </c>
      <c r="E1741" t="s">
        <v>215</v>
      </c>
      <c r="F1741" t="s">
        <v>31</v>
      </c>
      <c r="H1741" t="s">
        <v>10</v>
      </c>
      <c r="I1741" t="s">
        <v>219</v>
      </c>
      <c r="J1741">
        <v>22</v>
      </c>
      <c r="L1741">
        <v>22</v>
      </c>
      <c r="N1741">
        <f>Таблица1[[#This Row],[Часов на заказчика  в работе]]+Таблица1[[#This Row],[Часов на заказчика  дежурство]]</f>
        <v>22</v>
      </c>
      <c r="O17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1" s="9">
        <v>200000</v>
      </c>
      <c r="R1741" s="9"/>
      <c r="S1741" s="5">
        <v>1</v>
      </c>
      <c r="T17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табеле]])*S1741,0)</f>
        <v>13333.333333333332</v>
      </c>
      <c r="U1741" s="5">
        <f>IF(Таблица1[[#This Row],[ТТН]]&gt;0,Таблица1[[#This Row],[Ставка за ТТН]]*Таблица1[[#This Row],[ТТН]],0)</f>
        <v>0</v>
      </c>
    </row>
    <row r="1742" spans="1:21" x14ac:dyDescent="0.25">
      <c r="A1742" t="s">
        <v>84</v>
      </c>
      <c r="B1742" s="24">
        <v>2</v>
      </c>
      <c r="C1742" t="s">
        <v>153</v>
      </c>
      <c r="D1742" t="s">
        <v>32</v>
      </c>
      <c r="E1742" t="s">
        <v>215</v>
      </c>
      <c r="F1742" t="s">
        <v>31</v>
      </c>
      <c r="H1742" t="s">
        <v>10</v>
      </c>
      <c r="I1742" t="s">
        <v>219</v>
      </c>
      <c r="J1742">
        <v>11</v>
      </c>
      <c r="L1742">
        <v>11</v>
      </c>
      <c r="N1742">
        <f>Таблица1[[#This Row],[Часов на заказчика  в работе]]+Таблица1[[#This Row],[Часов на заказчика  дежурство]]</f>
        <v>11</v>
      </c>
      <c r="O17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2" s="9">
        <v>200000</v>
      </c>
      <c r="R1742" s="9"/>
      <c r="S1742" s="5">
        <v>1</v>
      </c>
      <c r="T17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табеле]])*S1742,0)</f>
        <v>6666.6666666666661</v>
      </c>
      <c r="U1742" s="5">
        <f>IF(Таблица1[[#This Row],[ТТН]]&gt;0,Таблица1[[#This Row],[Ставка за ТТН]]*Таблица1[[#This Row],[ТТН]],0)</f>
        <v>0</v>
      </c>
    </row>
    <row r="1743" spans="1:21" x14ac:dyDescent="0.25">
      <c r="A1743" t="s">
        <v>84</v>
      </c>
      <c r="B1743" s="24">
        <v>3</v>
      </c>
      <c r="C1743" t="s">
        <v>153</v>
      </c>
      <c r="D1743" t="s">
        <v>32</v>
      </c>
      <c r="E1743" t="s">
        <v>215</v>
      </c>
      <c r="F1743" t="s">
        <v>31</v>
      </c>
      <c r="H1743" t="s">
        <v>10</v>
      </c>
      <c r="I1743" t="s">
        <v>219</v>
      </c>
      <c r="J1743">
        <v>11</v>
      </c>
      <c r="L1743">
        <v>11</v>
      </c>
      <c r="N1743">
        <f>Таблица1[[#This Row],[Часов на заказчика  в работе]]+Таблица1[[#This Row],[Часов на заказчика  дежурство]]</f>
        <v>11</v>
      </c>
      <c r="O17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3" s="9">
        <v>200000</v>
      </c>
      <c r="R1743" s="9"/>
      <c r="S1743" s="5">
        <v>1</v>
      </c>
      <c r="T17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табеле]])*S1743,0)</f>
        <v>6666.6666666666661</v>
      </c>
      <c r="U1743" s="5">
        <f>IF(Таблица1[[#This Row],[ТТН]]&gt;0,Таблица1[[#This Row],[Ставка за ТТН]]*Таблица1[[#This Row],[ТТН]],0)</f>
        <v>0</v>
      </c>
    </row>
    <row r="1744" spans="1:21" x14ac:dyDescent="0.25">
      <c r="A1744" t="s">
        <v>84</v>
      </c>
      <c r="B1744" s="24">
        <v>4</v>
      </c>
      <c r="C1744" t="s">
        <v>153</v>
      </c>
      <c r="D1744" t="s">
        <v>32</v>
      </c>
      <c r="E1744" t="s">
        <v>215</v>
      </c>
      <c r="F1744" t="s">
        <v>31</v>
      </c>
      <c r="H1744" t="s">
        <v>10</v>
      </c>
      <c r="I1744" t="s">
        <v>219</v>
      </c>
      <c r="J1744">
        <v>11</v>
      </c>
      <c r="L1744">
        <v>11</v>
      </c>
      <c r="N1744">
        <f>Таблица1[[#This Row],[Часов на заказчика  в работе]]+Таблица1[[#This Row],[Часов на заказчика  дежурство]]</f>
        <v>11</v>
      </c>
      <c r="O17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4" s="9">
        <v>200000</v>
      </c>
      <c r="R1744" s="9"/>
      <c r="S1744" s="5">
        <v>1</v>
      </c>
      <c r="T17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табеле]])*S1744,0)</f>
        <v>6666.6666666666661</v>
      </c>
      <c r="U1744" s="5">
        <f>IF(Таблица1[[#This Row],[ТТН]]&gt;0,Таблица1[[#This Row],[Ставка за ТТН]]*Таблица1[[#This Row],[ТТН]],0)</f>
        <v>0</v>
      </c>
    </row>
    <row r="1745" spans="1:21" x14ac:dyDescent="0.25">
      <c r="A1745" t="s">
        <v>84</v>
      </c>
      <c r="B1745" s="24">
        <v>5</v>
      </c>
      <c r="C1745" t="s">
        <v>153</v>
      </c>
      <c r="D1745" t="s">
        <v>32</v>
      </c>
      <c r="E1745" t="s">
        <v>215</v>
      </c>
      <c r="F1745" t="s">
        <v>31</v>
      </c>
      <c r="H1745" t="s">
        <v>70</v>
      </c>
      <c r="I1745" t="s">
        <v>219</v>
      </c>
      <c r="J1745">
        <v>11</v>
      </c>
      <c r="L1745">
        <v>11</v>
      </c>
      <c r="N1745">
        <f>Таблица1[[#This Row],[Часов на заказчика  в работе]]+Таблица1[[#This Row],[Часов на заказчика  дежурство]]</f>
        <v>11</v>
      </c>
      <c r="O17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5" s="9">
        <v>200000</v>
      </c>
      <c r="R1745" s="9"/>
      <c r="S1745" s="5">
        <v>1</v>
      </c>
      <c r="T17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табеле]])*S1745,0)</f>
        <v>6666.6666666666661</v>
      </c>
      <c r="U1745" s="5">
        <f>IF(Таблица1[[#This Row],[ТТН]]&gt;0,Таблица1[[#This Row],[Ставка за ТТН]]*Таблица1[[#This Row],[ТТН]],0)</f>
        <v>0</v>
      </c>
    </row>
    <row r="1746" spans="1:21" x14ac:dyDescent="0.25">
      <c r="A1746" t="s">
        <v>84</v>
      </c>
      <c r="B1746" s="24">
        <v>6</v>
      </c>
      <c r="C1746" t="s">
        <v>153</v>
      </c>
      <c r="D1746" t="s">
        <v>32</v>
      </c>
      <c r="E1746" t="s">
        <v>215</v>
      </c>
      <c r="F1746" t="s">
        <v>31</v>
      </c>
      <c r="H1746" t="s">
        <v>10</v>
      </c>
      <c r="I1746" t="s">
        <v>219</v>
      </c>
      <c r="J1746">
        <v>11</v>
      </c>
      <c r="L1746">
        <v>11</v>
      </c>
      <c r="N1746">
        <f>Таблица1[[#This Row],[Часов на заказчика  в работе]]+Таблица1[[#This Row],[Часов на заказчика  дежурство]]</f>
        <v>11</v>
      </c>
      <c r="O17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6" s="9">
        <v>200000</v>
      </c>
      <c r="R1746" s="9"/>
      <c r="S1746" s="5">
        <v>1</v>
      </c>
      <c r="T17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табеле]])*S1746,0)</f>
        <v>6666.6666666666661</v>
      </c>
      <c r="U1746" s="5">
        <f>IF(Таблица1[[#This Row],[ТТН]]&gt;0,Таблица1[[#This Row],[Ставка за ТТН]]*Таблица1[[#This Row],[ТТН]],0)</f>
        <v>0</v>
      </c>
    </row>
    <row r="1747" spans="1:21" x14ac:dyDescent="0.25">
      <c r="A1747" t="s">
        <v>84</v>
      </c>
      <c r="B1747" s="24">
        <v>7</v>
      </c>
      <c r="C1747" t="s">
        <v>153</v>
      </c>
      <c r="D1747" t="s">
        <v>32</v>
      </c>
      <c r="E1747" t="s">
        <v>215</v>
      </c>
      <c r="F1747" t="s">
        <v>31</v>
      </c>
      <c r="H1747" t="s">
        <v>10</v>
      </c>
      <c r="I1747" t="s">
        <v>219</v>
      </c>
      <c r="J1747">
        <v>11</v>
      </c>
      <c r="L1747">
        <v>11</v>
      </c>
      <c r="N1747">
        <f>Таблица1[[#This Row],[Часов на заказчика  в работе]]+Таблица1[[#This Row],[Часов на заказчика  дежурство]]</f>
        <v>11</v>
      </c>
      <c r="O17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7" s="9">
        <v>200000</v>
      </c>
      <c r="R1747" s="9"/>
      <c r="S1747" s="5">
        <v>1</v>
      </c>
      <c r="T17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табеле]])*S1747,0)</f>
        <v>6666.6666666666661</v>
      </c>
      <c r="U1747" s="5">
        <f>IF(Таблица1[[#This Row],[ТТН]]&gt;0,Таблица1[[#This Row],[Ставка за ТТН]]*Таблица1[[#This Row],[ТТН]],0)</f>
        <v>0</v>
      </c>
    </row>
    <row r="1748" spans="1:21" x14ac:dyDescent="0.25">
      <c r="A1748" t="s">
        <v>84</v>
      </c>
      <c r="B1748" s="24">
        <v>8</v>
      </c>
      <c r="C1748" t="s">
        <v>153</v>
      </c>
      <c r="D1748" t="s">
        <v>32</v>
      </c>
      <c r="E1748" t="s">
        <v>215</v>
      </c>
      <c r="F1748" t="s">
        <v>31</v>
      </c>
      <c r="H1748" t="s">
        <v>10</v>
      </c>
      <c r="I1748" t="s">
        <v>219</v>
      </c>
      <c r="J1748">
        <v>11</v>
      </c>
      <c r="L1748">
        <v>11</v>
      </c>
      <c r="N1748">
        <f>Таблица1[[#This Row],[Часов на заказчика  в работе]]+Таблица1[[#This Row],[Часов на заказчика  дежурство]]</f>
        <v>11</v>
      </c>
      <c r="O17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8" s="9">
        <v>200000</v>
      </c>
      <c r="R1748" s="9"/>
      <c r="S1748" s="5">
        <v>1</v>
      </c>
      <c r="T17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табеле]])*S1748,0)</f>
        <v>6666.6666666666661</v>
      </c>
      <c r="U1748" s="5">
        <f>IF(Таблица1[[#This Row],[ТТН]]&gt;0,Таблица1[[#This Row],[Ставка за ТТН]]*Таблица1[[#This Row],[ТТН]],0)</f>
        <v>0</v>
      </c>
    </row>
    <row r="1749" spans="1:21" x14ac:dyDescent="0.25">
      <c r="A1749" t="s">
        <v>84</v>
      </c>
      <c r="B1749" s="24">
        <v>9</v>
      </c>
      <c r="C1749" t="s">
        <v>153</v>
      </c>
      <c r="D1749" t="s">
        <v>32</v>
      </c>
      <c r="E1749" t="s">
        <v>215</v>
      </c>
      <c r="F1749" t="s">
        <v>31</v>
      </c>
      <c r="H1749" t="s">
        <v>10</v>
      </c>
      <c r="I1749" t="s">
        <v>219</v>
      </c>
      <c r="J1749">
        <v>11</v>
      </c>
      <c r="L1749">
        <v>11</v>
      </c>
      <c r="N1749">
        <f>Таблица1[[#This Row],[Часов на заказчика  в работе]]+Таблица1[[#This Row],[Часов на заказчика  дежурство]]</f>
        <v>11</v>
      </c>
      <c r="O17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49" s="9">
        <v>200000</v>
      </c>
      <c r="R1749" s="9"/>
      <c r="S1749" s="5">
        <v>1</v>
      </c>
      <c r="T17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табеле]])*S1749,0)</f>
        <v>6666.6666666666661</v>
      </c>
      <c r="U1749" s="5">
        <f>IF(Таблица1[[#This Row],[ТТН]]&gt;0,Таблица1[[#This Row],[Ставка за ТТН]]*Таблица1[[#This Row],[ТТН]],0)</f>
        <v>0</v>
      </c>
    </row>
    <row r="1750" spans="1:21" x14ac:dyDescent="0.25">
      <c r="A1750" t="s">
        <v>84</v>
      </c>
      <c r="B1750" s="24">
        <v>10</v>
      </c>
      <c r="C1750" t="s">
        <v>153</v>
      </c>
      <c r="D1750" t="s">
        <v>32</v>
      </c>
      <c r="E1750" t="s">
        <v>215</v>
      </c>
      <c r="F1750" t="s">
        <v>31</v>
      </c>
      <c r="H1750" t="s">
        <v>70</v>
      </c>
      <c r="I1750" t="s">
        <v>219</v>
      </c>
      <c r="J1750">
        <v>22</v>
      </c>
      <c r="L1750">
        <v>22</v>
      </c>
      <c r="N1750">
        <f>Таблица1[[#This Row],[Часов на заказчика  в работе]]+Таблица1[[#This Row],[Часов на заказчика  дежурство]]</f>
        <v>22</v>
      </c>
      <c r="O17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0" s="9">
        <v>200000</v>
      </c>
      <c r="R1750" s="9"/>
      <c r="S1750" s="5">
        <v>1</v>
      </c>
      <c r="T17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табеле]])*S1750,0)</f>
        <v>13333.333333333332</v>
      </c>
      <c r="U1750" s="5">
        <f>IF(Таблица1[[#This Row],[ТТН]]&gt;0,Таблица1[[#This Row],[Ставка за ТТН]]*Таблица1[[#This Row],[ТТН]],0)</f>
        <v>0</v>
      </c>
    </row>
    <row r="1751" spans="1:21" x14ac:dyDescent="0.25">
      <c r="A1751" t="s">
        <v>84</v>
      </c>
      <c r="B1751" s="24">
        <v>11</v>
      </c>
      <c r="C1751" t="s">
        <v>153</v>
      </c>
      <c r="D1751" t="s">
        <v>32</v>
      </c>
      <c r="E1751" t="s">
        <v>215</v>
      </c>
      <c r="F1751" t="s">
        <v>31</v>
      </c>
      <c r="H1751" t="s">
        <v>10</v>
      </c>
      <c r="I1751" t="s">
        <v>219</v>
      </c>
      <c r="J1751">
        <v>6</v>
      </c>
      <c r="L1751">
        <v>6</v>
      </c>
      <c r="N1751">
        <f>Таблица1[[#This Row],[Часов на заказчика  в работе]]+Таблица1[[#This Row],[Часов на заказчика  дежурство]]</f>
        <v>6</v>
      </c>
      <c r="O17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1" s="9">
        <v>200000</v>
      </c>
      <c r="R1751" s="9"/>
      <c r="S1751" s="5">
        <v>1</v>
      </c>
      <c r="T17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табеле]])*S1751,0)</f>
        <v>3636.363636363636</v>
      </c>
      <c r="U1751" s="5">
        <f>IF(Таблица1[[#This Row],[ТТН]]&gt;0,Таблица1[[#This Row],[Ставка за ТТН]]*Таблица1[[#This Row],[ТТН]],0)</f>
        <v>0</v>
      </c>
    </row>
    <row r="1752" spans="1:21" x14ac:dyDescent="0.25">
      <c r="A1752" t="s">
        <v>84</v>
      </c>
      <c r="B1752" s="24">
        <v>11</v>
      </c>
      <c r="C1752" t="s">
        <v>153</v>
      </c>
      <c r="D1752" t="s">
        <v>32</v>
      </c>
      <c r="E1752" t="s">
        <v>215</v>
      </c>
      <c r="F1752" t="s">
        <v>31</v>
      </c>
      <c r="H1752" t="s">
        <v>70</v>
      </c>
      <c r="I1752" t="s">
        <v>219</v>
      </c>
      <c r="J1752">
        <v>5</v>
      </c>
      <c r="L1752">
        <v>5</v>
      </c>
      <c r="N1752">
        <f>Таблица1[[#This Row],[Часов на заказчика  в работе]]+Таблица1[[#This Row],[Часов на заказчика  дежурство]]</f>
        <v>5</v>
      </c>
      <c r="O17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2" s="9">
        <v>200000</v>
      </c>
      <c r="R1752" s="9"/>
      <c r="S1752" s="5">
        <v>1</v>
      </c>
      <c r="T17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табеле]])*S1752,0)</f>
        <v>3030.30303030303</v>
      </c>
      <c r="U1752" s="5">
        <f>IF(Таблица1[[#This Row],[ТТН]]&gt;0,Таблица1[[#This Row],[Ставка за ТТН]]*Таблица1[[#This Row],[ТТН]],0)</f>
        <v>0</v>
      </c>
    </row>
    <row r="1753" spans="1:21" x14ac:dyDescent="0.25">
      <c r="A1753" t="s">
        <v>84</v>
      </c>
      <c r="B1753" s="24">
        <v>12</v>
      </c>
      <c r="C1753" t="s">
        <v>153</v>
      </c>
      <c r="D1753" t="s">
        <v>32</v>
      </c>
      <c r="E1753" t="s">
        <v>215</v>
      </c>
      <c r="F1753" t="s">
        <v>31</v>
      </c>
      <c r="H1753" t="s">
        <v>10</v>
      </c>
      <c r="I1753" t="s">
        <v>219</v>
      </c>
      <c r="J1753">
        <v>6</v>
      </c>
      <c r="L1753">
        <v>6</v>
      </c>
      <c r="N1753">
        <f>Таблица1[[#This Row],[Часов на заказчика  в работе]]+Таблица1[[#This Row],[Часов на заказчика  дежурство]]</f>
        <v>6</v>
      </c>
      <c r="O17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3" s="9">
        <v>200000</v>
      </c>
      <c r="R1753" s="9"/>
      <c r="S1753" s="5">
        <v>1</v>
      </c>
      <c r="T17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табеле]])*S1753,0)</f>
        <v>3636.363636363636</v>
      </c>
      <c r="U1753" s="5">
        <f>IF(Таблица1[[#This Row],[ТТН]]&gt;0,Таблица1[[#This Row],[Ставка за ТТН]]*Таблица1[[#This Row],[ТТН]],0)</f>
        <v>0</v>
      </c>
    </row>
    <row r="1754" spans="1:21" x14ac:dyDescent="0.25">
      <c r="A1754" t="s">
        <v>84</v>
      </c>
      <c r="B1754" s="24">
        <v>12</v>
      </c>
      <c r="C1754" t="s">
        <v>153</v>
      </c>
      <c r="D1754" t="s">
        <v>32</v>
      </c>
      <c r="E1754" t="s">
        <v>215</v>
      </c>
      <c r="F1754" t="s">
        <v>31</v>
      </c>
      <c r="H1754" t="s">
        <v>70</v>
      </c>
      <c r="I1754" t="s">
        <v>219</v>
      </c>
      <c r="J1754">
        <v>5</v>
      </c>
      <c r="L1754">
        <v>5</v>
      </c>
      <c r="N1754">
        <f>Таблица1[[#This Row],[Часов на заказчика  в работе]]+Таблица1[[#This Row],[Часов на заказчика  дежурство]]</f>
        <v>5</v>
      </c>
      <c r="O17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4" s="9">
        <v>200000</v>
      </c>
      <c r="R1754" s="9"/>
      <c r="S1754" s="5">
        <v>1</v>
      </c>
      <c r="T17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табеле]])*S1754,0)</f>
        <v>3030.30303030303</v>
      </c>
      <c r="U1754" s="5">
        <f>IF(Таблица1[[#This Row],[ТТН]]&gt;0,Таблица1[[#This Row],[Ставка за ТТН]]*Таблица1[[#This Row],[ТТН]],0)</f>
        <v>0</v>
      </c>
    </row>
    <row r="1755" spans="1:21" x14ac:dyDescent="0.25">
      <c r="A1755" t="s">
        <v>84</v>
      </c>
      <c r="B1755" s="24">
        <v>13</v>
      </c>
      <c r="C1755" t="s">
        <v>153</v>
      </c>
      <c r="D1755" t="s">
        <v>32</v>
      </c>
      <c r="E1755" t="s">
        <v>215</v>
      </c>
      <c r="F1755" t="s">
        <v>31</v>
      </c>
      <c r="H1755" t="s">
        <v>70</v>
      </c>
      <c r="I1755" t="s">
        <v>219</v>
      </c>
      <c r="J1755">
        <v>11</v>
      </c>
      <c r="L1755">
        <v>11</v>
      </c>
      <c r="N1755">
        <f>Таблица1[[#This Row],[Часов на заказчика  в работе]]+Таблица1[[#This Row],[Часов на заказчика  дежурство]]</f>
        <v>11</v>
      </c>
      <c r="O17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5" s="9">
        <v>200000</v>
      </c>
      <c r="R1755" s="9"/>
      <c r="S1755" s="5">
        <v>1</v>
      </c>
      <c r="T17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табеле]])*S1755,0)</f>
        <v>6666.6666666666661</v>
      </c>
      <c r="U1755" s="5">
        <f>IF(Таблица1[[#This Row],[ТТН]]&gt;0,Таблица1[[#This Row],[Ставка за ТТН]]*Таблица1[[#This Row],[ТТН]],0)</f>
        <v>0</v>
      </c>
    </row>
    <row r="1756" spans="1:21" x14ac:dyDescent="0.25">
      <c r="A1756" t="s">
        <v>84</v>
      </c>
      <c r="B1756" s="24">
        <v>14</v>
      </c>
      <c r="C1756" t="s">
        <v>153</v>
      </c>
      <c r="D1756" t="s">
        <v>32</v>
      </c>
      <c r="E1756" t="s">
        <v>215</v>
      </c>
      <c r="F1756" t="s">
        <v>31</v>
      </c>
      <c r="H1756" t="s">
        <v>10</v>
      </c>
      <c r="I1756" t="s">
        <v>219</v>
      </c>
      <c r="J1756">
        <v>6</v>
      </c>
      <c r="L1756">
        <v>6</v>
      </c>
      <c r="N1756">
        <f>Таблица1[[#This Row],[Часов на заказчика  в работе]]+Таблица1[[#This Row],[Часов на заказчика  дежурство]]</f>
        <v>6</v>
      </c>
      <c r="O17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6" s="9">
        <v>200000</v>
      </c>
      <c r="R1756" s="9"/>
      <c r="S1756" s="5">
        <v>1</v>
      </c>
      <c r="T17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табеле]])*S1756,0)</f>
        <v>3636.363636363636</v>
      </c>
      <c r="U1756" s="5">
        <f>IF(Таблица1[[#This Row],[ТТН]]&gt;0,Таблица1[[#This Row],[Ставка за ТТН]]*Таблица1[[#This Row],[ТТН]],0)</f>
        <v>0</v>
      </c>
    </row>
    <row r="1757" spans="1:21" x14ac:dyDescent="0.25">
      <c r="A1757" t="s">
        <v>84</v>
      </c>
      <c r="B1757" s="24">
        <v>14</v>
      </c>
      <c r="C1757" t="s">
        <v>153</v>
      </c>
      <c r="D1757" t="s">
        <v>32</v>
      </c>
      <c r="E1757" t="s">
        <v>215</v>
      </c>
      <c r="F1757" t="s">
        <v>31</v>
      </c>
      <c r="H1757" t="s">
        <v>70</v>
      </c>
      <c r="I1757" t="s">
        <v>219</v>
      </c>
      <c r="J1757">
        <v>5</v>
      </c>
      <c r="L1757">
        <v>5</v>
      </c>
      <c r="N1757">
        <f>Таблица1[[#This Row],[Часов на заказчика  в работе]]+Таблица1[[#This Row],[Часов на заказчика  дежурство]]</f>
        <v>5</v>
      </c>
      <c r="O17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7" s="9">
        <v>200000</v>
      </c>
      <c r="R1757" s="9"/>
      <c r="S1757" s="5">
        <v>1</v>
      </c>
      <c r="T17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табеле]])*S1757,0)</f>
        <v>3030.30303030303</v>
      </c>
      <c r="U1757" s="5">
        <f>IF(Таблица1[[#This Row],[ТТН]]&gt;0,Таблица1[[#This Row],[Ставка за ТТН]]*Таблица1[[#This Row],[ТТН]],0)</f>
        <v>0</v>
      </c>
    </row>
    <row r="1758" spans="1:21" x14ac:dyDescent="0.25">
      <c r="A1758" t="s">
        <v>84</v>
      </c>
      <c r="B1758" s="24">
        <v>15</v>
      </c>
      <c r="C1758" t="s">
        <v>153</v>
      </c>
      <c r="D1758" t="s">
        <v>32</v>
      </c>
      <c r="E1758" t="s">
        <v>215</v>
      </c>
      <c r="F1758" t="s">
        <v>31</v>
      </c>
      <c r="H1758" t="s">
        <v>10</v>
      </c>
      <c r="I1758" t="s">
        <v>219</v>
      </c>
      <c r="J1758">
        <v>6</v>
      </c>
      <c r="L1758">
        <v>6</v>
      </c>
      <c r="N1758">
        <f>Таблица1[[#This Row],[Часов на заказчика  в работе]]+Таблица1[[#This Row],[Часов на заказчика  дежурство]]</f>
        <v>6</v>
      </c>
      <c r="O17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8" s="9">
        <v>200000</v>
      </c>
      <c r="R1758" s="9"/>
      <c r="S1758" s="5">
        <v>1</v>
      </c>
      <c r="T17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табеле]])*S1758,0)</f>
        <v>3636.363636363636</v>
      </c>
      <c r="U1758" s="5">
        <f>IF(Таблица1[[#This Row],[ТТН]]&gt;0,Таблица1[[#This Row],[Ставка за ТТН]]*Таблица1[[#This Row],[ТТН]],0)</f>
        <v>0</v>
      </c>
    </row>
    <row r="1759" spans="1:21" x14ac:dyDescent="0.25">
      <c r="A1759" t="s">
        <v>84</v>
      </c>
      <c r="B1759" s="24">
        <v>15</v>
      </c>
      <c r="C1759" t="s">
        <v>153</v>
      </c>
      <c r="D1759" t="s">
        <v>32</v>
      </c>
      <c r="E1759" t="s">
        <v>215</v>
      </c>
      <c r="F1759" t="s">
        <v>31</v>
      </c>
      <c r="H1759" t="s">
        <v>70</v>
      </c>
      <c r="I1759" t="s">
        <v>219</v>
      </c>
      <c r="J1759">
        <v>5</v>
      </c>
      <c r="L1759">
        <v>5</v>
      </c>
      <c r="N1759">
        <f>Таблица1[[#This Row],[Часов на заказчика  в работе]]+Таблица1[[#This Row],[Часов на заказчика  дежурство]]</f>
        <v>5</v>
      </c>
      <c r="O17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59" s="9">
        <v>200000</v>
      </c>
      <c r="R1759" s="9"/>
      <c r="S1759" s="5">
        <v>1</v>
      </c>
      <c r="T17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табеле]])*S1759,0)</f>
        <v>3030.30303030303</v>
      </c>
      <c r="U1759" s="5">
        <f>IF(Таблица1[[#This Row],[ТТН]]&gt;0,Таблица1[[#This Row],[Ставка за ТТН]]*Таблица1[[#This Row],[ТТН]],0)</f>
        <v>0</v>
      </c>
    </row>
    <row r="1760" spans="1:21" x14ac:dyDescent="0.25">
      <c r="A1760" t="s">
        <v>84</v>
      </c>
      <c r="B1760" s="24">
        <v>16</v>
      </c>
      <c r="C1760" t="s">
        <v>153</v>
      </c>
      <c r="D1760" t="s">
        <v>32</v>
      </c>
      <c r="E1760" t="s">
        <v>215</v>
      </c>
      <c r="F1760" t="s">
        <v>31</v>
      </c>
      <c r="H1760" t="s">
        <v>10</v>
      </c>
      <c r="I1760" t="s">
        <v>219</v>
      </c>
      <c r="J1760">
        <v>11</v>
      </c>
      <c r="L1760">
        <v>11</v>
      </c>
      <c r="N1760">
        <f>Таблица1[[#This Row],[Часов на заказчика  в работе]]+Таблица1[[#This Row],[Часов на заказчика  дежурство]]</f>
        <v>11</v>
      </c>
      <c r="O17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0" s="9">
        <v>200000</v>
      </c>
      <c r="R1760" s="9"/>
      <c r="S1760" s="5">
        <v>1</v>
      </c>
      <c r="T17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табеле]])*S1760,0)</f>
        <v>6666.6666666666661</v>
      </c>
      <c r="U1760" s="5">
        <f>IF(Таблица1[[#This Row],[ТТН]]&gt;0,Таблица1[[#This Row],[Ставка за ТТН]]*Таблица1[[#This Row],[ТТН]],0)</f>
        <v>0</v>
      </c>
    </row>
    <row r="1761" spans="1:21" x14ac:dyDescent="0.25">
      <c r="A1761" t="s">
        <v>84</v>
      </c>
      <c r="B1761" s="24">
        <v>17</v>
      </c>
      <c r="C1761" t="s">
        <v>153</v>
      </c>
      <c r="D1761" t="s">
        <v>32</v>
      </c>
      <c r="E1761" t="s">
        <v>215</v>
      </c>
      <c r="F1761" t="s">
        <v>31</v>
      </c>
      <c r="H1761" t="s">
        <v>10</v>
      </c>
      <c r="I1761" t="s">
        <v>219</v>
      </c>
      <c r="J1761">
        <v>11</v>
      </c>
      <c r="L1761">
        <v>11</v>
      </c>
      <c r="N1761">
        <f>Таблица1[[#This Row],[Часов на заказчика  в работе]]+Таблица1[[#This Row],[Часов на заказчика  дежурство]]</f>
        <v>11</v>
      </c>
      <c r="O17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1" s="9">
        <v>200000</v>
      </c>
      <c r="R1761" s="9"/>
      <c r="S1761" s="5">
        <v>1</v>
      </c>
      <c r="T17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табеле]])*S1761,0)</f>
        <v>6666.6666666666661</v>
      </c>
      <c r="U1761" s="5">
        <f>IF(Таблица1[[#This Row],[ТТН]]&gt;0,Таблица1[[#This Row],[Ставка за ТТН]]*Таблица1[[#This Row],[ТТН]],0)</f>
        <v>0</v>
      </c>
    </row>
    <row r="1762" spans="1:21" x14ac:dyDescent="0.25">
      <c r="A1762" t="s">
        <v>84</v>
      </c>
      <c r="B1762" s="24">
        <v>18</v>
      </c>
      <c r="C1762" t="s">
        <v>153</v>
      </c>
      <c r="D1762" t="s">
        <v>32</v>
      </c>
      <c r="E1762" t="s">
        <v>215</v>
      </c>
      <c r="F1762" t="s">
        <v>31</v>
      </c>
      <c r="H1762" t="s">
        <v>10</v>
      </c>
      <c r="I1762" t="s">
        <v>219</v>
      </c>
      <c r="J1762">
        <v>11</v>
      </c>
      <c r="L1762">
        <v>11</v>
      </c>
      <c r="N1762">
        <f>Таблица1[[#This Row],[Часов на заказчика  в работе]]+Таблица1[[#This Row],[Часов на заказчика  дежурство]]</f>
        <v>11</v>
      </c>
      <c r="O17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2" s="9">
        <v>200000</v>
      </c>
      <c r="R1762" s="9"/>
      <c r="S1762" s="5">
        <v>1</v>
      </c>
      <c r="T17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табеле]])*S1762,0)</f>
        <v>6666.6666666666661</v>
      </c>
      <c r="U1762" s="5">
        <f>IF(Таблица1[[#This Row],[ТТН]]&gt;0,Таблица1[[#This Row],[Ставка за ТТН]]*Таблица1[[#This Row],[ТТН]],0)</f>
        <v>0</v>
      </c>
    </row>
    <row r="1763" spans="1:21" x14ac:dyDescent="0.25">
      <c r="A1763" t="s">
        <v>84</v>
      </c>
      <c r="B1763" s="24">
        <v>19</v>
      </c>
      <c r="C1763" t="s">
        <v>153</v>
      </c>
      <c r="D1763" t="s">
        <v>32</v>
      </c>
      <c r="E1763" t="s">
        <v>215</v>
      </c>
      <c r="F1763" t="s">
        <v>31</v>
      </c>
      <c r="H1763" t="s">
        <v>10</v>
      </c>
      <c r="I1763" t="s">
        <v>219</v>
      </c>
      <c r="J1763">
        <v>22</v>
      </c>
      <c r="L1763">
        <v>22</v>
      </c>
      <c r="N1763">
        <f>Таблица1[[#This Row],[Часов на заказчика  в работе]]+Таблица1[[#This Row],[Часов на заказчика  дежурство]]</f>
        <v>22</v>
      </c>
      <c r="O17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3" s="9">
        <v>200000</v>
      </c>
      <c r="R1763" s="9"/>
      <c r="S1763" s="5">
        <v>1</v>
      </c>
      <c r="T17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табеле]])*S1763,0)</f>
        <v>13333.333333333332</v>
      </c>
      <c r="U1763" s="5">
        <f>IF(Таблица1[[#This Row],[ТТН]]&gt;0,Таблица1[[#This Row],[Ставка за ТТН]]*Таблица1[[#This Row],[ТТН]],0)</f>
        <v>0</v>
      </c>
    </row>
    <row r="1764" spans="1:21" x14ac:dyDescent="0.25">
      <c r="A1764" t="s">
        <v>84</v>
      </c>
      <c r="B1764" s="24">
        <v>20</v>
      </c>
      <c r="C1764" t="s">
        <v>153</v>
      </c>
      <c r="D1764" t="s">
        <v>32</v>
      </c>
      <c r="E1764" t="s">
        <v>215</v>
      </c>
      <c r="F1764" t="s">
        <v>31</v>
      </c>
      <c r="H1764" t="s">
        <v>10</v>
      </c>
      <c r="I1764" t="s">
        <v>219</v>
      </c>
      <c r="J1764">
        <v>11</v>
      </c>
      <c r="L1764">
        <v>11</v>
      </c>
      <c r="N1764">
        <f>Таблица1[[#This Row],[Часов на заказчика  в работе]]+Таблица1[[#This Row],[Часов на заказчика  дежурство]]</f>
        <v>11</v>
      </c>
      <c r="O17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4" s="9">
        <v>200000</v>
      </c>
      <c r="R1764" s="9"/>
      <c r="S1764" s="5">
        <v>1</v>
      </c>
      <c r="T17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табеле]])*S1764,0)</f>
        <v>6666.6666666666661</v>
      </c>
      <c r="U1764" s="5">
        <f>IF(Таблица1[[#This Row],[ТТН]]&gt;0,Таблица1[[#This Row],[Ставка за ТТН]]*Таблица1[[#This Row],[ТТН]],0)</f>
        <v>0</v>
      </c>
    </row>
    <row r="1765" spans="1:21" x14ac:dyDescent="0.25">
      <c r="A1765" t="s">
        <v>84</v>
      </c>
      <c r="B1765" s="24">
        <v>21</v>
      </c>
      <c r="C1765" t="s">
        <v>153</v>
      </c>
      <c r="D1765" t="s">
        <v>32</v>
      </c>
      <c r="E1765" t="s">
        <v>215</v>
      </c>
      <c r="F1765" t="s">
        <v>31</v>
      </c>
      <c r="H1765" t="s">
        <v>10</v>
      </c>
      <c r="I1765" t="s">
        <v>219</v>
      </c>
      <c r="J1765">
        <v>11</v>
      </c>
      <c r="L1765">
        <v>11</v>
      </c>
      <c r="N1765">
        <f>Таблица1[[#This Row],[Часов на заказчика  в работе]]+Таблица1[[#This Row],[Часов на заказчика  дежурство]]</f>
        <v>11</v>
      </c>
      <c r="O17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5" s="9">
        <v>200000</v>
      </c>
      <c r="R1765" s="9"/>
      <c r="S1765" s="5">
        <v>1</v>
      </c>
      <c r="T17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табеле]])*S1765,0)</f>
        <v>6666.6666666666661</v>
      </c>
      <c r="U1765" s="5">
        <f>IF(Таблица1[[#This Row],[ТТН]]&gt;0,Таблица1[[#This Row],[Ставка за ТТН]]*Таблица1[[#This Row],[ТТН]],0)</f>
        <v>0</v>
      </c>
    </row>
    <row r="1766" spans="1:21" x14ac:dyDescent="0.25">
      <c r="A1766" t="s">
        <v>84</v>
      </c>
      <c r="B1766" s="24">
        <v>22</v>
      </c>
      <c r="C1766" t="s">
        <v>153</v>
      </c>
      <c r="D1766" t="s">
        <v>32</v>
      </c>
      <c r="E1766" t="s">
        <v>215</v>
      </c>
      <c r="F1766" t="s">
        <v>31</v>
      </c>
      <c r="H1766" t="s">
        <v>24</v>
      </c>
      <c r="I1766" t="s">
        <v>217</v>
      </c>
      <c r="J1766">
        <v>8</v>
      </c>
      <c r="N1766">
        <f>Таблица1[[#This Row],[Часов на заказчика  в работе]]+Таблица1[[#This Row],[Часов на заказчика  дежурство]]</f>
        <v>0</v>
      </c>
      <c r="O17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6" s="9">
        <v>200000</v>
      </c>
      <c r="R1766" s="9"/>
      <c r="S1766" s="5">
        <v>1</v>
      </c>
      <c r="T17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табеле]])*S1766,0)</f>
        <v>0</v>
      </c>
      <c r="U1766" s="5">
        <f>IF(Таблица1[[#This Row],[ТТН]]&gt;0,Таблица1[[#This Row],[Ставка за ТТН]]*Таблица1[[#This Row],[ТТН]],0)</f>
        <v>0</v>
      </c>
    </row>
    <row r="1767" spans="1:21" x14ac:dyDescent="0.25">
      <c r="A1767" t="s">
        <v>84</v>
      </c>
      <c r="B1767" s="24">
        <v>23</v>
      </c>
      <c r="C1767" t="s">
        <v>153</v>
      </c>
      <c r="D1767" t="s">
        <v>32</v>
      </c>
      <c r="E1767" t="s">
        <v>215</v>
      </c>
      <c r="F1767" t="s">
        <v>31</v>
      </c>
      <c r="H1767" t="s">
        <v>24</v>
      </c>
      <c r="I1767" t="s">
        <v>217</v>
      </c>
      <c r="J1767">
        <v>8</v>
      </c>
      <c r="N1767">
        <f>Таблица1[[#This Row],[Часов на заказчика  в работе]]+Таблица1[[#This Row],[Часов на заказчика  дежурство]]</f>
        <v>0</v>
      </c>
      <c r="O17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7" s="9">
        <v>200000</v>
      </c>
      <c r="R1767" s="9"/>
      <c r="S1767" s="5">
        <v>1</v>
      </c>
      <c r="T17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табеле]])*S1767,0)</f>
        <v>0</v>
      </c>
      <c r="U1767" s="5">
        <f>IF(Таблица1[[#This Row],[ТТН]]&gt;0,Таблица1[[#This Row],[Ставка за ТТН]]*Таблица1[[#This Row],[ТТН]],0)</f>
        <v>0</v>
      </c>
    </row>
    <row r="1768" spans="1:21" x14ac:dyDescent="0.25">
      <c r="A1768" t="s">
        <v>84</v>
      </c>
      <c r="B1768" s="24">
        <v>24</v>
      </c>
      <c r="C1768" t="s">
        <v>153</v>
      </c>
      <c r="D1768" t="s">
        <v>32</v>
      </c>
      <c r="E1768" t="s">
        <v>215</v>
      </c>
      <c r="F1768" t="s">
        <v>31</v>
      </c>
      <c r="H1768" t="s">
        <v>24</v>
      </c>
      <c r="I1768" t="s">
        <v>217</v>
      </c>
      <c r="J1768">
        <v>8</v>
      </c>
      <c r="N1768">
        <f>Таблица1[[#This Row],[Часов на заказчика  в работе]]+Таблица1[[#This Row],[Часов на заказчика  дежурство]]</f>
        <v>0</v>
      </c>
      <c r="O17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8" s="9">
        <v>200000</v>
      </c>
      <c r="R1768" s="9"/>
      <c r="S1768" s="5">
        <v>1</v>
      </c>
      <c r="T17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табеле]])*S1768,0)</f>
        <v>0</v>
      </c>
      <c r="U1768" s="5">
        <f>IF(Таблица1[[#This Row],[ТТН]]&gt;0,Таблица1[[#This Row],[Ставка за ТТН]]*Таблица1[[#This Row],[ТТН]],0)</f>
        <v>0</v>
      </c>
    </row>
    <row r="1769" spans="1:21" x14ac:dyDescent="0.25">
      <c r="A1769" t="s">
        <v>84</v>
      </c>
      <c r="B1769" s="24">
        <v>25</v>
      </c>
      <c r="C1769" t="s">
        <v>153</v>
      </c>
      <c r="D1769" t="s">
        <v>32</v>
      </c>
      <c r="E1769" t="s">
        <v>215</v>
      </c>
      <c r="F1769" t="s">
        <v>31</v>
      </c>
      <c r="H1769" t="s">
        <v>29</v>
      </c>
      <c r="I1769" t="s">
        <v>217</v>
      </c>
      <c r="J1769">
        <v>8</v>
      </c>
      <c r="N1769">
        <f>Таблица1[[#This Row],[Часов на заказчика  в работе]]+Таблица1[[#This Row],[Часов на заказчика  дежурство]]</f>
        <v>0</v>
      </c>
      <c r="O17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69" s="9">
        <v>200000</v>
      </c>
      <c r="R1769" s="9"/>
      <c r="S1769" s="5">
        <v>1</v>
      </c>
      <c r="T17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табеле]])*S1769,0)</f>
        <v>0</v>
      </c>
      <c r="U1769" s="5">
        <f>IF(Таблица1[[#This Row],[ТТН]]&gt;0,Таблица1[[#This Row],[Ставка за ТТН]]*Таблица1[[#This Row],[ТТН]],0)</f>
        <v>0</v>
      </c>
    </row>
    <row r="1770" spans="1:21" x14ac:dyDescent="0.25">
      <c r="A1770" t="s">
        <v>84</v>
      </c>
      <c r="B1770" s="24">
        <v>26</v>
      </c>
      <c r="C1770" t="s">
        <v>153</v>
      </c>
      <c r="D1770" t="s">
        <v>32</v>
      </c>
      <c r="E1770" t="s">
        <v>215</v>
      </c>
      <c r="F1770" t="s">
        <v>31</v>
      </c>
      <c r="H1770" t="s">
        <v>29</v>
      </c>
      <c r="I1770" t="s">
        <v>217</v>
      </c>
      <c r="J1770">
        <v>8</v>
      </c>
      <c r="N1770">
        <f>Таблица1[[#This Row],[Часов на заказчика  в работе]]+Таблица1[[#This Row],[Часов на заказчика  дежурство]]</f>
        <v>0</v>
      </c>
      <c r="O17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0" s="9">
        <v>200000</v>
      </c>
      <c r="R1770" s="9"/>
      <c r="S1770" s="5">
        <v>1</v>
      </c>
      <c r="T17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табеле]])*S1770,0)</f>
        <v>0</v>
      </c>
      <c r="U1770" s="5">
        <f>IF(Таблица1[[#This Row],[ТТН]]&gt;0,Таблица1[[#This Row],[Ставка за ТТН]]*Таблица1[[#This Row],[ТТН]],0)</f>
        <v>0</v>
      </c>
    </row>
    <row r="1771" spans="1:21" x14ac:dyDescent="0.25">
      <c r="A1771" t="s">
        <v>84</v>
      </c>
      <c r="B1771" s="24">
        <v>27</v>
      </c>
      <c r="C1771" t="s">
        <v>153</v>
      </c>
      <c r="D1771" t="s">
        <v>32</v>
      </c>
      <c r="E1771" t="s">
        <v>215</v>
      </c>
      <c r="F1771" t="s">
        <v>31</v>
      </c>
      <c r="H1771" t="s">
        <v>30</v>
      </c>
      <c r="I1771" t="s">
        <v>217</v>
      </c>
      <c r="J1771">
        <v>1</v>
      </c>
      <c r="N1771">
        <f>Таблица1[[#This Row],[Часов на заказчика  в работе]]+Таблица1[[#This Row],[Часов на заказчика  дежурство]]</f>
        <v>0</v>
      </c>
      <c r="O17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1" s="9">
        <v>200000</v>
      </c>
      <c r="R1771" s="9"/>
      <c r="S1771" s="5">
        <v>1</v>
      </c>
      <c r="T17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табеле]])*S1771,0)</f>
        <v>0</v>
      </c>
      <c r="U1771" s="5">
        <f>IF(Таблица1[[#This Row],[ТТН]]&gt;0,Таблица1[[#This Row],[Ставка за ТТН]]*Таблица1[[#This Row],[ТТН]],0)</f>
        <v>0</v>
      </c>
    </row>
    <row r="1772" spans="1:21" x14ac:dyDescent="0.25">
      <c r="A1772" t="s">
        <v>84</v>
      </c>
      <c r="B1772" s="24">
        <v>28</v>
      </c>
      <c r="C1772" t="s">
        <v>153</v>
      </c>
      <c r="D1772" t="s">
        <v>32</v>
      </c>
      <c r="E1772" t="s">
        <v>215</v>
      </c>
      <c r="F1772" t="s">
        <v>31</v>
      </c>
      <c r="H1772" t="s">
        <v>30</v>
      </c>
      <c r="I1772" t="s">
        <v>217</v>
      </c>
      <c r="J1772">
        <v>1</v>
      </c>
      <c r="N1772">
        <f>Таблица1[[#This Row],[Часов на заказчика  в работе]]+Таблица1[[#This Row],[Часов на заказчика  дежурство]]</f>
        <v>0</v>
      </c>
      <c r="O17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2" s="9">
        <v>200000</v>
      </c>
      <c r="R1772" s="9"/>
      <c r="S1772" s="5">
        <v>1</v>
      </c>
      <c r="T17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табеле]])*S1772,0)</f>
        <v>0</v>
      </c>
      <c r="U1772" s="5">
        <f>IF(Таблица1[[#This Row],[ТТН]]&gt;0,Таблица1[[#This Row],[Ставка за ТТН]]*Таблица1[[#This Row],[ТТН]],0)</f>
        <v>0</v>
      </c>
    </row>
    <row r="1773" spans="1:21" x14ac:dyDescent="0.25">
      <c r="A1773" t="s">
        <v>84</v>
      </c>
      <c r="B1773" s="24">
        <v>29</v>
      </c>
      <c r="C1773" t="s">
        <v>153</v>
      </c>
      <c r="D1773" t="s">
        <v>32</v>
      </c>
      <c r="E1773" t="s">
        <v>215</v>
      </c>
      <c r="F1773" t="s">
        <v>31</v>
      </c>
      <c r="H1773" t="s">
        <v>29</v>
      </c>
      <c r="I1773" t="s">
        <v>217</v>
      </c>
      <c r="J1773">
        <v>8</v>
      </c>
      <c r="N1773">
        <f>Таблица1[[#This Row],[Часов на заказчика  в работе]]+Таблица1[[#This Row],[Часов на заказчика  дежурство]]</f>
        <v>0</v>
      </c>
      <c r="O17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3" s="9">
        <v>200000</v>
      </c>
      <c r="R1773" s="9"/>
      <c r="S1773" s="5">
        <v>1</v>
      </c>
      <c r="T17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табеле]])*S1773,0)</f>
        <v>0</v>
      </c>
      <c r="U1773" s="5">
        <f>IF(Таблица1[[#This Row],[ТТН]]&gt;0,Таблица1[[#This Row],[Ставка за ТТН]]*Таблица1[[#This Row],[ТТН]],0)</f>
        <v>0</v>
      </c>
    </row>
    <row r="1774" spans="1:21" x14ac:dyDescent="0.25">
      <c r="A1774" t="s">
        <v>84</v>
      </c>
      <c r="B1774" s="24">
        <v>30</v>
      </c>
      <c r="C1774" t="s">
        <v>154</v>
      </c>
      <c r="D1774" t="s">
        <v>32</v>
      </c>
      <c r="E1774" t="s">
        <v>215</v>
      </c>
      <c r="F1774" t="s">
        <v>31</v>
      </c>
      <c r="H1774" t="s">
        <v>29</v>
      </c>
      <c r="I1774" t="s">
        <v>217</v>
      </c>
      <c r="J1774">
        <v>8</v>
      </c>
      <c r="N1774">
        <f>Таблица1[[#This Row],[Часов на заказчика  в работе]]+Таблица1[[#This Row],[Часов на заказчика  дежурство]]</f>
        <v>0</v>
      </c>
      <c r="O17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4" s="9">
        <v>200000</v>
      </c>
      <c r="R1774" s="9"/>
      <c r="S1774" s="5">
        <v>1</v>
      </c>
      <c r="T17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табеле]])*S1774,0)</f>
        <v>0</v>
      </c>
      <c r="U1774" s="5">
        <f>IF(Таблица1[[#This Row],[ТТН]]&gt;0,Таблица1[[#This Row],[Ставка за ТТН]]*Таблица1[[#This Row],[ТТН]],0)</f>
        <v>0</v>
      </c>
    </row>
    <row r="1775" spans="1:21" x14ac:dyDescent="0.25">
      <c r="A1775" t="s">
        <v>84</v>
      </c>
      <c r="B1775" s="24">
        <v>1</v>
      </c>
      <c r="C1775" t="s">
        <v>154</v>
      </c>
      <c r="D1775" t="s">
        <v>71</v>
      </c>
      <c r="E1775" t="s">
        <v>215</v>
      </c>
      <c r="F1775" t="s">
        <v>71</v>
      </c>
      <c r="H1775" t="s">
        <v>10</v>
      </c>
      <c r="I1775" t="s">
        <v>219</v>
      </c>
      <c r="J1775">
        <v>19</v>
      </c>
      <c r="N1775">
        <f>Таблица1[[#This Row],[Часов на заказчика  в работе]]+Таблица1[[#This Row],[Часов на заказчика  дежурство]]</f>
        <v>0</v>
      </c>
      <c r="O17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5" s="9"/>
      <c r="R1775" s="9"/>
      <c r="S1775" s="5">
        <v>1</v>
      </c>
      <c r="T17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табеле]])*S1775,0)</f>
        <v>0</v>
      </c>
      <c r="U1775" s="5">
        <f>IF(Таблица1[[#This Row],[ТТН]]&gt;0,Таблица1[[#This Row],[Ставка за ТТН]]*Таблица1[[#This Row],[ТТН]],0)</f>
        <v>0</v>
      </c>
    </row>
    <row r="1776" spans="1:21" x14ac:dyDescent="0.25">
      <c r="A1776" t="s">
        <v>84</v>
      </c>
      <c r="B1776" s="24">
        <v>2</v>
      </c>
      <c r="C1776" t="s">
        <v>154</v>
      </c>
      <c r="D1776" t="s">
        <v>71</v>
      </c>
      <c r="E1776" t="s">
        <v>215</v>
      </c>
      <c r="F1776" t="s">
        <v>71</v>
      </c>
      <c r="H1776" t="s">
        <v>10</v>
      </c>
      <c r="I1776" t="s">
        <v>219</v>
      </c>
      <c r="J1776">
        <v>17</v>
      </c>
      <c r="N1776">
        <f>Таблица1[[#This Row],[Часов на заказчика  в работе]]+Таблица1[[#This Row],[Часов на заказчика  дежурство]]</f>
        <v>0</v>
      </c>
      <c r="O17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6" s="9"/>
      <c r="R1776" s="9"/>
      <c r="S1776" s="5">
        <v>1</v>
      </c>
      <c r="T17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табеле]])*S1776,0)</f>
        <v>0</v>
      </c>
      <c r="U1776" s="5">
        <f>IF(Таблица1[[#This Row],[ТТН]]&gt;0,Таблица1[[#This Row],[Ставка за ТТН]]*Таблица1[[#This Row],[ТТН]],0)</f>
        <v>0</v>
      </c>
    </row>
    <row r="1777" spans="1:21" x14ac:dyDescent="0.25">
      <c r="A1777" t="s">
        <v>84</v>
      </c>
      <c r="B1777" s="24">
        <v>3</v>
      </c>
      <c r="C1777" t="s">
        <v>154</v>
      </c>
      <c r="D1777" t="s">
        <v>71</v>
      </c>
      <c r="E1777" t="s">
        <v>215</v>
      </c>
      <c r="F1777" t="s">
        <v>71</v>
      </c>
      <c r="H1777" t="s">
        <v>10</v>
      </c>
      <c r="I1777" t="s">
        <v>219</v>
      </c>
      <c r="J1777">
        <v>13</v>
      </c>
      <c r="N1777">
        <f>Таблица1[[#This Row],[Часов на заказчика  в работе]]+Таблица1[[#This Row],[Часов на заказчика  дежурство]]</f>
        <v>0</v>
      </c>
      <c r="O17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7" s="9"/>
      <c r="R1777" s="9"/>
      <c r="S1777" s="5">
        <v>1</v>
      </c>
      <c r="T17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табеле]])*S1777,0)</f>
        <v>0</v>
      </c>
      <c r="U1777" s="5">
        <f>IF(Таблица1[[#This Row],[ТТН]]&gt;0,Таблица1[[#This Row],[Ставка за ТТН]]*Таблица1[[#This Row],[ТТН]],0)</f>
        <v>0</v>
      </c>
    </row>
    <row r="1778" spans="1:21" x14ac:dyDescent="0.25">
      <c r="A1778" t="s">
        <v>84</v>
      </c>
      <c r="B1778" s="24">
        <v>4</v>
      </c>
      <c r="C1778" t="s">
        <v>154</v>
      </c>
      <c r="D1778" t="s">
        <v>71</v>
      </c>
      <c r="E1778" t="s">
        <v>215</v>
      </c>
      <c r="F1778" t="s">
        <v>71</v>
      </c>
      <c r="H1778" t="s">
        <v>10</v>
      </c>
      <c r="I1778" t="s">
        <v>219</v>
      </c>
      <c r="J1778">
        <v>22</v>
      </c>
      <c r="N1778">
        <f>Таблица1[[#This Row],[Часов на заказчика  в работе]]+Таблица1[[#This Row],[Часов на заказчика  дежурство]]</f>
        <v>0</v>
      </c>
      <c r="O17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8" s="9"/>
      <c r="R1778" s="9"/>
      <c r="S1778" s="5">
        <v>1</v>
      </c>
      <c r="T17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табеле]])*S1778,0)</f>
        <v>0</v>
      </c>
      <c r="U1778" s="5">
        <f>IF(Таблица1[[#This Row],[ТТН]]&gt;0,Таблица1[[#This Row],[Ставка за ТТН]]*Таблица1[[#This Row],[ТТН]],0)</f>
        <v>0</v>
      </c>
    </row>
    <row r="1779" spans="1:21" x14ac:dyDescent="0.25">
      <c r="A1779" t="s">
        <v>84</v>
      </c>
      <c r="B1779" s="24">
        <v>5</v>
      </c>
      <c r="C1779" t="s">
        <v>154</v>
      </c>
      <c r="D1779" t="s">
        <v>71</v>
      </c>
      <c r="E1779" t="s">
        <v>215</v>
      </c>
      <c r="F1779" t="s">
        <v>71</v>
      </c>
      <c r="H1779" t="s">
        <v>10</v>
      </c>
      <c r="I1779" t="s">
        <v>219</v>
      </c>
      <c r="J1779">
        <v>22</v>
      </c>
      <c r="N1779">
        <f>Таблица1[[#This Row],[Часов на заказчика  в работе]]+Таблица1[[#This Row],[Часов на заказчика  дежурство]]</f>
        <v>0</v>
      </c>
      <c r="O17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79" s="9"/>
      <c r="R1779" s="9"/>
      <c r="S1779" s="5">
        <v>1</v>
      </c>
      <c r="T17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табеле]])*S1779,0)</f>
        <v>0</v>
      </c>
      <c r="U1779" s="5">
        <f>IF(Таблица1[[#This Row],[ТТН]]&gt;0,Таблица1[[#This Row],[Ставка за ТТН]]*Таблица1[[#This Row],[ТТН]],0)</f>
        <v>0</v>
      </c>
    </row>
    <row r="1780" spans="1:21" x14ac:dyDescent="0.25">
      <c r="A1780" t="s">
        <v>84</v>
      </c>
      <c r="B1780" s="24">
        <v>6</v>
      </c>
      <c r="C1780" t="s">
        <v>154</v>
      </c>
      <c r="D1780" t="s">
        <v>71</v>
      </c>
      <c r="E1780" t="s">
        <v>215</v>
      </c>
      <c r="F1780" t="s">
        <v>71</v>
      </c>
      <c r="H1780" t="s">
        <v>10</v>
      </c>
      <c r="I1780" t="s">
        <v>219</v>
      </c>
      <c r="J1780">
        <v>22</v>
      </c>
      <c r="N1780">
        <f>Таблица1[[#This Row],[Часов на заказчика  в работе]]+Таблица1[[#This Row],[Часов на заказчика  дежурство]]</f>
        <v>0</v>
      </c>
      <c r="O17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0" s="9"/>
      <c r="R1780" s="9"/>
      <c r="S1780" s="5">
        <v>1</v>
      </c>
      <c r="T17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табеле]])*S1780,0)</f>
        <v>0</v>
      </c>
      <c r="U1780" s="5">
        <f>IF(Таблица1[[#This Row],[ТТН]]&gt;0,Таблица1[[#This Row],[Ставка за ТТН]]*Таблица1[[#This Row],[ТТН]],0)</f>
        <v>0</v>
      </c>
    </row>
    <row r="1781" spans="1:21" x14ac:dyDescent="0.25">
      <c r="A1781" t="s">
        <v>84</v>
      </c>
      <c r="B1781" s="24">
        <v>7</v>
      </c>
      <c r="C1781" t="s">
        <v>154</v>
      </c>
      <c r="D1781" t="s">
        <v>71</v>
      </c>
      <c r="E1781" t="s">
        <v>215</v>
      </c>
      <c r="F1781" t="s">
        <v>71</v>
      </c>
      <c r="H1781" t="s">
        <v>10</v>
      </c>
      <c r="I1781" t="s">
        <v>219</v>
      </c>
      <c r="J1781">
        <v>11</v>
      </c>
      <c r="N1781">
        <f>Таблица1[[#This Row],[Часов на заказчика  в работе]]+Таблица1[[#This Row],[Часов на заказчика  дежурство]]</f>
        <v>0</v>
      </c>
      <c r="O17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1" s="9"/>
      <c r="R1781" s="9"/>
      <c r="S1781" s="5">
        <v>1</v>
      </c>
      <c r="T17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табеле]])*S1781,0)</f>
        <v>0</v>
      </c>
      <c r="U1781" s="5">
        <f>IF(Таблица1[[#This Row],[ТТН]]&gt;0,Таблица1[[#This Row],[Ставка за ТТН]]*Таблица1[[#This Row],[ТТН]],0)</f>
        <v>0</v>
      </c>
    </row>
    <row r="1782" spans="1:21" x14ac:dyDescent="0.25">
      <c r="A1782" t="s">
        <v>84</v>
      </c>
      <c r="B1782" s="24">
        <v>8</v>
      </c>
      <c r="C1782" t="s">
        <v>154</v>
      </c>
      <c r="D1782" t="s">
        <v>71</v>
      </c>
      <c r="E1782" t="s">
        <v>215</v>
      </c>
      <c r="F1782" t="s">
        <v>71</v>
      </c>
      <c r="H1782" t="s">
        <v>10</v>
      </c>
      <c r="I1782" t="s">
        <v>219</v>
      </c>
      <c r="J1782">
        <v>15</v>
      </c>
      <c r="N1782">
        <f>Таблица1[[#This Row],[Часов на заказчика  в работе]]+Таблица1[[#This Row],[Часов на заказчика  дежурство]]</f>
        <v>0</v>
      </c>
      <c r="O17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2" s="9"/>
      <c r="R1782" s="9"/>
      <c r="S1782" s="5">
        <v>1</v>
      </c>
      <c r="T17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табеле]])*S1782,0)</f>
        <v>0</v>
      </c>
      <c r="U1782" s="5">
        <f>IF(Таблица1[[#This Row],[ТТН]]&gt;0,Таблица1[[#This Row],[Ставка за ТТН]]*Таблица1[[#This Row],[ТТН]],0)</f>
        <v>0</v>
      </c>
    </row>
    <row r="1783" spans="1:21" x14ac:dyDescent="0.25">
      <c r="A1783" t="s">
        <v>84</v>
      </c>
      <c r="B1783" s="24">
        <v>9</v>
      </c>
      <c r="C1783" t="s">
        <v>154</v>
      </c>
      <c r="D1783" t="s">
        <v>71</v>
      </c>
      <c r="E1783" t="s">
        <v>215</v>
      </c>
      <c r="F1783" t="s">
        <v>71</v>
      </c>
      <c r="H1783" t="s">
        <v>10</v>
      </c>
      <c r="I1783" t="s">
        <v>219</v>
      </c>
      <c r="J1783">
        <v>14</v>
      </c>
      <c r="N1783">
        <f>Таблица1[[#This Row],[Часов на заказчика  в работе]]+Таблица1[[#This Row],[Часов на заказчика  дежурство]]</f>
        <v>0</v>
      </c>
      <c r="O17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3" s="9"/>
      <c r="R1783" s="9"/>
      <c r="S1783" s="5">
        <v>1</v>
      </c>
      <c r="T17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табеле]])*S1783,0)</f>
        <v>0</v>
      </c>
      <c r="U1783" s="5">
        <f>IF(Таблица1[[#This Row],[ТТН]]&gt;0,Таблица1[[#This Row],[Ставка за ТТН]]*Таблица1[[#This Row],[ТТН]],0)</f>
        <v>0</v>
      </c>
    </row>
    <row r="1784" spans="1:21" x14ac:dyDescent="0.25">
      <c r="A1784" t="s">
        <v>84</v>
      </c>
      <c r="B1784" s="24">
        <v>10</v>
      </c>
      <c r="C1784" t="s">
        <v>154</v>
      </c>
      <c r="D1784" t="s">
        <v>71</v>
      </c>
      <c r="E1784" t="s">
        <v>215</v>
      </c>
      <c r="F1784" t="s">
        <v>71</v>
      </c>
      <c r="H1784" t="s">
        <v>10</v>
      </c>
      <c r="I1784" t="s">
        <v>219</v>
      </c>
      <c r="J1784">
        <v>13</v>
      </c>
      <c r="N1784">
        <f>Таблица1[[#This Row],[Часов на заказчика  в работе]]+Таблица1[[#This Row],[Часов на заказчика  дежурство]]</f>
        <v>0</v>
      </c>
      <c r="O17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4" s="9"/>
      <c r="R1784" s="9"/>
      <c r="S1784" s="5">
        <v>1</v>
      </c>
      <c r="T17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табеле]])*S1784,0)</f>
        <v>0</v>
      </c>
      <c r="U1784" s="5">
        <f>IF(Таблица1[[#This Row],[ТТН]]&gt;0,Таблица1[[#This Row],[Ставка за ТТН]]*Таблица1[[#This Row],[ТТН]],0)</f>
        <v>0</v>
      </c>
    </row>
    <row r="1785" spans="1:21" x14ac:dyDescent="0.25">
      <c r="A1785" t="s">
        <v>84</v>
      </c>
      <c r="B1785" s="24">
        <v>11</v>
      </c>
      <c r="C1785" t="s">
        <v>154</v>
      </c>
      <c r="D1785" t="s">
        <v>71</v>
      </c>
      <c r="E1785" t="s">
        <v>215</v>
      </c>
      <c r="F1785" t="s">
        <v>71</v>
      </c>
      <c r="H1785" t="s">
        <v>10</v>
      </c>
      <c r="I1785" t="s">
        <v>219</v>
      </c>
      <c r="J1785">
        <v>16</v>
      </c>
      <c r="N1785">
        <f>Таблица1[[#This Row],[Часов на заказчика  в работе]]+Таблица1[[#This Row],[Часов на заказчика  дежурство]]</f>
        <v>0</v>
      </c>
      <c r="O17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5" s="9"/>
      <c r="R1785" s="9"/>
      <c r="S1785" s="5">
        <v>1</v>
      </c>
      <c r="T17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табеле]])*S1785,0)</f>
        <v>0</v>
      </c>
      <c r="U1785" s="5">
        <f>IF(Таблица1[[#This Row],[ТТН]]&gt;0,Таблица1[[#This Row],[Ставка за ТТН]]*Таблица1[[#This Row],[ТТН]],0)</f>
        <v>0</v>
      </c>
    </row>
    <row r="1786" spans="1:21" x14ac:dyDescent="0.25">
      <c r="A1786" t="s">
        <v>84</v>
      </c>
      <c r="B1786" s="24">
        <v>12</v>
      </c>
      <c r="C1786" t="s">
        <v>154</v>
      </c>
      <c r="D1786" t="s">
        <v>71</v>
      </c>
      <c r="E1786" t="s">
        <v>215</v>
      </c>
      <c r="F1786" t="s">
        <v>71</v>
      </c>
      <c r="H1786" t="s">
        <v>10</v>
      </c>
      <c r="I1786" t="s">
        <v>219</v>
      </c>
      <c r="J1786">
        <v>13</v>
      </c>
      <c r="N1786">
        <f>Таблица1[[#This Row],[Часов на заказчика  в работе]]+Таблица1[[#This Row],[Часов на заказчика  дежурство]]</f>
        <v>0</v>
      </c>
      <c r="O17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6" s="9"/>
      <c r="R1786" s="9"/>
      <c r="S1786" s="5">
        <v>1</v>
      </c>
      <c r="T17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табеле]])*S1786,0)</f>
        <v>0</v>
      </c>
      <c r="U1786" s="5">
        <f>IF(Таблица1[[#This Row],[ТТН]]&gt;0,Таблица1[[#This Row],[Ставка за ТТН]]*Таблица1[[#This Row],[ТТН]],0)</f>
        <v>0</v>
      </c>
    </row>
    <row r="1787" spans="1:21" x14ac:dyDescent="0.25">
      <c r="A1787" t="s">
        <v>84</v>
      </c>
      <c r="B1787" s="24">
        <v>13</v>
      </c>
      <c r="C1787" t="s">
        <v>154</v>
      </c>
      <c r="D1787" t="s">
        <v>71</v>
      </c>
      <c r="E1787" t="s">
        <v>215</v>
      </c>
      <c r="F1787" t="s">
        <v>71</v>
      </c>
      <c r="H1787" t="s">
        <v>10</v>
      </c>
      <c r="I1787" t="s">
        <v>219</v>
      </c>
      <c r="J1787">
        <v>14</v>
      </c>
      <c r="N1787">
        <f>Таблица1[[#This Row],[Часов на заказчика  в работе]]+Таблица1[[#This Row],[Часов на заказчика  дежурство]]</f>
        <v>0</v>
      </c>
      <c r="O17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7" s="9"/>
      <c r="R1787" s="9"/>
      <c r="S1787" s="5">
        <v>1</v>
      </c>
      <c r="T17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табеле]])*S1787,0)</f>
        <v>0</v>
      </c>
      <c r="U1787" s="5">
        <f>IF(Таблица1[[#This Row],[ТТН]]&gt;0,Таблица1[[#This Row],[Ставка за ТТН]]*Таблица1[[#This Row],[ТТН]],0)</f>
        <v>0</v>
      </c>
    </row>
    <row r="1788" spans="1:21" x14ac:dyDescent="0.25">
      <c r="A1788" t="s">
        <v>84</v>
      </c>
      <c r="B1788" s="24">
        <v>14</v>
      </c>
      <c r="C1788" t="s">
        <v>154</v>
      </c>
      <c r="D1788" t="s">
        <v>71</v>
      </c>
      <c r="E1788" t="s">
        <v>215</v>
      </c>
      <c r="F1788" t="s">
        <v>71</v>
      </c>
      <c r="H1788" t="s">
        <v>10</v>
      </c>
      <c r="I1788" t="s">
        <v>219</v>
      </c>
      <c r="J1788">
        <v>22</v>
      </c>
      <c r="N1788">
        <f>Таблица1[[#This Row],[Часов на заказчика  в работе]]+Таблица1[[#This Row],[Часов на заказчика  дежурство]]</f>
        <v>0</v>
      </c>
      <c r="O17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8" s="9"/>
      <c r="R1788" s="9"/>
      <c r="S1788" s="5">
        <v>1</v>
      </c>
      <c r="T17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табеле]])*S1788,0)</f>
        <v>0</v>
      </c>
      <c r="U1788" s="5">
        <f>IF(Таблица1[[#This Row],[ТТН]]&gt;0,Таблица1[[#This Row],[Ставка за ТТН]]*Таблица1[[#This Row],[ТТН]],0)</f>
        <v>0</v>
      </c>
    </row>
    <row r="1789" spans="1:21" x14ac:dyDescent="0.25">
      <c r="A1789" t="s">
        <v>84</v>
      </c>
      <c r="B1789" s="24">
        <v>15</v>
      </c>
      <c r="C1789" t="s">
        <v>154</v>
      </c>
      <c r="D1789" t="s">
        <v>71</v>
      </c>
      <c r="E1789" t="s">
        <v>215</v>
      </c>
      <c r="F1789" t="s">
        <v>71</v>
      </c>
      <c r="H1789" t="s">
        <v>10</v>
      </c>
      <c r="I1789" t="s">
        <v>219</v>
      </c>
      <c r="J1789">
        <v>22</v>
      </c>
      <c r="N1789">
        <f>Таблица1[[#This Row],[Часов на заказчика  в работе]]+Таблица1[[#This Row],[Часов на заказчика  дежурство]]</f>
        <v>0</v>
      </c>
      <c r="O17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89" s="9"/>
      <c r="R1789" s="9"/>
      <c r="S1789" s="5">
        <v>1</v>
      </c>
      <c r="T17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табеле]])*S1789,0)</f>
        <v>0</v>
      </c>
      <c r="U1789" s="5">
        <f>IF(Таблица1[[#This Row],[ТТН]]&gt;0,Таблица1[[#This Row],[Ставка за ТТН]]*Таблица1[[#This Row],[ТТН]],0)</f>
        <v>0</v>
      </c>
    </row>
    <row r="1790" spans="1:21" x14ac:dyDescent="0.25">
      <c r="A1790" t="s">
        <v>84</v>
      </c>
      <c r="B1790" s="24">
        <v>16</v>
      </c>
      <c r="C1790" t="s">
        <v>154</v>
      </c>
      <c r="D1790" t="s">
        <v>71</v>
      </c>
      <c r="E1790" t="s">
        <v>215</v>
      </c>
      <c r="F1790" t="s">
        <v>71</v>
      </c>
      <c r="H1790" t="s">
        <v>10</v>
      </c>
      <c r="I1790" t="s">
        <v>219</v>
      </c>
      <c r="J1790">
        <v>14</v>
      </c>
      <c r="N1790">
        <f>Таблица1[[#This Row],[Часов на заказчика  в работе]]+Таблица1[[#This Row],[Часов на заказчика  дежурство]]</f>
        <v>0</v>
      </c>
      <c r="O17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0" s="9"/>
      <c r="R1790" s="9"/>
      <c r="S1790" s="5">
        <v>1</v>
      </c>
      <c r="T17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табеле]])*S1790,0)</f>
        <v>0</v>
      </c>
      <c r="U1790" s="5">
        <f>IF(Таблица1[[#This Row],[ТТН]]&gt;0,Таблица1[[#This Row],[Ставка за ТТН]]*Таблица1[[#This Row],[ТТН]],0)</f>
        <v>0</v>
      </c>
    </row>
    <row r="1791" spans="1:21" x14ac:dyDescent="0.25">
      <c r="A1791" t="s">
        <v>84</v>
      </c>
      <c r="B1791" s="24">
        <v>17</v>
      </c>
      <c r="C1791" t="s">
        <v>154</v>
      </c>
      <c r="D1791" t="s">
        <v>71</v>
      </c>
      <c r="E1791" t="s">
        <v>215</v>
      </c>
      <c r="F1791" t="s">
        <v>71</v>
      </c>
      <c r="H1791" t="s">
        <v>10</v>
      </c>
      <c r="I1791" t="s">
        <v>219</v>
      </c>
      <c r="J1791">
        <v>13</v>
      </c>
      <c r="N1791">
        <f>Таблица1[[#This Row],[Часов на заказчика  в работе]]+Таблица1[[#This Row],[Часов на заказчика  дежурство]]</f>
        <v>0</v>
      </c>
      <c r="O17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1" s="9"/>
      <c r="R1791" s="9"/>
      <c r="S1791" s="5">
        <v>1</v>
      </c>
      <c r="T17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табеле]])*S1791,0)</f>
        <v>0</v>
      </c>
      <c r="U1791" s="5">
        <f>IF(Таблица1[[#This Row],[ТТН]]&gt;0,Таблица1[[#This Row],[Ставка за ТТН]]*Таблица1[[#This Row],[ТТН]],0)</f>
        <v>0</v>
      </c>
    </row>
    <row r="1792" spans="1:21" x14ac:dyDescent="0.25">
      <c r="A1792" t="s">
        <v>84</v>
      </c>
      <c r="B1792" s="24">
        <v>18</v>
      </c>
      <c r="C1792" t="s">
        <v>154</v>
      </c>
      <c r="D1792" t="s">
        <v>71</v>
      </c>
      <c r="E1792" t="s">
        <v>215</v>
      </c>
      <c r="F1792" t="s">
        <v>71</v>
      </c>
      <c r="H1792" t="s">
        <v>10</v>
      </c>
      <c r="I1792" t="s">
        <v>219</v>
      </c>
      <c r="J1792">
        <v>15</v>
      </c>
      <c r="N1792">
        <f>Таблица1[[#This Row],[Часов на заказчика  в работе]]+Таблица1[[#This Row],[Часов на заказчика  дежурство]]</f>
        <v>0</v>
      </c>
      <c r="O17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2" s="9"/>
      <c r="R1792" s="9"/>
      <c r="S1792" s="5">
        <v>1</v>
      </c>
      <c r="T17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табеле]])*S1792,0)</f>
        <v>0</v>
      </c>
      <c r="U1792" s="5">
        <f>IF(Таблица1[[#This Row],[ТТН]]&gt;0,Таблица1[[#This Row],[Ставка за ТТН]]*Таблица1[[#This Row],[ТТН]],0)</f>
        <v>0</v>
      </c>
    </row>
    <row r="1793" spans="1:21" x14ac:dyDescent="0.25">
      <c r="A1793" t="s">
        <v>84</v>
      </c>
      <c r="B1793" s="24">
        <v>19</v>
      </c>
      <c r="C1793" t="s">
        <v>154</v>
      </c>
      <c r="D1793" t="s">
        <v>71</v>
      </c>
      <c r="E1793" t="s">
        <v>215</v>
      </c>
      <c r="F1793" t="s">
        <v>71</v>
      </c>
      <c r="H1793" t="s">
        <v>10</v>
      </c>
      <c r="I1793" t="s">
        <v>219</v>
      </c>
      <c r="J1793">
        <v>14</v>
      </c>
      <c r="N1793">
        <f>Таблица1[[#This Row],[Часов на заказчика  в работе]]+Таблица1[[#This Row],[Часов на заказчика  дежурство]]</f>
        <v>0</v>
      </c>
      <c r="O17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3" s="9"/>
      <c r="R1793" s="9"/>
      <c r="S1793" s="5">
        <v>1</v>
      </c>
      <c r="T17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табеле]])*S1793,0)</f>
        <v>0</v>
      </c>
      <c r="U1793" s="5">
        <f>IF(Таблица1[[#This Row],[ТТН]]&gt;0,Таблица1[[#This Row],[Ставка за ТТН]]*Таблица1[[#This Row],[ТТН]],0)</f>
        <v>0</v>
      </c>
    </row>
    <row r="1794" spans="1:21" x14ac:dyDescent="0.25">
      <c r="A1794" t="s">
        <v>84</v>
      </c>
      <c r="B1794" s="24">
        <v>20</v>
      </c>
      <c r="C1794" t="s">
        <v>154</v>
      </c>
      <c r="D1794" t="s">
        <v>71</v>
      </c>
      <c r="E1794" t="s">
        <v>215</v>
      </c>
      <c r="F1794" t="s">
        <v>71</v>
      </c>
      <c r="H1794" t="s">
        <v>10</v>
      </c>
      <c r="I1794" t="s">
        <v>219</v>
      </c>
      <c r="J1794">
        <v>15</v>
      </c>
      <c r="N1794">
        <f>Таблица1[[#This Row],[Часов на заказчика  в работе]]+Таблица1[[#This Row],[Часов на заказчика  дежурство]]</f>
        <v>0</v>
      </c>
      <c r="O17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4" s="9"/>
      <c r="R1794" s="9"/>
      <c r="S1794" s="5">
        <v>1</v>
      </c>
      <c r="T17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табеле]])*S1794,0)</f>
        <v>0</v>
      </c>
      <c r="U1794" s="5">
        <f>IF(Таблица1[[#This Row],[ТТН]]&gt;0,Таблица1[[#This Row],[Ставка за ТТН]]*Таблица1[[#This Row],[ТТН]],0)</f>
        <v>0</v>
      </c>
    </row>
    <row r="1795" spans="1:21" x14ac:dyDescent="0.25">
      <c r="A1795" t="s">
        <v>84</v>
      </c>
      <c r="B1795" s="24">
        <v>21</v>
      </c>
      <c r="C1795" t="s">
        <v>154</v>
      </c>
      <c r="D1795" t="s">
        <v>71</v>
      </c>
      <c r="E1795" t="s">
        <v>215</v>
      </c>
      <c r="F1795" t="s">
        <v>71</v>
      </c>
      <c r="H1795" t="s">
        <v>10</v>
      </c>
      <c r="I1795" t="s">
        <v>219</v>
      </c>
      <c r="J1795">
        <v>15</v>
      </c>
      <c r="N1795">
        <f>Таблица1[[#This Row],[Часов на заказчика  в работе]]+Таблица1[[#This Row],[Часов на заказчика  дежурство]]</f>
        <v>0</v>
      </c>
      <c r="O17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5" s="9"/>
      <c r="R1795" s="9"/>
      <c r="S1795" s="5">
        <v>1</v>
      </c>
      <c r="T17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табеле]])*S1795,0)</f>
        <v>0</v>
      </c>
      <c r="U1795" s="5">
        <f>IF(Таблица1[[#This Row],[ТТН]]&gt;0,Таблица1[[#This Row],[Ставка за ТТН]]*Таблица1[[#This Row],[ТТН]],0)</f>
        <v>0</v>
      </c>
    </row>
    <row r="1796" spans="1:21" x14ac:dyDescent="0.25">
      <c r="A1796" t="s">
        <v>84</v>
      </c>
      <c r="B1796" s="24">
        <v>22</v>
      </c>
      <c r="C1796" t="s">
        <v>154</v>
      </c>
      <c r="D1796" t="s">
        <v>71</v>
      </c>
      <c r="E1796" t="s">
        <v>215</v>
      </c>
      <c r="F1796" t="s">
        <v>71</v>
      </c>
      <c r="H1796" t="s">
        <v>10</v>
      </c>
      <c r="I1796" t="s">
        <v>219</v>
      </c>
      <c r="J1796">
        <v>11</v>
      </c>
      <c r="N1796">
        <f>Таблица1[[#This Row],[Часов на заказчика  в работе]]+Таблица1[[#This Row],[Часов на заказчика  дежурство]]</f>
        <v>0</v>
      </c>
      <c r="O17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6" s="9"/>
      <c r="R1796" s="9"/>
      <c r="S1796" s="5">
        <v>1</v>
      </c>
      <c r="T17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табеле]])*S1796,0)</f>
        <v>0</v>
      </c>
      <c r="U1796" s="5">
        <f>IF(Таблица1[[#This Row],[ТТН]]&gt;0,Таблица1[[#This Row],[Ставка за ТТН]]*Таблица1[[#This Row],[ТТН]],0)</f>
        <v>0</v>
      </c>
    </row>
    <row r="1797" spans="1:21" x14ac:dyDescent="0.25">
      <c r="A1797" t="s">
        <v>84</v>
      </c>
      <c r="B1797" s="24">
        <v>23</v>
      </c>
      <c r="C1797" t="s">
        <v>154</v>
      </c>
      <c r="D1797" t="s">
        <v>71</v>
      </c>
      <c r="E1797" t="s">
        <v>215</v>
      </c>
      <c r="F1797" t="s">
        <v>71</v>
      </c>
      <c r="H1797" t="s">
        <v>10</v>
      </c>
      <c r="I1797" t="s">
        <v>219</v>
      </c>
      <c r="J1797">
        <v>11</v>
      </c>
      <c r="N1797">
        <f>Таблица1[[#This Row],[Часов на заказчика  в работе]]+Таблица1[[#This Row],[Часов на заказчика  дежурство]]</f>
        <v>0</v>
      </c>
      <c r="O17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7" s="9"/>
      <c r="R1797" s="9"/>
      <c r="S1797" s="5">
        <v>1</v>
      </c>
      <c r="T17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табеле]])*S1797,0)</f>
        <v>0</v>
      </c>
      <c r="U1797" s="5">
        <f>IF(Таблица1[[#This Row],[ТТН]]&gt;0,Таблица1[[#This Row],[Ставка за ТТН]]*Таблица1[[#This Row],[ТТН]],0)</f>
        <v>0</v>
      </c>
    </row>
    <row r="1798" spans="1:21" x14ac:dyDescent="0.25">
      <c r="A1798" t="s">
        <v>84</v>
      </c>
      <c r="B1798" s="24">
        <v>24</v>
      </c>
      <c r="C1798" t="s">
        <v>154</v>
      </c>
      <c r="D1798" t="s">
        <v>71</v>
      </c>
      <c r="E1798" t="s">
        <v>215</v>
      </c>
      <c r="F1798" t="s">
        <v>71</v>
      </c>
      <c r="H1798" t="s">
        <v>10</v>
      </c>
      <c r="I1798" t="s">
        <v>219</v>
      </c>
      <c r="J1798">
        <v>11</v>
      </c>
      <c r="N1798">
        <f>Таблица1[[#This Row],[Часов на заказчика  в работе]]+Таблица1[[#This Row],[Часов на заказчика  дежурство]]</f>
        <v>0</v>
      </c>
      <c r="O17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8" s="9"/>
      <c r="R1798" s="9"/>
      <c r="S1798" s="5">
        <v>1</v>
      </c>
      <c r="T17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табеле]])*S1798,0)</f>
        <v>0</v>
      </c>
      <c r="U1798" s="5">
        <f>IF(Таблица1[[#This Row],[ТТН]]&gt;0,Таблица1[[#This Row],[Ставка за ТТН]]*Таблица1[[#This Row],[ТТН]],0)</f>
        <v>0</v>
      </c>
    </row>
    <row r="1799" spans="1:21" x14ac:dyDescent="0.25">
      <c r="A1799" t="s">
        <v>84</v>
      </c>
      <c r="B1799" s="24">
        <v>25</v>
      </c>
      <c r="C1799" t="s">
        <v>154</v>
      </c>
      <c r="D1799" t="s">
        <v>71</v>
      </c>
      <c r="E1799" t="s">
        <v>215</v>
      </c>
      <c r="F1799" t="s">
        <v>71</v>
      </c>
      <c r="H1799" t="s">
        <v>10</v>
      </c>
      <c r="I1799" t="s">
        <v>219</v>
      </c>
      <c r="J1799">
        <v>11</v>
      </c>
      <c r="N1799">
        <f>Таблица1[[#This Row],[Часов на заказчика  в работе]]+Таблица1[[#This Row],[Часов на заказчика  дежурство]]</f>
        <v>0</v>
      </c>
      <c r="O17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799" s="9"/>
      <c r="R1799" s="9"/>
      <c r="S1799" s="5">
        <v>1</v>
      </c>
      <c r="T17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табеле]])*S1799,0)</f>
        <v>0</v>
      </c>
      <c r="U1799" s="5">
        <f>IF(Таблица1[[#This Row],[ТТН]]&gt;0,Таблица1[[#This Row],[Ставка за ТТН]]*Таблица1[[#This Row],[ТТН]],0)</f>
        <v>0</v>
      </c>
    </row>
    <row r="1800" spans="1:21" x14ac:dyDescent="0.25">
      <c r="A1800" t="s">
        <v>84</v>
      </c>
      <c r="B1800" s="24">
        <v>26</v>
      </c>
      <c r="C1800" t="s">
        <v>154</v>
      </c>
      <c r="D1800" t="s">
        <v>71</v>
      </c>
      <c r="E1800" t="s">
        <v>215</v>
      </c>
      <c r="F1800" t="s">
        <v>71</v>
      </c>
      <c r="H1800" t="s">
        <v>10</v>
      </c>
      <c r="I1800" t="s">
        <v>219</v>
      </c>
      <c r="J1800">
        <v>19</v>
      </c>
      <c r="N1800">
        <f>Таблица1[[#This Row],[Часов на заказчика  в работе]]+Таблица1[[#This Row],[Часов на заказчика  дежурство]]</f>
        <v>0</v>
      </c>
      <c r="O18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0" s="9"/>
      <c r="R1800" s="9"/>
      <c r="S1800" s="5">
        <v>1</v>
      </c>
      <c r="T18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табеле]])*S1800,0)</f>
        <v>0</v>
      </c>
      <c r="U1800" s="5">
        <f>IF(Таблица1[[#This Row],[ТТН]]&gt;0,Таблица1[[#This Row],[Ставка за ТТН]]*Таблица1[[#This Row],[ТТН]],0)</f>
        <v>0</v>
      </c>
    </row>
    <row r="1801" spans="1:21" x14ac:dyDescent="0.25">
      <c r="A1801" t="s">
        <v>84</v>
      </c>
      <c r="B1801" s="24">
        <v>27</v>
      </c>
      <c r="C1801" t="s">
        <v>154</v>
      </c>
      <c r="D1801" t="s">
        <v>71</v>
      </c>
      <c r="E1801" t="s">
        <v>215</v>
      </c>
      <c r="F1801" t="s">
        <v>71</v>
      </c>
      <c r="H1801" t="s">
        <v>10</v>
      </c>
      <c r="I1801" t="s">
        <v>219</v>
      </c>
      <c r="J1801">
        <v>11</v>
      </c>
      <c r="N1801">
        <f>Таблица1[[#This Row],[Часов на заказчика  в работе]]+Таблица1[[#This Row],[Часов на заказчика  дежурство]]</f>
        <v>0</v>
      </c>
      <c r="O18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1" s="9"/>
      <c r="R1801" s="9"/>
      <c r="S1801" s="5">
        <v>1</v>
      </c>
      <c r="T18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табеле]])*S1801,0)</f>
        <v>0</v>
      </c>
      <c r="U1801" s="5">
        <f>IF(Таблица1[[#This Row],[ТТН]]&gt;0,Таблица1[[#This Row],[Ставка за ТТН]]*Таблица1[[#This Row],[ТТН]],0)</f>
        <v>0</v>
      </c>
    </row>
    <row r="1802" spans="1:21" x14ac:dyDescent="0.25">
      <c r="A1802" t="s">
        <v>84</v>
      </c>
      <c r="B1802" s="24">
        <v>28</v>
      </c>
      <c r="C1802" t="s">
        <v>154</v>
      </c>
      <c r="D1802" t="s">
        <v>71</v>
      </c>
      <c r="E1802" t="s">
        <v>215</v>
      </c>
      <c r="F1802" t="s">
        <v>71</v>
      </c>
      <c r="H1802" t="s">
        <v>10</v>
      </c>
      <c r="I1802" t="s">
        <v>219</v>
      </c>
      <c r="J1802">
        <v>11</v>
      </c>
      <c r="N1802">
        <f>Таблица1[[#This Row],[Часов на заказчика  в работе]]+Таблица1[[#This Row],[Часов на заказчика  дежурство]]</f>
        <v>0</v>
      </c>
      <c r="O18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2" s="9"/>
      <c r="R1802" s="9"/>
      <c r="S1802" s="5">
        <v>1</v>
      </c>
      <c r="T18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табеле]])*S1802,0)</f>
        <v>0</v>
      </c>
      <c r="U1802" s="5">
        <f>IF(Таблица1[[#This Row],[ТТН]]&gt;0,Таблица1[[#This Row],[Ставка за ТТН]]*Таблица1[[#This Row],[ТТН]],0)</f>
        <v>0</v>
      </c>
    </row>
    <row r="1803" spans="1:21" x14ac:dyDescent="0.25">
      <c r="A1803" t="s">
        <v>84</v>
      </c>
      <c r="B1803" s="24">
        <v>29</v>
      </c>
      <c r="C1803" t="s">
        <v>154</v>
      </c>
      <c r="D1803" t="s">
        <v>71</v>
      </c>
      <c r="E1803" t="s">
        <v>215</v>
      </c>
      <c r="F1803" t="s">
        <v>71</v>
      </c>
      <c r="H1803" t="s">
        <v>10</v>
      </c>
      <c r="I1803" t="s">
        <v>219</v>
      </c>
      <c r="J1803">
        <v>11</v>
      </c>
      <c r="N1803">
        <f>Таблица1[[#This Row],[Часов на заказчика  в работе]]+Таблица1[[#This Row],[Часов на заказчика  дежурство]]</f>
        <v>0</v>
      </c>
      <c r="O18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3" s="9"/>
      <c r="R1803" s="9"/>
      <c r="S1803" s="5">
        <v>1</v>
      </c>
      <c r="T18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табеле]])*S1803,0)</f>
        <v>0</v>
      </c>
      <c r="U1803" s="5">
        <f>IF(Таблица1[[#This Row],[ТТН]]&gt;0,Таблица1[[#This Row],[Ставка за ТТН]]*Таблица1[[#This Row],[ТТН]],0)</f>
        <v>0</v>
      </c>
    </row>
    <row r="1804" spans="1:21" x14ac:dyDescent="0.25">
      <c r="A1804" t="s">
        <v>84</v>
      </c>
      <c r="B1804" s="24">
        <v>30</v>
      </c>
      <c r="C1804" t="s">
        <v>155</v>
      </c>
      <c r="D1804" t="s">
        <v>71</v>
      </c>
      <c r="E1804" t="s">
        <v>215</v>
      </c>
      <c r="F1804" t="s">
        <v>71</v>
      </c>
      <c r="H1804" t="s">
        <v>10</v>
      </c>
      <c r="I1804" t="s">
        <v>219</v>
      </c>
      <c r="J1804">
        <v>16</v>
      </c>
      <c r="N1804">
        <f>Таблица1[[#This Row],[Часов на заказчика  в работе]]+Таблица1[[#This Row],[Часов на заказчика  дежурство]]</f>
        <v>0</v>
      </c>
      <c r="O18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4" s="9"/>
      <c r="R1804" s="9"/>
      <c r="S1804" s="5">
        <v>1</v>
      </c>
      <c r="T18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табеле]])*S1804,0)</f>
        <v>0</v>
      </c>
      <c r="U1804" s="5">
        <f>IF(Таблица1[[#This Row],[ТТН]]&gt;0,Таблица1[[#This Row],[Ставка за ТТН]]*Таблица1[[#This Row],[ТТН]],0)</f>
        <v>0</v>
      </c>
    </row>
    <row r="1805" spans="1:21" x14ac:dyDescent="0.25">
      <c r="A1805" t="s">
        <v>84</v>
      </c>
      <c r="B1805" s="24">
        <v>1</v>
      </c>
      <c r="C1805" t="s">
        <v>155</v>
      </c>
      <c r="D1805" t="s">
        <v>35</v>
      </c>
      <c r="E1805" t="s">
        <v>215</v>
      </c>
      <c r="F1805" t="s">
        <v>36</v>
      </c>
      <c r="H1805" t="s">
        <v>10</v>
      </c>
      <c r="I1805" t="s">
        <v>219</v>
      </c>
      <c r="J1805">
        <v>11</v>
      </c>
      <c r="L1805">
        <v>11</v>
      </c>
      <c r="N1805">
        <f>Таблица1[[#This Row],[Часов на заказчика  в работе]]+Таблица1[[#This Row],[Часов на заказчика  дежурство]]</f>
        <v>11</v>
      </c>
      <c r="O18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5" s="9">
        <v>200000</v>
      </c>
      <c r="R1805" s="9"/>
      <c r="S1805" s="5">
        <v>1</v>
      </c>
      <c r="T18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табеле]])*S1805,0)</f>
        <v>6666.6666666666661</v>
      </c>
      <c r="U1805" s="5">
        <f>IF(Таблица1[[#This Row],[ТТН]]&gt;0,Таблица1[[#This Row],[Ставка за ТТН]]*Таблица1[[#This Row],[ТТН]],0)</f>
        <v>0</v>
      </c>
    </row>
    <row r="1806" spans="1:21" x14ac:dyDescent="0.25">
      <c r="A1806" t="s">
        <v>84</v>
      </c>
      <c r="B1806" s="24">
        <v>2</v>
      </c>
      <c r="C1806" t="s">
        <v>155</v>
      </c>
      <c r="D1806" t="s">
        <v>35</v>
      </c>
      <c r="E1806" t="s">
        <v>215</v>
      </c>
      <c r="F1806" t="s">
        <v>36</v>
      </c>
      <c r="H1806" t="s">
        <v>10</v>
      </c>
      <c r="I1806" t="s">
        <v>219</v>
      </c>
      <c r="J1806">
        <v>11</v>
      </c>
      <c r="L1806">
        <v>11</v>
      </c>
      <c r="N1806">
        <f>Таблица1[[#This Row],[Часов на заказчика  в работе]]+Таблица1[[#This Row],[Часов на заказчика  дежурство]]</f>
        <v>11</v>
      </c>
      <c r="O18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6" s="9">
        <v>200000</v>
      </c>
      <c r="R1806" s="9"/>
      <c r="S1806" s="5">
        <v>1</v>
      </c>
      <c r="T18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табеле]])*S1806,0)</f>
        <v>6666.6666666666661</v>
      </c>
      <c r="U1806" s="5">
        <f>IF(Таблица1[[#This Row],[ТТН]]&gt;0,Таблица1[[#This Row],[Ставка за ТТН]]*Таблица1[[#This Row],[ТТН]],0)</f>
        <v>0</v>
      </c>
    </row>
    <row r="1807" spans="1:21" x14ac:dyDescent="0.25">
      <c r="A1807" t="s">
        <v>84</v>
      </c>
      <c r="B1807" s="24">
        <v>3</v>
      </c>
      <c r="C1807" t="s">
        <v>155</v>
      </c>
      <c r="D1807" t="s">
        <v>35</v>
      </c>
      <c r="E1807" t="s">
        <v>215</v>
      </c>
      <c r="F1807" t="s">
        <v>36</v>
      </c>
      <c r="H1807" t="s">
        <v>10</v>
      </c>
      <c r="I1807" t="s">
        <v>219</v>
      </c>
      <c r="J1807">
        <v>11</v>
      </c>
      <c r="L1807">
        <v>11</v>
      </c>
      <c r="N1807">
        <f>Таблица1[[#This Row],[Часов на заказчика  в работе]]+Таблица1[[#This Row],[Часов на заказчика  дежурство]]</f>
        <v>11</v>
      </c>
      <c r="O18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7" s="9">
        <v>200000</v>
      </c>
      <c r="R1807" s="9"/>
      <c r="S1807" s="5">
        <v>1</v>
      </c>
      <c r="T18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табеле]])*S1807,0)</f>
        <v>6666.6666666666661</v>
      </c>
      <c r="U1807" s="5">
        <f>IF(Таблица1[[#This Row],[ТТН]]&gt;0,Таблица1[[#This Row],[Ставка за ТТН]]*Таблица1[[#This Row],[ТТН]],0)</f>
        <v>0</v>
      </c>
    </row>
    <row r="1808" spans="1:21" x14ac:dyDescent="0.25">
      <c r="A1808" t="s">
        <v>84</v>
      </c>
      <c r="B1808" s="24">
        <v>4</v>
      </c>
      <c r="C1808" t="s">
        <v>155</v>
      </c>
      <c r="D1808" t="s">
        <v>35</v>
      </c>
      <c r="E1808" t="s">
        <v>215</v>
      </c>
      <c r="F1808" t="s">
        <v>36</v>
      </c>
      <c r="H1808" t="s">
        <v>10</v>
      </c>
      <c r="I1808" t="s">
        <v>219</v>
      </c>
      <c r="J1808">
        <v>11</v>
      </c>
      <c r="L1808">
        <v>11</v>
      </c>
      <c r="N1808">
        <f>Таблица1[[#This Row],[Часов на заказчика  в работе]]+Таблица1[[#This Row],[Часов на заказчика  дежурство]]</f>
        <v>11</v>
      </c>
      <c r="O18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8" s="9">
        <v>200000</v>
      </c>
      <c r="R1808" s="9"/>
      <c r="S1808" s="5">
        <v>1</v>
      </c>
      <c r="T18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табеле]])*S1808,0)</f>
        <v>6666.6666666666661</v>
      </c>
      <c r="U1808" s="5">
        <f>IF(Таблица1[[#This Row],[ТТН]]&gt;0,Таблица1[[#This Row],[Ставка за ТТН]]*Таблица1[[#This Row],[ТТН]],0)</f>
        <v>0</v>
      </c>
    </row>
    <row r="1809" spans="1:21" x14ac:dyDescent="0.25">
      <c r="A1809" t="s">
        <v>84</v>
      </c>
      <c r="B1809" s="24">
        <v>5</v>
      </c>
      <c r="C1809" t="s">
        <v>155</v>
      </c>
      <c r="D1809" t="s">
        <v>35</v>
      </c>
      <c r="E1809" t="s">
        <v>215</v>
      </c>
      <c r="F1809" t="s">
        <v>36</v>
      </c>
      <c r="H1809" t="s">
        <v>38</v>
      </c>
      <c r="I1809" t="s">
        <v>219</v>
      </c>
      <c r="J1809">
        <v>11</v>
      </c>
      <c r="L1809">
        <v>11</v>
      </c>
      <c r="N1809">
        <f>Таблица1[[#This Row],[Часов на заказчика  в работе]]+Таблица1[[#This Row],[Часов на заказчика  дежурство]]</f>
        <v>11</v>
      </c>
      <c r="O18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09" s="9">
        <v>200000</v>
      </c>
      <c r="R1809" s="9"/>
      <c r="S1809" s="5">
        <v>1</v>
      </c>
      <c r="T18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табеле]])*S1809,0)</f>
        <v>6666.6666666666661</v>
      </c>
      <c r="U1809" s="5">
        <f>IF(Таблица1[[#This Row],[ТТН]]&gt;0,Таблица1[[#This Row],[Ставка за ТТН]]*Таблица1[[#This Row],[ТТН]],0)</f>
        <v>0</v>
      </c>
    </row>
    <row r="1810" spans="1:21" x14ac:dyDescent="0.25">
      <c r="A1810" t="s">
        <v>84</v>
      </c>
      <c r="B1810" s="24">
        <v>6</v>
      </c>
      <c r="C1810" t="s">
        <v>155</v>
      </c>
      <c r="D1810" t="s">
        <v>35</v>
      </c>
      <c r="E1810" t="s">
        <v>215</v>
      </c>
      <c r="F1810" t="s">
        <v>36</v>
      </c>
      <c r="H1810" t="s">
        <v>38</v>
      </c>
      <c r="I1810" t="s">
        <v>219</v>
      </c>
      <c r="J1810">
        <v>11</v>
      </c>
      <c r="L1810">
        <v>11</v>
      </c>
      <c r="N1810">
        <f>Таблица1[[#This Row],[Часов на заказчика  в работе]]+Таблица1[[#This Row],[Часов на заказчика  дежурство]]</f>
        <v>11</v>
      </c>
      <c r="O18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0" s="9">
        <v>200000</v>
      </c>
      <c r="R1810" s="9"/>
      <c r="S1810" s="5">
        <v>1</v>
      </c>
      <c r="T18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табеле]])*S1810,0)</f>
        <v>6666.6666666666661</v>
      </c>
      <c r="U1810" s="5">
        <f>IF(Таблица1[[#This Row],[ТТН]]&gt;0,Таблица1[[#This Row],[Ставка за ТТН]]*Таблица1[[#This Row],[ТТН]],0)</f>
        <v>0</v>
      </c>
    </row>
    <row r="1811" spans="1:21" x14ac:dyDescent="0.25">
      <c r="A1811" t="s">
        <v>84</v>
      </c>
      <c r="B1811" s="24">
        <v>7</v>
      </c>
      <c r="C1811" t="s">
        <v>155</v>
      </c>
      <c r="D1811" t="s">
        <v>35</v>
      </c>
      <c r="E1811" t="s">
        <v>215</v>
      </c>
      <c r="F1811" t="s">
        <v>36</v>
      </c>
      <c r="H1811" t="s">
        <v>38</v>
      </c>
      <c r="I1811" t="s">
        <v>219</v>
      </c>
      <c r="J1811">
        <v>11</v>
      </c>
      <c r="L1811">
        <v>11</v>
      </c>
      <c r="N1811">
        <f>Таблица1[[#This Row],[Часов на заказчика  в работе]]+Таблица1[[#This Row],[Часов на заказчика  дежурство]]</f>
        <v>11</v>
      </c>
      <c r="O18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1" s="9">
        <v>200000</v>
      </c>
      <c r="R1811" s="9"/>
      <c r="S1811" s="5">
        <v>1</v>
      </c>
      <c r="T18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табеле]])*S1811,0)</f>
        <v>6666.6666666666661</v>
      </c>
      <c r="U1811" s="5">
        <f>IF(Таблица1[[#This Row],[ТТН]]&gt;0,Таблица1[[#This Row],[Ставка за ТТН]]*Таблица1[[#This Row],[ТТН]],0)</f>
        <v>0</v>
      </c>
    </row>
    <row r="1812" spans="1:21" x14ac:dyDescent="0.25">
      <c r="A1812" t="s">
        <v>84</v>
      </c>
      <c r="B1812" s="24">
        <v>8</v>
      </c>
      <c r="C1812" t="s">
        <v>155</v>
      </c>
      <c r="D1812" t="s">
        <v>35</v>
      </c>
      <c r="E1812" t="s">
        <v>215</v>
      </c>
      <c r="F1812" t="s">
        <v>36</v>
      </c>
      <c r="H1812" t="s">
        <v>10</v>
      </c>
      <c r="I1812" t="s">
        <v>219</v>
      </c>
      <c r="J1812">
        <v>11</v>
      </c>
      <c r="L1812">
        <v>11</v>
      </c>
      <c r="N1812">
        <f>Таблица1[[#This Row],[Часов на заказчика  в работе]]+Таблица1[[#This Row],[Часов на заказчика  дежурство]]</f>
        <v>11</v>
      </c>
      <c r="O18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2" s="9">
        <v>200000</v>
      </c>
      <c r="R1812" s="9"/>
      <c r="S1812" s="5">
        <v>1</v>
      </c>
      <c r="T18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табеле]])*S1812,0)</f>
        <v>6666.6666666666661</v>
      </c>
      <c r="U1812" s="5">
        <f>IF(Таблица1[[#This Row],[ТТН]]&gt;0,Таблица1[[#This Row],[Ставка за ТТН]]*Таблица1[[#This Row],[ТТН]],0)</f>
        <v>0</v>
      </c>
    </row>
    <row r="1813" spans="1:21" x14ac:dyDescent="0.25">
      <c r="A1813" t="s">
        <v>84</v>
      </c>
      <c r="B1813" s="24">
        <v>9</v>
      </c>
      <c r="C1813" t="s">
        <v>155</v>
      </c>
      <c r="D1813" t="s">
        <v>35</v>
      </c>
      <c r="E1813" t="s">
        <v>215</v>
      </c>
      <c r="F1813" t="s">
        <v>36</v>
      </c>
      <c r="H1813" t="s">
        <v>10</v>
      </c>
      <c r="I1813" t="s">
        <v>219</v>
      </c>
      <c r="J1813">
        <v>11</v>
      </c>
      <c r="L1813">
        <v>11</v>
      </c>
      <c r="N1813">
        <f>Таблица1[[#This Row],[Часов на заказчика  в работе]]+Таблица1[[#This Row],[Часов на заказчика  дежурство]]</f>
        <v>11</v>
      </c>
      <c r="O18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3" s="9">
        <v>200000</v>
      </c>
      <c r="R1813" s="9"/>
      <c r="S1813" s="5">
        <v>1</v>
      </c>
      <c r="T18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табеле]])*S1813,0)</f>
        <v>6666.6666666666661</v>
      </c>
      <c r="U1813" s="5">
        <f>IF(Таблица1[[#This Row],[ТТН]]&gt;0,Таблица1[[#This Row],[Ставка за ТТН]]*Таблица1[[#This Row],[ТТН]],0)</f>
        <v>0</v>
      </c>
    </row>
    <row r="1814" spans="1:21" x14ac:dyDescent="0.25">
      <c r="A1814" t="s">
        <v>84</v>
      </c>
      <c r="B1814" s="24">
        <v>10</v>
      </c>
      <c r="C1814" t="s">
        <v>155</v>
      </c>
      <c r="D1814" t="s">
        <v>35</v>
      </c>
      <c r="E1814" t="s">
        <v>215</v>
      </c>
      <c r="F1814" t="s">
        <v>36</v>
      </c>
      <c r="H1814" t="s">
        <v>10</v>
      </c>
      <c r="I1814" t="s">
        <v>219</v>
      </c>
      <c r="J1814">
        <v>11</v>
      </c>
      <c r="L1814">
        <v>11</v>
      </c>
      <c r="N1814">
        <f>Таблица1[[#This Row],[Часов на заказчика  в работе]]+Таблица1[[#This Row],[Часов на заказчика  дежурство]]</f>
        <v>11</v>
      </c>
      <c r="O18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4" s="9">
        <v>200000</v>
      </c>
      <c r="R1814" s="9"/>
      <c r="S1814" s="5">
        <v>1</v>
      </c>
      <c r="T18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табеле]])*S1814,0)</f>
        <v>6666.6666666666661</v>
      </c>
      <c r="U1814" s="5">
        <f>IF(Таблица1[[#This Row],[ТТН]]&gt;0,Таблица1[[#This Row],[Ставка за ТТН]]*Таблица1[[#This Row],[ТТН]],0)</f>
        <v>0</v>
      </c>
    </row>
    <row r="1815" spans="1:21" x14ac:dyDescent="0.25">
      <c r="A1815" t="s">
        <v>84</v>
      </c>
      <c r="B1815" s="24">
        <v>11</v>
      </c>
      <c r="C1815" t="s">
        <v>155</v>
      </c>
      <c r="D1815" t="s">
        <v>35</v>
      </c>
      <c r="E1815" t="s">
        <v>215</v>
      </c>
      <c r="F1815" t="s">
        <v>36</v>
      </c>
      <c r="H1815" t="s">
        <v>10</v>
      </c>
      <c r="I1815" t="s">
        <v>219</v>
      </c>
      <c r="J1815">
        <v>11</v>
      </c>
      <c r="L1815">
        <v>11</v>
      </c>
      <c r="N1815">
        <f>Таблица1[[#This Row],[Часов на заказчика  в работе]]+Таблица1[[#This Row],[Часов на заказчика  дежурство]]</f>
        <v>11</v>
      </c>
      <c r="O18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5" s="9">
        <v>200000</v>
      </c>
      <c r="R1815" s="9"/>
      <c r="S1815" s="5">
        <v>1</v>
      </c>
      <c r="T18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табеле]])*S1815,0)</f>
        <v>6666.6666666666661</v>
      </c>
      <c r="U1815" s="5">
        <f>IF(Таблица1[[#This Row],[ТТН]]&gt;0,Таблица1[[#This Row],[Ставка за ТТН]]*Таблица1[[#This Row],[ТТН]],0)</f>
        <v>0</v>
      </c>
    </row>
    <row r="1816" spans="1:21" x14ac:dyDescent="0.25">
      <c r="A1816" t="s">
        <v>84</v>
      </c>
      <c r="B1816" s="24">
        <v>12</v>
      </c>
      <c r="C1816" t="s">
        <v>155</v>
      </c>
      <c r="D1816" t="s">
        <v>35</v>
      </c>
      <c r="E1816" t="s">
        <v>215</v>
      </c>
      <c r="F1816" t="s">
        <v>36</v>
      </c>
      <c r="H1816" t="s">
        <v>10</v>
      </c>
      <c r="I1816" t="s">
        <v>219</v>
      </c>
      <c r="J1816">
        <v>11</v>
      </c>
      <c r="L1816">
        <v>11</v>
      </c>
      <c r="N1816">
        <f>Таблица1[[#This Row],[Часов на заказчика  в работе]]+Таблица1[[#This Row],[Часов на заказчика  дежурство]]</f>
        <v>11</v>
      </c>
      <c r="O18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6" s="9">
        <v>200000</v>
      </c>
      <c r="R1816" s="9"/>
      <c r="S1816" s="5">
        <v>1</v>
      </c>
      <c r="T18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табеле]])*S1816,0)</f>
        <v>6666.6666666666661</v>
      </c>
      <c r="U1816" s="5">
        <f>IF(Таблица1[[#This Row],[ТТН]]&gt;0,Таблица1[[#This Row],[Ставка за ТТН]]*Таблица1[[#This Row],[ТТН]],0)</f>
        <v>0</v>
      </c>
    </row>
    <row r="1817" spans="1:21" x14ac:dyDescent="0.25">
      <c r="A1817" t="s">
        <v>84</v>
      </c>
      <c r="B1817" s="24">
        <v>13</v>
      </c>
      <c r="C1817" t="s">
        <v>155</v>
      </c>
      <c r="D1817" t="s">
        <v>35</v>
      </c>
      <c r="E1817" t="s">
        <v>215</v>
      </c>
      <c r="F1817" t="s">
        <v>36</v>
      </c>
      <c r="H1817" t="s">
        <v>10</v>
      </c>
      <c r="I1817" t="s">
        <v>219</v>
      </c>
      <c r="J1817">
        <v>11</v>
      </c>
      <c r="L1817">
        <v>11</v>
      </c>
      <c r="N1817">
        <f>Таблица1[[#This Row],[Часов на заказчика  в работе]]+Таблица1[[#This Row],[Часов на заказчика  дежурство]]</f>
        <v>11</v>
      </c>
      <c r="O18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7" s="9">
        <v>200000</v>
      </c>
      <c r="R1817" s="9"/>
      <c r="S1817" s="5">
        <v>1</v>
      </c>
      <c r="T18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табеле]])*S1817,0)</f>
        <v>6666.6666666666661</v>
      </c>
      <c r="U1817" s="5">
        <f>IF(Таблица1[[#This Row],[ТТН]]&gt;0,Таблица1[[#This Row],[Ставка за ТТН]]*Таблица1[[#This Row],[ТТН]],0)</f>
        <v>0</v>
      </c>
    </row>
    <row r="1818" spans="1:21" x14ac:dyDescent="0.25">
      <c r="A1818" t="s">
        <v>84</v>
      </c>
      <c r="B1818" s="24">
        <v>14</v>
      </c>
      <c r="C1818" t="s">
        <v>155</v>
      </c>
      <c r="D1818" t="s">
        <v>35</v>
      </c>
      <c r="E1818" t="s">
        <v>215</v>
      </c>
      <c r="F1818" t="s">
        <v>36</v>
      </c>
      <c r="H1818" t="s">
        <v>10</v>
      </c>
      <c r="I1818" t="s">
        <v>219</v>
      </c>
      <c r="J1818">
        <v>11</v>
      </c>
      <c r="L1818">
        <v>11</v>
      </c>
      <c r="N1818">
        <f>Таблица1[[#This Row],[Часов на заказчика  в работе]]+Таблица1[[#This Row],[Часов на заказчика  дежурство]]</f>
        <v>11</v>
      </c>
      <c r="O18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8" s="9">
        <v>200000</v>
      </c>
      <c r="R1818" s="9"/>
      <c r="S1818" s="5">
        <v>1</v>
      </c>
      <c r="T18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табеле]])*S1818,0)</f>
        <v>6666.6666666666661</v>
      </c>
      <c r="U1818" s="5">
        <f>IF(Таблица1[[#This Row],[ТТН]]&gt;0,Таблица1[[#This Row],[Ставка за ТТН]]*Таблица1[[#This Row],[ТТН]],0)</f>
        <v>0</v>
      </c>
    </row>
    <row r="1819" spans="1:21" x14ac:dyDescent="0.25">
      <c r="A1819" t="s">
        <v>84</v>
      </c>
      <c r="B1819" s="24">
        <v>15</v>
      </c>
      <c r="C1819" t="s">
        <v>155</v>
      </c>
      <c r="D1819" t="s">
        <v>35</v>
      </c>
      <c r="E1819" t="s">
        <v>215</v>
      </c>
      <c r="F1819" t="s">
        <v>36</v>
      </c>
      <c r="H1819" t="s">
        <v>10</v>
      </c>
      <c r="I1819" t="s">
        <v>219</v>
      </c>
      <c r="J1819">
        <v>11</v>
      </c>
      <c r="L1819">
        <v>11</v>
      </c>
      <c r="N1819">
        <f>Таблица1[[#This Row],[Часов на заказчика  в работе]]+Таблица1[[#This Row],[Часов на заказчика  дежурство]]</f>
        <v>11</v>
      </c>
      <c r="O18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19" s="9">
        <v>200000</v>
      </c>
      <c r="R1819" s="9"/>
      <c r="S1819" s="5">
        <v>1</v>
      </c>
      <c r="T18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табеле]])*S1819,0)</f>
        <v>6666.6666666666661</v>
      </c>
      <c r="U1819" s="5">
        <f>IF(Таблица1[[#This Row],[ТТН]]&gt;0,Таблица1[[#This Row],[Ставка за ТТН]]*Таблица1[[#This Row],[ТТН]],0)</f>
        <v>0</v>
      </c>
    </row>
    <row r="1820" spans="1:21" x14ac:dyDescent="0.25">
      <c r="A1820" t="s">
        <v>84</v>
      </c>
      <c r="B1820" s="24">
        <v>16</v>
      </c>
      <c r="C1820" t="s">
        <v>155</v>
      </c>
      <c r="D1820" t="s">
        <v>35</v>
      </c>
      <c r="E1820" t="s">
        <v>215</v>
      </c>
      <c r="F1820" t="s">
        <v>36</v>
      </c>
      <c r="H1820" t="s">
        <v>10</v>
      </c>
      <c r="I1820" t="s">
        <v>219</v>
      </c>
      <c r="J1820">
        <v>11</v>
      </c>
      <c r="L1820">
        <v>11</v>
      </c>
      <c r="N1820">
        <f>Таблица1[[#This Row],[Часов на заказчика  в работе]]+Таблица1[[#This Row],[Часов на заказчика  дежурство]]</f>
        <v>11</v>
      </c>
      <c r="O18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0" s="9">
        <v>200000</v>
      </c>
      <c r="R1820" s="9"/>
      <c r="S1820" s="5">
        <v>1</v>
      </c>
      <c r="T18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табеле]])*S1820,0)</f>
        <v>6666.6666666666661</v>
      </c>
      <c r="U1820" s="5">
        <f>IF(Таблица1[[#This Row],[ТТН]]&gt;0,Таблица1[[#This Row],[Ставка за ТТН]]*Таблица1[[#This Row],[ТТН]],0)</f>
        <v>0</v>
      </c>
    </row>
    <row r="1821" spans="1:21" x14ac:dyDescent="0.25">
      <c r="A1821" t="s">
        <v>84</v>
      </c>
      <c r="B1821" s="24">
        <v>17</v>
      </c>
      <c r="C1821" t="s">
        <v>155</v>
      </c>
      <c r="D1821" t="s">
        <v>35</v>
      </c>
      <c r="E1821" t="s">
        <v>215</v>
      </c>
      <c r="F1821" t="s">
        <v>36</v>
      </c>
      <c r="H1821" t="s">
        <v>10</v>
      </c>
      <c r="I1821" t="s">
        <v>219</v>
      </c>
      <c r="J1821">
        <v>11</v>
      </c>
      <c r="L1821">
        <v>11</v>
      </c>
      <c r="N1821">
        <f>Таблица1[[#This Row],[Часов на заказчика  в работе]]+Таблица1[[#This Row],[Часов на заказчика  дежурство]]</f>
        <v>11</v>
      </c>
      <c r="O18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1" s="9">
        <v>200000</v>
      </c>
      <c r="R1821" s="9"/>
      <c r="S1821" s="5">
        <v>1</v>
      </c>
      <c r="T18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табеле]])*S1821,0)</f>
        <v>6666.6666666666661</v>
      </c>
      <c r="U1821" s="5">
        <f>IF(Таблица1[[#This Row],[ТТН]]&gt;0,Таблица1[[#This Row],[Ставка за ТТН]]*Таблица1[[#This Row],[ТТН]],0)</f>
        <v>0</v>
      </c>
    </row>
    <row r="1822" spans="1:21" x14ac:dyDescent="0.25">
      <c r="A1822" t="s">
        <v>84</v>
      </c>
      <c r="B1822" s="24">
        <v>18</v>
      </c>
      <c r="C1822" t="s">
        <v>155</v>
      </c>
      <c r="D1822" t="s">
        <v>35</v>
      </c>
      <c r="E1822" t="s">
        <v>215</v>
      </c>
      <c r="F1822" t="s">
        <v>36</v>
      </c>
      <c r="H1822" t="s">
        <v>10</v>
      </c>
      <c r="I1822" t="s">
        <v>219</v>
      </c>
      <c r="J1822">
        <v>11</v>
      </c>
      <c r="L1822">
        <v>11</v>
      </c>
      <c r="N1822">
        <f>Таблица1[[#This Row],[Часов на заказчика  в работе]]+Таблица1[[#This Row],[Часов на заказчика  дежурство]]</f>
        <v>11</v>
      </c>
      <c r="O18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2" s="9">
        <v>200000</v>
      </c>
      <c r="R1822" s="9"/>
      <c r="S1822" s="5">
        <v>1</v>
      </c>
      <c r="T18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табеле]])*S1822,0)</f>
        <v>6666.6666666666661</v>
      </c>
      <c r="U1822" s="5">
        <f>IF(Таблица1[[#This Row],[ТТН]]&gt;0,Таблица1[[#This Row],[Ставка за ТТН]]*Таблица1[[#This Row],[ТТН]],0)</f>
        <v>0</v>
      </c>
    </row>
    <row r="1823" spans="1:21" x14ac:dyDescent="0.25">
      <c r="A1823" t="s">
        <v>84</v>
      </c>
      <c r="B1823" s="24">
        <v>19</v>
      </c>
      <c r="C1823" t="s">
        <v>155</v>
      </c>
      <c r="D1823" t="s">
        <v>35</v>
      </c>
      <c r="E1823" t="s">
        <v>215</v>
      </c>
      <c r="F1823" t="s">
        <v>36</v>
      </c>
      <c r="H1823" t="s">
        <v>10</v>
      </c>
      <c r="I1823" t="s">
        <v>219</v>
      </c>
      <c r="J1823">
        <v>11</v>
      </c>
      <c r="L1823">
        <v>11</v>
      </c>
      <c r="N1823">
        <f>Таблица1[[#This Row],[Часов на заказчика  в работе]]+Таблица1[[#This Row],[Часов на заказчика  дежурство]]</f>
        <v>11</v>
      </c>
      <c r="O18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3" s="9">
        <v>200000</v>
      </c>
      <c r="R1823" s="9"/>
      <c r="S1823" s="5">
        <v>1</v>
      </c>
      <c r="T18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табеле]])*S1823,0)</f>
        <v>6666.6666666666661</v>
      </c>
      <c r="U1823" s="5">
        <f>IF(Таблица1[[#This Row],[ТТН]]&gt;0,Таблица1[[#This Row],[Ставка за ТТН]]*Таблица1[[#This Row],[ТТН]],0)</f>
        <v>0</v>
      </c>
    </row>
    <row r="1824" spans="1:21" x14ac:dyDescent="0.25">
      <c r="A1824" t="s">
        <v>84</v>
      </c>
      <c r="B1824" s="24">
        <v>20</v>
      </c>
      <c r="C1824" t="s">
        <v>155</v>
      </c>
      <c r="D1824" t="s">
        <v>35</v>
      </c>
      <c r="E1824" t="s">
        <v>215</v>
      </c>
      <c r="F1824" t="s">
        <v>36</v>
      </c>
      <c r="H1824" t="s">
        <v>10</v>
      </c>
      <c r="I1824" t="s">
        <v>219</v>
      </c>
      <c r="J1824">
        <v>11</v>
      </c>
      <c r="L1824">
        <v>11</v>
      </c>
      <c r="N1824">
        <f>Таблица1[[#This Row],[Часов на заказчика  в работе]]+Таблица1[[#This Row],[Часов на заказчика  дежурство]]</f>
        <v>11</v>
      </c>
      <c r="O18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4" s="9">
        <v>200000</v>
      </c>
      <c r="R1824" s="9"/>
      <c r="S1824" s="5">
        <v>1</v>
      </c>
      <c r="T18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табеле]])*S1824,0)</f>
        <v>6666.6666666666661</v>
      </c>
      <c r="U1824" s="5">
        <f>IF(Таблица1[[#This Row],[ТТН]]&gt;0,Таблица1[[#This Row],[Ставка за ТТН]]*Таблица1[[#This Row],[ТТН]],0)</f>
        <v>0</v>
      </c>
    </row>
    <row r="1825" spans="1:21" x14ac:dyDescent="0.25">
      <c r="A1825" t="s">
        <v>84</v>
      </c>
      <c r="B1825" s="24">
        <v>21</v>
      </c>
      <c r="C1825" t="s">
        <v>155</v>
      </c>
      <c r="D1825" t="s">
        <v>35</v>
      </c>
      <c r="E1825" t="s">
        <v>215</v>
      </c>
      <c r="F1825" t="s">
        <v>36</v>
      </c>
      <c r="H1825" t="s">
        <v>10</v>
      </c>
      <c r="I1825" t="s">
        <v>219</v>
      </c>
      <c r="J1825">
        <v>11</v>
      </c>
      <c r="L1825">
        <v>11</v>
      </c>
      <c r="N1825">
        <f>Таблица1[[#This Row],[Часов на заказчика  в работе]]+Таблица1[[#This Row],[Часов на заказчика  дежурство]]</f>
        <v>11</v>
      </c>
      <c r="O18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5" s="9">
        <v>200000</v>
      </c>
      <c r="R1825" s="9"/>
      <c r="S1825" s="5">
        <v>1</v>
      </c>
      <c r="T18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табеле]])*S1825,0)</f>
        <v>6666.6666666666661</v>
      </c>
      <c r="U1825" s="5">
        <f>IF(Таблица1[[#This Row],[ТТН]]&gt;0,Таблица1[[#This Row],[Ставка за ТТН]]*Таблица1[[#This Row],[ТТН]],0)</f>
        <v>0</v>
      </c>
    </row>
    <row r="1826" spans="1:21" x14ac:dyDescent="0.25">
      <c r="A1826" t="s">
        <v>84</v>
      </c>
      <c r="B1826" s="24">
        <v>22</v>
      </c>
      <c r="C1826" t="s">
        <v>155</v>
      </c>
      <c r="D1826" t="s">
        <v>35</v>
      </c>
      <c r="E1826" t="s">
        <v>215</v>
      </c>
      <c r="F1826" t="s">
        <v>36</v>
      </c>
      <c r="H1826" t="s">
        <v>10</v>
      </c>
      <c r="I1826" t="s">
        <v>219</v>
      </c>
      <c r="J1826">
        <v>11</v>
      </c>
      <c r="L1826">
        <v>11</v>
      </c>
      <c r="N1826">
        <f>Таблица1[[#This Row],[Часов на заказчика  в работе]]+Таблица1[[#This Row],[Часов на заказчика  дежурство]]</f>
        <v>11</v>
      </c>
      <c r="O18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6" s="9">
        <v>200000</v>
      </c>
      <c r="R1826" s="9"/>
      <c r="S1826" s="5">
        <v>1</v>
      </c>
      <c r="T18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табеле]])*S1826,0)</f>
        <v>6666.6666666666661</v>
      </c>
      <c r="U1826" s="5">
        <f>IF(Таблица1[[#This Row],[ТТН]]&gt;0,Таблица1[[#This Row],[Ставка за ТТН]]*Таблица1[[#This Row],[ТТН]],0)</f>
        <v>0</v>
      </c>
    </row>
    <row r="1827" spans="1:21" x14ac:dyDescent="0.25">
      <c r="A1827" t="s">
        <v>84</v>
      </c>
      <c r="B1827" s="24">
        <v>23</v>
      </c>
      <c r="C1827" t="s">
        <v>155</v>
      </c>
      <c r="D1827" t="s">
        <v>35</v>
      </c>
      <c r="E1827" t="s">
        <v>215</v>
      </c>
      <c r="F1827" t="s">
        <v>36</v>
      </c>
      <c r="H1827" t="s">
        <v>10</v>
      </c>
      <c r="I1827" t="s">
        <v>219</v>
      </c>
      <c r="J1827">
        <v>11</v>
      </c>
      <c r="L1827">
        <v>11</v>
      </c>
      <c r="N1827">
        <f>Таблица1[[#This Row],[Часов на заказчика  в работе]]+Таблица1[[#This Row],[Часов на заказчика  дежурство]]</f>
        <v>11</v>
      </c>
      <c r="O18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7" s="9">
        <v>200000</v>
      </c>
      <c r="R1827" s="9"/>
      <c r="S1827" s="5">
        <v>1</v>
      </c>
      <c r="T18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табеле]])*S1827,0)</f>
        <v>6666.6666666666661</v>
      </c>
      <c r="U1827" s="5">
        <f>IF(Таблица1[[#This Row],[ТТН]]&gt;0,Таблица1[[#This Row],[Ставка за ТТН]]*Таблица1[[#This Row],[ТТН]],0)</f>
        <v>0</v>
      </c>
    </row>
    <row r="1828" spans="1:21" x14ac:dyDescent="0.25">
      <c r="A1828" t="s">
        <v>84</v>
      </c>
      <c r="B1828" s="24">
        <v>24</v>
      </c>
      <c r="C1828" t="s">
        <v>155</v>
      </c>
      <c r="D1828" t="s">
        <v>35</v>
      </c>
      <c r="E1828" t="s">
        <v>215</v>
      </c>
      <c r="F1828" t="s">
        <v>36</v>
      </c>
      <c r="H1828" t="s">
        <v>10</v>
      </c>
      <c r="I1828" t="s">
        <v>219</v>
      </c>
      <c r="J1828">
        <v>11</v>
      </c>
      <c r="L1828">
        <v>11</v>
      </c>
      <c r="N1828">
        <f>Таблица1[[#This Row],[Часов на заказчика  в работе]]+Таблица1[[#This Row],[Часов на заказчика  дежурство]]</f>
        <v>11</v>
      </c>
      <c r="O18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8" s="9">
        <v>200000</v>
      </c>
      <c r="R1828" s="9"/>
      <c r="S1828" s="5">
        <v>1</v>
      </c>
      <c r="T18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табеле]])*S1828,0)</f>
        <v>6666.6666666666661</v>
      </c>
      <c r="U1828" s="5">
        <f>IF(Таблица1[[#This Row],[ТТН]]&gt;0,Таблица1[[#This Row],[Ставка за ТТН]]*Таблица1[[#This Row],[ТТН]],0)</f>
        <v>0</v>
      </c>
    </row>
    <row r="1829" spans="1:21" x14ac:dyDescent="0.25">
      <c r="A1829" t="s">
        <v>84</v>
      </c>
      <c r="B1829" s="24">
        <v>25</v>
      </c>
      <c r="C1829" t="s">
        <v>155</v>
      </c>
      <c r="D1829" t="s">
        <v>35</v>
      </c>
      <c r="E1829" t="s">
        <v>215</v>
      </c>
      <c r="F1829" t="s">
        <v>36</v>
      </c>
      <c r="H1829" t="s">
        <v>10</v>
      </c>
      <c r="I1829" t="s">
        <v>219</v>
      </c>
      <c r="J1829">
        <v>11</v>
      </c>
      <c r="L1829">
        <v>11</v>
      </c>
      <c r="N1829">
        <f>Таблица1[[#This Row],[Часов на заказчика  в работе]]+Таблица1[[#This Row],[Часов на заказчика  дежурство]]</f>
        <v>11</v>
      </c>
      <c r="O18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29" s="9">
        <v>200000</v>
      </c>
      <c r="R1829" s="9"/>
      <c r="S1829" s="5">
        <v>1</v>
      </c>
      <c r="T18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табеле]])*S1829,0)</f>
        <v>6666.6666666666661</v>
      </c>
      <c r="U1829" s="5">
        <f>IF(Таблица1[[#This Row],[ТТН]]&gt;0,Таблица1[[#This Row],[Ставка за ТТН]]*Таблица1[[#This Row],[ТТН]],0)</f>
        <v>0</v>
      </c>
    </row>
    <row r="1830" spans="1:21" x14ac:dyDescent="0.25">
      <c r="A1830" t="s">
        <v>84</v>
      </c>
      <c r="B1830" s="24">
        <v>26</v>
      </c>
      <c r="C1830" t="s">
        <v>155</v>
      </c>
      <c r="D1830" t="s">
        <v>35</v>
      </c>
      <c r="E1830" t="s">
        <v>215</v>
      </c>
      <c r="F1830" t="s">
        <v>36</v>
      </c>
      <c r="H1830" t="s">
        <v>10</v>
      </c>
      <c r="I1830" t="s">
        <v>219</v>
      </c>
      <c r="J1830">
        <v>11</v>
      </c>
      <c r="L1830">
        <v>11</v>
      </c>
      <c r="N1830">
        <f>Таблица1[[#This Row],[Часов на заказчика  в работе]]+Таблица1[[#This Row],[Часов на заказчика  дежурство]]</f>
        <v>11</v>
      </c>
      <c r="O18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0" s="9">
        <v>200000</v>
      </c>
      <c r="R1830" s="9"/>
      <c r="S1830" s="5">
        <v>1</v>
      </c>
      <c r="T18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табеле]])*S1830,0)</f>
        <v>6666.6666666666661</v>
      </c>
      <c r="U1830" s="5">
        <f>IF(Таблица1[[#This Row],[ТТН]]&gt;0,Таблица1[[#This Row],[Ставка за ТТН]]*Таблица1[[#This Row],[ТТН]],0)</f>
        <v>0</v>
      </c>
    </row>
    <row r="1831" spans="1:21" x14ac:dyDescent="0.25">
      <c r="A1831" t="s">
        <v>84</v>
      </c>
      <c r="B1831" s="24">
        <v>27</v>
      </c>
      <c r="C1831" t="s">
        <v>155</v>
      </c>
      <c r="D1831" t="s">
        <v>35</v>
      </c>
      <c r="E1831" t="s">
        <v>215</v>
      </c>
      <c r="F1831" t="s">
        <v>36</v>
      </c>
      <c r="H1831" t="s">
        <v>10</v>
      </c>
      <c r="I1831" t="s">
        <v>219</v>
      </c>
      <c r="J1831">
        <v>11</v>
      </c>
      <c r="L1831">
        <v>11</v>
      </c>
      <c r="N1831">
        <f>Таблица1[[#This Row],[Часов на заказчика  в работе]]+Таблица1[[#This Row],[Часов на заказчика  дежурство]]</f>
        <v>11</v>
      </c>
      <c r="O18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1" s="9">
        <v>200000</v>
      </c>
      <c r="R1831" s="9"/>
      <c r="S1831" s="5">
        <v>1</v>
      </c>
      <c r="T18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табеле]])*S1831,0)</f>
        <v>6666.6666666666661</v>
      </c>
      <c r="U1831" s="5">
        <f>IF(Таблица1[[#This Row],[ТТН]]&gt;0,Таблица1[[#This Row],[Ставка за ТТН]]*Таблица1[[#This Row],[ТТН]],0)</f>
        <v>0</v>
      </c>
    </row>
    <row r="1832" spans="1:21" x14ac:dyDescent="0.25">
      <c r="A1832" t="s">
        <v>84</v>
      </c>
      <c r="B1832" s="24">
        <v>28</v>
      </c>
      <c r="C1832" t="s">
        <v>155</v>
      </c>
      <c r="D1832" t="s">
        <v>35</v>
      </c>
      <c r="E1832" t="s">
        <v>215</v>
      </c>
      <c r="F1832" t="s">
        <v>36</v>
      </c>
      <c r="H1832" t="s">
        <v>10</v>
      </c>
      <c r="I1832" t="s">
        <v>219</v>
      </c>
      <c r="J1832">
        <v>11</v>
      </c>
      <c r="L1832">
        <v>11</v>
      </c>
      <c r="N1832">
        <f>Таблица1[[#This Row],[Часов на заказчика  в работе]]+Таблица1[[#This Row],[Часов на заказчика  дежурство]]</f>
        <v>11</v>
      </c>
      <c r="O18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2" s="9">
        <v>200000</v>
      </c>
      <c r="R1832" s="9"/>
      <c r="S1832" s="5">
        <v>1</v>
      </c>
      <c r="T18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табеле]])*S1832,0)</f>
        <v>6666.6666666666661</v>
      </c>
      <c r="U1832" s="5">
        <f>IF(Таблица1[[#This Row],[ТТН]]&gt;0,Таблица1[[#This Row],[Ставка за ТТН]]*Таблица1[[#This Row],[ТТН]],0)</f>
        <v>0</v>
      </c>
    </row>
    <row r="1833" spans="1:21" x14ac:dyDescent="0.25">
      <c r="A1833" t="s">
        <v>84</v>
      </c>
      <c r="B1833" s="24">
        <v>29</v>
      </c>
      <c r="C1833" t="s">
        <v>155</v>
      </c>
      <c r="D1833" t="s">
        <v>35</v>
      </c>
      <c r="E1833" t="s">
        <v>215</v>
      </c>
      <c r="F1833" t="s">
        <v>36</v>
      </c>
      <c r="H1833" t="s">
        <v>10</v>
      </c>
      <c r="I1833" t="s">
        <v>219</v>
      </c>
      <c r="J1833">
        <v>11</v>
      </c>
      <c r="L1833">
        <v>11</v>
      </c>
      <c r="N1833">
        <f>Таблица1[[#This Row],[Часов на заказчика  в работе]]+Таблица1[[#This Row],[Часов на заказчика  дежурство]]</f>
        <v>11</v>
      </c>
      <c r="O18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3" s="9">
        <v>200000</v>
      </c>
      <c r="R1833" s="9"/>
      <c r="S1833" s="5">
        <v>1</v>
      </c>
      <c r="T18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табеле]])*S1833,0)</f>
        <v>6666.6666666666661</v>
      </c>
      <c r="U1833" s="5">
        <f>IF(Таблица1[[#This Row],[ТТН]]&gt;0,Таблица1[[#This Row],[Ставка за ТТН]]*Таблица1[[#This Row],[ТТН]],0)</f>
        <v>0</v>
      </c>
    </row>
    <row r="1834" spans="1:21" x14ac:dyDescent="0.25">
      <c r="A1834" t="s">
        <v>84</v>
      </c>
      <c r="B1834" s="24">
        <v>30</v>
      </c>
      <c r="C1834" t="s">
        <v>156</v>
      </c>
      <c r="D1834" t="s">
        <v>35</v>
      </c>
      <c r="E1834" t="s">
        <v>215</v>
      </c>
      <c r="F1834" t="s">
        <v>36</v>
      </c>
      <c r="H1834" t="s">
        <v>10</v>
      </c>
      <c r="I1834" t="s">
        <v>219</v>
      </c>
      <c r="J1834">
        <v>11</v>
      </c>
      <c r="L1834">
        <v>11</v>
      </c>
      <c r="N1834">
        <f>Таблица1[[#This Row],[Часов на заказчика  в работе]]+Таблица1[[#This Row],[Часов на заказчика  дежурство]]</f>
        <v>11</v>
      </c>
      <c r="O18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4" s="9">
        <v>200000</v>
      </c>
      <c r="R1834" s="9"/>
      <c r="S1834" s="5">
        <v>1</v>
      </c>
      <c r="T18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табеле]])*S1834,0)</f>
        <v>6666.6666666666661</v>
      </c>
      <c r="U1834" s="5">
        <f>IF(Таблица1[[#This Row],[ТТН]]&gt;0,Таблица1[[#This Row],[Ставка за ТТН]]*Таблица1[[#This Row],[ТТН]],0)</f>
        <v>0</v>
      </c>
    </row>
    <row r="1835" spans="1:21" x14ac:dyDescent="0.25">
      <c r="A1835" t="s">
        <v>84</v>
      </c>
      <c r="B1835" s="24">
        <v>1</v>
      </c>
      <c r="C1835" t="s">
        <v>156</v>
      </c>
      <c r="D1835" t="s">
        <v>32</v>
      </c>
      <c r="E1835" t="s">
        <v>215</v>
      </c>
      <c r="F1835" t="s">
        <v>31</v>
      </c>
      <c r="H1835" t="s">
        <v>10</v>
      </c>
      <c r="I1835" t="s">
        <v>219</v>
      </c>
      <c r="J1835">
        <v>11</v>
      </c>
      <c r="L1835">
        <v>11</v>
      </c>
      <c r="N1835">
        <f>Таблица1[[#This Row],[Часов на заказчика  в работе]]+Таблица1[[#This Row],[Часов на заказчика  дежурство]]</f>
        <v>11</v>
      </c>
      <c r="O18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5" s="9">
        <v>220000</v>
      </c>
      <c r="R1835" s="9"/>
      <c r="S1835" s="5">
        <v>1</v>
      </c>
      <c r="T18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табеле]])*S1835,0)</f>
        <v>7333.333333333333</v>
      </c>
      <c r="U1835" s="5">
        <f>IF(Таблица1[[#This Row],[ТТН]]&gt;0,Таблица1[[#This Row],[Ставка за ТТН]]*Таблица1[[#This Row],[ТТН]],0)</f>
        <v>0</v>
      </c>
    </row>
    <row r="1836" spans="1:21" x14ac:dyDescent="0.25">
      <c r="A1836" t="s">
        <v>84</v>
      </c>
      <c r="B1836" s="24">
        <v>2</v>
      </c>
      <c r="C1836" t="s">
        <v>156</v>
      </c>
      <c r="D1836" t="s">
        <v>32</v>
      </c>
      <c r="E1836" t="s">
        <v>215</v>
      </c>
      <c r="F1836" t="s">
        <v>31</v>
      </c>
      <c r="H1836" t="s">
        <v>10</v>
      </c>
      <c r="I1836" t="s">
        <v>219</v>
      </c>
      <c r="J1836">
        <v>11</v>
      </c>
      <c r="L1836">
        <v>11</v>
      </c>
      <c r="N1836">
        <f>Таблица1[[#This Row],[Часов на заказчика  в работе]]+Таблица1[[#This Row],[Часов на заказчика  дежурство]]</f>
        <v>11</v>
      </c>
      <c r="O18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6" s="9">
        <v>220000</v>
      </c>
      <c r="R1836" s="9"/>
      <c r="S1836" s="5">
        <v>1</v>
      </c>
      <c r="T18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табеле]])*S1836,0)</f>
        <v>7333.333333333333</v>
      </c>
      <c r="U1836" s="5">
        <f>IF(Таблица1[[#This Row],[ТТН]]&gt;0,Таблица1[[#This Row],[Ставка за ТТН]]*Таблица1[[#This Row],[ТТН]],0)</f>
        <v>0</v>
      </c>
    </row>
    <row r="1837" spans="1:21" x14ac:dyDescent="0.25">
      <c r="A1837" t="s">
        <v>84</v>
      </c>
      <c r="B1837" s="24">
        <v>3</v>
      </c>
      <c r="C1837" t="s">
        <v>156</v>
      </c>
      <c r="D1837" t="s">
        <v>32</v>
      </c>
      <c r="E1837" t="s">
        <v>215</v>
      </c>
      <c r="F1837" t="s">
        <v>31</v>
      </c>
      <c r="H1837" t="s">
        <v>10</v>
      </c>
      <c r="I1837" t="s">
        <v>219</v>
      </c>
      <c r="J1837">
        <v>11</v>
      </c>
      <c r="L1837">
        <v>11</v>
      </c>
      <c r="N1837">
        <f>Таблица1[[#This Row],[Часов на заказчика  в работе]]+Таблица1[[#This Row],[Часов на заказчика  дежурство]]</f>
        <v>11</v>
      </c>
      <c r="O18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7" s="9">
        <v>220000</v>
      </c>
      <c r="R1837" s="9"/>
      <c r="S1837" s="5">
        <v>1</v>
      </c>
      <c r="T18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табеле]])*S1837,0)</f>
        <v>7333.333333333333</v>
      </c>
      <c r="U1837" s="5">
        <f>IF(Таблица1[[#This Row],[ТТН]]&gt;0,Таблица1[[#This Row],[Ставка за ТТН]]*Таблица1[[#This Row],[ТТН]],0)</f>
        <v>0</v>
      </c>
    </row>
    <row r="1838" spans="1:21" x14ac:dyDescent="0.25">
      <c r="A1838" t="s">
        <v>84</v>
      </c>
      <c r="B1838" s="24">
        <v>4</v>
      </c>
      <c r="C1838" t="s">
        <v>156</v>
      </c>
      <c r="D1838" t="s">
        <v>32</v>
      </c>
      <c r="E1838" t="s">
        <v>215</v>
      </c>
      <c r="F1838" t="s">
        <v>31</v>
      </c>
      <c r="H1838" t="s">
        <v>10</v>
      </c>
      <c r="I1838" t="s">
        <v>219</v>
      </c>
      <c r="J1838">
        <v>11</v>
      </c>
      <c r="L1838">
        <v>11</v>
      </c>
      <c r="N1838">
        <f>Таблица1[[#This Row],[Часов на заказчика  в работе]]+Таблица1[[#This Row],[Часов на заказчика  дежурство]]</f>
        <v>11</v>
      </c>
      <c r="O18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8" s="9">
        <v>220000</v>
      </c>
      <c r="R1838" s="9"/>
      <c r="S1838" s="5">
        <v>1</v>
      </c>
      <c r="T18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табеле]])*S1838,0)</f>
        <v>7333.333333333333</v>
      </c>
      <c r="U1838" s="5">
        <f>IF(Таблица1[[#This Row],[ТТН]]&gt;0,Таблица1[[#This Row],[Ставка за ТТН]]*Таблица1[[#This Row],[ТТН]],0)</f>
        <v>0</v>
      </c>
    </row>
    <row r="1839" spans="1:21" x14ac:dyDescent="0.25">
      <c r="A1839" t="s">
        <v>84</v>
      </c>
      <c r="B1839" s="24">
        <v>5</v>
      </c>
      <c r="C1839" t="s">
        <v>156</v>
      </c>
      <c r="D1839" t="s">
        <v>32</v>
      </c>
      <c r="E1839" t="s">
        <v>215</v>
      </c>
      <c r="F1839" t="s">
        <v>31</v>
      </c>
      <c r="H1839" t="s">
        <v>10</v>
      </c>
      <c r="I1839" t="s">
        <v>219</v>
      </c>
      <c r="J1839">
        <v>11</v>
      </c>
      <c r="L1839">
        <v>11</v>
      </c>
      <c r="N1839">
        <f>Таблица1[[#This Row],[Часов на заказчика  в работе]]+Таблица1[[#This Row],[Часов на заказчика  дежурство]]</f>
        <v>11</v>
      </c>
      <c r="O18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39" s="9">
        <v>220000</v>
      </c>
      <c r="R1839" s="9"/>
      <c r="S1839" s="5">
        <v>1</v>
      </c>
      <c r="T18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табеле]])*S1839,0)</f>
        <v>7333.333333333333</v>
      </c>
      <c r="U1839" s="5">
        <f>IF(Таблица1[[#This Row],[ТТН]]&gt;0,Таблица1[[#This Row],[Ставка за ТТН]]*Таблица1[[#This Row],[ТТН]],0)</f>
        <v>0</v>
      </c>
    </row>
    <row r="1840" spans="1:21" x14ac:dyDescent="0.25">
      <c r="A1840" t="s">
        <v>84</v>
      </c>
      <c r="B1840" s="24">
        <v>6</v>
      </c>
      <c r="C1840" t="s">
        <v>156</v>
      </c>
      <c r="D1840" t="s">
        <v>32</v>
      </c>
      <c r="E1840" t="s">
        <v>215</v>
      </c>
      <c r="F1840" t="s">
        <v>31</v>
      </c>
      <c r="H1840" t="s">
        <v>10</v>
      </c>
      <c r="I1840" t="s">
        <v>219</v>
      </c>
      <c r="J1840">
        <v>11</v>
      </c>
      <c r="L1840">
        <v>11</v>
      </c>
      <c r="N1840">
        <f>Таблица1[[#This Row],[Часов на заказчика  в работе]]+Таблица1[[#This Row],[Часов на заказчика  дежурство]]</f>
        <v>11</v>
      </c>
      <c r="O18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0" s="9">
        <v>220000</v>
      </c>
      <c r="R1840" s="9"/>
      <c r="S1840" s="5">
        <v>1</v>
      </c>
      <c r="T18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табеле]])*S1840,0)</f>
        <v>7333.333333333333</v>
      </c>
      <c r="U1840" s="5">
        <f>IF(Таблица1[[#This Row],[ТТН]]&gt;0,Таблица1[[#This Row],[Ставка за ТТН]]*Таблица1[[#This Row],[ТТН]],0)</f>
        <v>0</v>
      </c>
    </row>
    <row r="1841" spans="1:21" x14ac:dyDescent="0.25">
      <c r="A1841" t="s">
        <v>84</v>
      </c>
      <c r="B1841" s="24">
        <v>7</v>
      </c>
      <c r="C1841" t="s">
        <v>156</v>
      </c>
      <c r="D1841" t="s">
        <v>32</v>
      </c>
      <c r="E1841" t="s">
        <v>215</v>
      </c>
      <c r="F1841" t="s">
        <v>31</v>
      </c>
      <c r="H1841" t="s">
        <v>10</v>
      </c>
      <c r="I1841" t="s">
        <v>219</v>
      </c>
      <c r="J1841">
        <v>11</v>
      </c>
      <c r="L1841">
        <v>11</v>
      </c>
      <c r="N1841">
        <f>Таблица1[[#This Row],[Часов на заказчика  в работе]]+Таблица1[[#This Row],[Часов на заказчика  дежурство]]</f>
        <v>11</v>
      </c>
      <c r="O18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1" s="9">
        <v>220000</v>
      </c>
      <c r="R1841" s="9"/>
      <c r="S1841" s="5">
        <v>1</v>
      </c>
      <c r="T18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табеле]])*S1841,0)</f>
        <v>7333.333333333333</v>
      </c>
      <c r="U1841" s="5">
        <f>IF(Таблица1[[#This Row],[ТТН]]&gt;0,Таблица1[[#This Row],[Ставка за ТТН]]*Таблица1[[#This Row],[ТТН]],0)</f>
        <v>0</v>
      </c>
    </row>
    <row r="1842" spans="1:21" x14ac:dyDescent="0.25">
      <c r="A1842" t="s">
        <v>84</v>
      </c>
      <c r="B1842" s="24">
        <v>8</v>
      </c>
      <c r="C1842" t="s">
        <v>156</v>
      </c>
      <c r="D1842" t="s">
        <v>32</v>
      </c>
      <c r="E1842" t="s">
        <v>215</v>
      </c>
      <c r="F1842" t="s">
        <v>31</v>
      </c>
      <c r="H1842" t="s">
        <v>10</v>
      </c>
      <c r="I1842" t="s">
        <v>219</v>
      </c>
      <c r="J1842">
        <v>11</v>
      </c>
      <c r="L1842">
        <v>11</v>
      </c>
      <c r="N1842">
        <f>Таблица1[[#This Row],[Часов на заказчика  в работе]]+Таблица1[[#This Row],[Часов на заказчика  дежурство]]</f>
        <v>11</v>
      </c>
      <c r="O18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2" s="9">
        <v>220000</v>
      </c>
      <c r="R1842" s="9"/>
      <c r="S1842" s="5">
        <v>1</v>
      </c>
      <c r="T18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табеле]])*S1842,0)</f>
        <v>7333.333333333333</v>
      </c>
      <c r="U1842" s="5">
        <f>IF(Таблица1[[#This Row],[ТТН]]&gt;0,Таблица1[[#This Row],[Ставка за ТТН]]*Таблица1[[#This Row],[ТТН]],0)</f>
        <v>0</v>
      </c>
    </row>
    <row r="1843" spans="1:21" x14ac:dyDescent="0.25">
      <c r="A1843" t="s">
        <v>84</v>
      </c>
      <c r="B1843" s="24">
        <v>9</v>
      </c>
      <c r="C1843" t="s">
        <v>156</v>
      </c>
      <c r="D1843" t="s">
        <v>32</v>
      </c>
      <c r="E1843" t="s">
        <v>215</v>
      </c>
      <c r="F1843" t="s">
        <v>31</v>
      </c>
      <c r="H1843" t="s">
        <v>10</v>
      </c>
      <c r="I1843" t="s">
        <v>219</v>
      </c>
      <c r="J1843">
        <v>11</v>
      </c>
      <c r="L1843">
        <v>11</v>
      </c>
      <c r="N1843">
        <f>Таблица1[[#This Row],[Часов на заказчика  в работе]]+Таблица1[[#This Row],[Часов на заказчика  дежурство]]</f>
        <v>11</v>
      </c>
      <c r="O18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3" s="9">
        <v>220000</v>
      </c>
      <c r="R1843" s="9"/>
      <c r="S1843" s="5">
        <v>1</v>
      </c>
      <c r="T18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табеле]])*S1843,0)</f>
        <v>7333.333333333333</v>
      </c>
      <c r="U1843" s="5">
        <f>IF(Таблица1[[#This Row],[ТТН]]&gt;0,Таблица1[[#This Row],[Ставка за ТТН]]*Таблица1[[#This Row],[ТТН]],0)</f>
        <v>0</v>
      </c>
    </row>
    <row r="1844" spans="1:21" x14ac:dyDescent="0.25">
      <c r="A1844" t="s">
        <v>84</v>
      </c>
      <c r="B1844" s="24">
        <v>10</v>
      </c>
      <c r="C1844" t="s">
        <v>156</v>
      </c>
      <c r="D1844" t="s">
        <v>32</v>
      </c>
      <c r="E1844" t="s">
        <v>215</v>
      </c>
      <c r="F1844" t="s">
        <v>31</v>
      </c>
      <c r="H1844" t="s">
        <v>24</v>
      </c>
      <c r="I1844" t="s">
        <v>217</v>
      </c>
      <c r="J1844">
        <v>8</v>
      </c>
      <c r="N1844">
        <f>Таблица1[[#This Row],[Часов на заказчика  в работе]]+Таблица1[[#This Row],[Часов на заказчика  дежурство]]</f>
        <v>0</v>
      </c>
      <c r="O18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4" s="9">
        <v>220000</v>
      </c>
      <c r="R1844" s="9"/>
      <c r="S1844" s="5">
        <v>1</v>
      </c>
      <c r="T18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табеле]])*S1844,0)</f>
        <v>0</v>
      </c>
      <c r="U1844" s="5">
        <f>IF(Таблица1[[#This Row],[ТТН]]&gt;0,Таблица1[[#This Row],[Ставка за ТТН]]*Таблица1[[#This Row],[ТТН]],0)</f>
        <v>0</v>
      </c>
    </row>
    <row r="1845" spans="1:21" x14ac:dyDescent="0.25">
      <c r="A1845" t="s">
        <v>84</v>
      </c>
      <c r="B1845" s="24">
        <v>11</v>
      </c>
      <c r="C1845" t="s">
        <v>156</v>
      </c>
      <c r="D1845" t="s">
        <v>32</v>
      </c>
      <c r="E1845" t="s">
        <v>215</v>
      </c>
      <c r="F1845" t="s">
        <v>31</v>
      </c>
      <c r="H1845" t="s">
        <v>24</v>
      </c>
      <c r="I1845" t="s">
        <v>217</v>
      </c>
      <c r="J1845">
        <v>8</v>
      </c>
      <c r="N1845">
        <f>Таблица1[[#This Row],[Часов на заказчика  в работе]]+Таблица1[[#This Row],[Часов на заказчика  дежурство]]</f>
        <v>0</v>
      </c>
      <c r="O18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5" s="9">
        <v>220000</v>
      </c>
      <c r="R1845" s="9"/>
      <c r="S1845" s="5">
        <v>1</v>
      </c>
      <c r="T18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табеле]])*S1845,0)</f>
        <v>0</v>
      </c>
      <c r="U1845" s="5">
        <f>IF(Таблица1[[#This Row],[ТТН]]&gt;0,Таблица1[[#This Row],[Ставка за ТТН]]*Таблица1[[#This Row],[ТТН]],0)</f>
        <v>0</v>
      </c>
    </row>
    <row r="1846" spans="1:21" x14ac:dyDescent="0.25">
      <c r="A1846" t="s">
        <v>84</v>
      </c>
      <c r="B1846" s="24">
        <v>12</v>
      </c>
      <c r="C1846" t="s">
        <v>156</v>
      </c>
      <c r="D1846" t="s">
        <v>32</v>
      </c>
      <c r="E1846" t="s">
        <v>215</v>
      </c>
      <c r="F1846" t="s">
        <v>31</v>
      </c>
      <c r="H1846" t="s">
        <v>24</v>
      </c>
      <c r="I1846" t="s">
        <v>217</v>
      </c>
      <c r="J1846">
        <v>8</v>
      </c>
      <c r="N1846">
        <f>Таблица1[[#This Row],[Часов на заказчика  в работе]]+Таблица1[[#This Row],[Часов на заказчика  дежурство]]</f>
        <v>0</v>
      </c>
      <c r="O18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6" s="9">
        <v>220000</v>
      </c>
      <c r="R1846" s="9"/>
      <c r="S1846" s="5">
        <v>1</v>
      </c>
      <c r="T18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табеле]])*S1846,0)</f>
        <v>0</v>
      </c>
      <c r="U1846" s="5">
        <f>IF(Таблица1[[#This Row],[ТТН]]&gt;0,Таблица1[[#This Row],[Ставка за ТТН]]*Таблица1[[#This Row],[ТТН]],0)</f>
        <v>0</v>
      </c>
    </row>
    <row r="1847" spans="1:21" x14ac:dyDescent="0.25">
      <c r="A1847" t="s">
        <v>84</v>
      </c>
      <c r="B1847" s="24">
        <v>13</v>
      </c>
      <c r="C1847" t="s">
        <v>156</v>
      </c>
      <c r="D1847" t="s">
        <v>32</v>
      </c>
      <c r="E1847" t="s">
        <v>215</v>
      </c>
      <c r="F1847" t="s">
        <v>31</v>
      </c>
      <c r="H1847" t="s">
        <v>30</v>
      </c>
      <c r="I1847" t="s">
        <v>217</v>
      </c>
      <c r="J1847">
        <v>1</v>
      </c>
      <c r="N1847">
        <f>Таблица1[[#This Row],[Часов на заказчика  в работе]]+Таблица1[[#This Row],[Часов на заказчика  дежурство]]</f>
        <v>0</v>
      </c>
      <c r="O18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7" s="9">
        <v>220000</v>
      </c>
      <c r="R1847" s="9"/>
      <c r="S1847" s="5">
        <v>1</v>
      </c>
      <c r="T18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табеле]])*S1847,0)</f>
        <v>0</v>
      </c>
      <c r="U1847" s="5">
        <f>IF(Таблица1[[#This Row],[ТТН]]&gt;0,Таблица1[[#This Row],[Ставка за ТТН]]*Таблица1[[#This Row],[ТТН]],0)</f>
        <v>0</v>
      </c>
    </row>
    <row r="1848" spans="1:21" x14ac:dyDescent="0.25">
      <c r="A1848" t="s">
        <v>84</v>
      </c>
      <c r="B1848" s="24">
        <v>14</v>
      </c>
      <c r="C1848" t="s">
        <v>156</v>
      </c>
      <c r="D1848" t="s">
        <v>32</v>
      </c>
      <c r="E1848" t="s">
        <v>215</v>
      </c>
      <c r="F1848" t="s">
        <v>31</v>
      </c>
      <c r="H1848" t="s">
        <v>30</v>
      </c>
      <c r="I1848" t="s">
        <v>217</v>
      </c>
      <c r="J1848">
        <v>1</v>
      </c>
      <c r="N1848">
        <f>Таблица1[[#This Row],[Часов на заказчика  в работе]]+Таблица1[[#This Row],[Часов на заказчика  дежурство]]</f>
        <v>0</v>
      </c>
      <c r="O18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8" s="9">
        <v>220000</v>
      </c>
      <c r="R1848" s="9"/>
      <c r="S1848" s="5">
        <v>1</v>
      </c>
      <c r="T18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табеле]])*S1848,0)</f>
        <v>0</v>
      </c>
      <c r="U1848" s="5">
        <f>IF(Таблица1[[#This Row],[ТТН]]&gt;0,Таблица1[[#This Row],[Ставка за ТТН]]*Таблица1[[#This Row],[ТТН]],0)</f>
        <v>0</v>
      </c>
    </row>
    <row r="1849" spans="1:21" x14ac:dyDescent="0.25">
      <c r="A1849" t="s">
        <v>84</v>
      </c>
      <c r="B1849" s="24">
        <v>15</v>
      </c>
      <c r="C1849" t="s">
        <v>156</v>
      </c>
      <c r="D1849" t="s">
        <v>32</v>
      </c>
      <c r="E1849" t="s">
        <v>215</v>
      </c>
      <c r="F1849" t="s">
        <v>31</v>
      </c>
      <c r="H1849" t="s">
        <v>29</v>
      </c>
      <c r="I1849" t="s">
        <v>217</v>
      </c>
      <c r="J1849">
        <v>8</v>
      </c>
      <c r="N1849">
        <f>Таблица1[[#This Row],[Часов на заказчика  в работе]]+Таблица1[[#This Row],[Часов на заказчика  дежурство]]</f>
        <v>0</v>
      </c>
      <c r="O18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49" s="9">
        <v>220000</v>
      </c>
      <c r="R1849" s="9"/>
      <c r="S1849" s="5">
        <v>1</v>
      </c>
      <c r="T18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табеле]])*S1849,0)</f>
        <v>0</v>
      </c>
      <c r="U1849" s="5">
        <f>IF(Таблица1[[#This Row],[ТТН]]&gt;0,Таблица1[[#This Row],[Ставка за ТТН]]*Таблица1[[#This Row],[ТТН]],0)</f>
        <v>0</v>
      </c>
    </row>
    <row r="1850" spans="1:21" x14ac:dyDescent="0.25">
      <c r="A1850" t="s">
        <v>84</v>
      </c>
      <c r="B1850" s="24">
        <v>16</v>
      </c>
      <c r="C1850" t="s">
        <v>156</v>
      </c>
      <c r="D1850" t="s">
        <v>32</v>
      </c>
      <c r="E1850" t="s">
        <v>215</v>
      </c>
      <c r="F1850" t="s">
        <v>31</v>
      </c>
      <c r="H1850" t="s">
        <v>29</v>
      </c>
      <c r="I1850" t="s">
        <v>217</v>
      </c>
      <c r="J1850">
        <v>8</v>
      </c>
      <c r="N1850">
        <f>Таблица1[[#This Row],[Часов на заказчика  в работе]]+Таблица1[[#This Row],[Часов на заказчика  дежурство]]</f>
        <v>0</v>
      </c>
      <c r="O18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0" s="9">
        <v>220000</v>
      </c>
      <c r="R1850" s="9"/>
      <c r="S1850" s="5">
        <v>1</v>
      </c>
      <c r="T18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табеле]])*S1850,0)</f>
        <v>0</v>
      </c>
      <c r="U1850" s="5">
        <f>IF(Таблица1[[#This Row],[ТТН]]&gt;0,Таблица1[[#This Row],[Ставка за ТТН]]*Таблица1[[#This Row],[ТТН]],0)</f>
        <v>0</v>
      </c>
    </row>
    <row r="1851" spans="1:21" x14ac:dyDescent="0.25">
      <c r="A1851" t="s">
        <v>84</v>
      </c>
      <c r="B1851" s="24">
        <v>17</v>
      </c>
      <c r="C1851" t="s">
        <v>156</v>
      </c>
      <c r="D1851" t="s">
        <v>32</v>
      </c>
      <c r="E1851" t="s">
        <v>215</v>
      </c>
      <c r="F1851" t="s">
        <v>31</v>
      </c>
      <c r="H1851" t="s">
        <v>29</v>
      </c>
      <c r="I1851" t="s">
        <v>217</v>
      </c>
      <c r="J1851">
        <v>8</v>
      </c>
      <c r="N1851">
        <f>Таблица1[[#This Row],[Часов на заказчика  в работе]]+Таблица1[[#This Row],[Часов на заказчика  дежурство]]</f>
        <v>0</v>
      </c>
      <c r="O18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1" s="9">
        <v>220000</v>
      </c>
      <c r="R1851" s="9"/>
      <c r="S1851" s="5">
        <v>1</v>
      </c>
      <c r="T18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табеле]])*S1851,0)</f>
        <v>0</v>
      </c>
      <c r="U1851" s="5">
        <f>IF(Таблица1[[#This Row],[ТТН]]&gt;0,Таблица1[[#This Row],[Ставка за ТТН]]*Таблица1[[#This Row],[ТТН]],0)</f>
        <v>0</v>
      </c>
    </row>
    <row r="1852" spans="1:21" x14ac:dyDescent="0.25">
      <c r="A1852" t="s">
        <v>84</v>
      </c>
      <c r="B1852" s="24">
        <v>18</v>
      </c>
      <c r="C1852" t="s">
        <v>156</v>
      </c>
      <c r="D1852" t="s">
        <v>32</v>
      </c>
      <c r="E1852" t="s">
        <v>215</v>
      </c>
      <c r="F1852" t="s">
        <v>31</v>
      </c>
      <c r="H1852" t="s">
        <v>29</v>
      </c>
      <c r="I1852" t="s">
        <v>217</v>
      </c>
      <c r="J1852">
        <v>8</v>
      </c>
      <c r="N1852">
        <f>Таблица1[[#This Row],[Часов на заказчика  в работе]]+Таблица1[[#This Row],[Часов на заказчика  дежурство]]</f>
        <v>0</v>
      </c>
      <c r="O18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2" s="9">
        <v>220000</v>
      </c>
      <c r="R1852" s="9"/>
      <c r="S1852" s="5">
        <v>1</v>
      </c>
      <c r="T18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табеле]])*S1852,0)</f>
        <v>0</v>
      </c>
      <c r="U1852" s="5">
        <f>IF(Таблица1[[#This Row],[ТТН]]&gt;0,Таблица1[[#This Row],[Ставка за ТТН]]*Таблица1[[#This Row],[ТТН]],0)</f>
        <v>0</v>
      </c>
    </row>
    <row r="1853" spans="1:21" x14ac:dyDescent="0.25">
      <c r="A1853" t="s">
        <v>84</v>
      </c>
      <c r="B1853" s="24">
        <v>19</v>
      </c>
      <c r="C1853" t="s">
        <v>156</v>
      </c>
      <c r="D1853" t="s">
        <v>32</v>
      </c>
      <c r="E1853" t="s">
        <v>215</v>
      </c>
      <c r="F1853" t="s">
        <v>31</v>
      </c>
      <c r="H1853" t="s">
        <v>29</v>
      </c>
      <c r="I1853" t="s">
        <v>217</v>
      </c>
      <c r="J1853">
        <v>8</v>
      </c>
      <c r="N1853">
        <f>Таблица1[[#This Row],[Часов на заказчика  в работе]]+Таблица1[[#This Row],[Часов на заказчика  дежурство]]</f>
        <v>0</v>
      </c>
      <c r="O18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3" s="9">
        <v>220000</v>
      </c>
      <c r="R1853" s="9"/>
      <c r="S1853" s="5">
        <v>1</v>
      </c>
      <c r="T18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табеле]])*S1853,0)</f>
        <v>0</v>
      </c>
      <c r="U1853" s="5">
        <f>IF(Таблица1[[#This Row],[ТТН]]&gt;0,Таблица1[[#This Row],[Ставка за ТТН]]*Таблица1[[#This Row],[ТТН]],0)</f>
        <v>0</v>
      </c>
    </row>
    <row r="1854" spans="1:21" x14ac:dyDescent="0.25">
      <c r="A1854" t="s">
        <v>84</v>
      </c>
      <c r="B1854" s="24">
        <v>20</v>
      </c>
      <c r="C1854" t="s">
        <v>156</v>
      </c>
      <c r="D1854" t="s">
        <v>32</v>
      </c>
      <c r="E1854" t="s">
        <v>215</v>
      </c>
      <c r="F1854" t="s">
        <v>31</v>
      </c>
      <c r="H1854" t="s">
        <v>30</v>
      </c>
      <c r="I1854" t="s">
        <v>217</v>
      </c>
      <c r="J1854">
        <v>1</v>
      </c>
      <c r="N1854">
        <f>Таблица1[[#This Row],[Часов на заказчика  в работе]]+Таблица1[[#This Row],[Часов на заказчика  дежурство]]</f>
        <v>0</v>
      </c>
      <c r="O18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4" s="9">
        <v>220000</v>
      </c>
      <c r="R1854" s="9"/>
      <c r="S1854" s="5">
        <v>1</v>
      </c>
      <c r="T18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табеле]])*S1854,0)</f>
        <v>0</v>
      </c>
      <c r="U1854" s="5">
        <f>IF(Таблица1[[#This Row],[ТТН]]&gt;0,Таблица1[[#This Row],[Ставка за ТТН]]*Таблица1[[#This Row],[ТТН]],0)</f>
        <v>0</v>
      </c>
    </row>
    <row r="1855" spans="1:21" x14ac:dyDescent="0.25">
      <c r="A1855" t="s">
        <v>84</v>
      </c>
      <c r="B1855" s="24">
        <v>21</v>
      </c>
      <c r="C1855" t="s">
        <v>156</v>
      </c>
      <c r="D1855" t="s">
        <v>32</v>
      </c>
      <c r="E1855" t="s">
        <v>215</v>
      </c>
      <c r="F1855" t="s">
        <v>31</v>
      </c>
      <c r="H1855" t="s">
        <v>30</v>
      </c>
      <c r="I1855" t="s">
        <v>217</v>
      </c>
      <c r="J1855">
        <v>1</v>
      </c>
      <c r="N1855">
        <f>Таблица1[[#This Row],[Часов на заказчика  в работе]]+Таблица1[[#This Row],[Часов на заказчика  дежурство]]</f>
        <v>0</v>
      </c>
      <c r="O18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5" s="9">
        <v>220000</v>
      </c>
      <c r="R1855" s="9"/>
      <c r="S1855" s="5">
        <v>1</v>
      </c>
      <c r="T18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табеле]])*S1855,0)</f>
        <v>0</v>
      </c>
      <c r="U1855" s="5">
        <f>IF(Таблица1[[#This Row],[ТТН]]&gt;0,Таблица1[[#This Row],[Ставка за ТТН]]*Таблица1[[#This Row],[ТТН]],0)</f>
        <v>0</v>
      </c>
    </row>
    <row r="1856" spans="1:21" x14ac:dyDescent="0.25">
      <c r="A1856" t="s">
        <v>84</v>
      </c>
      <c r="B1856" s="24">
        <v>22</v>
      </c>
      <c r="C1856" t="s">
        <v>156</v>
      </c>
      <c r="D1856" t="s">
        <v>32</v>
      </c>
      <c r="E1856" t="s">
        <v>215</v>
      </c>
      <c r="F1856" t="s">
        <v>31</v>
      </c>
      <c r="H1856" t="s">
        <v>29</v>
      </c>
      <c r="I1856" t="s">
        <v>217</v>
      </c>
      <c r="J1856">
        <v>8</v>
      </c>
      <c r="N1856">
        <f>Таблица1[[#This Row],[Часов на заказчика  в работе]]+Таблица1[[#This Row],[Часов на заказчика  дежурство]]</f>
        <v>0</v>
      </c>
      <c r="O18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6" s="9">
        <v>220000</v>
      </c>
      <c r="R1856" s="9"/>
      <c r="S1856" s="5">
        <v>1</v>
      </c>
      <c r="T18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табеле]])*S1856,0)</f>
        <v>0</v>
      </c>
      <c r="U1856" s="5">
        <f>IF(Таблица1[[#This Row],[ТТН]]&gt;0,Таблица1[[#This Row],[Ставка за ТТН]]*Таблица1[[#This Row],[ТТН]],0)</f>
        <v>0</v>
      </c>
    </row>
    <row r="1857" spans="1:21" x14ac:dyDescent="0.25">
      <c r="A1857" t="s">
        <v>84</v>
      </c>
      <c r="B1857" s="24">
        <v>23</v>
      </c>
      <c r="C1857" t="s">
        <v>156</v>
      </c>
      <c r="D1857" t="s">
        <v>32</v>
      </c>
      <c r="E1857" t="s">
        <v>215</v>
      </c>
      <c r="F1857" t="s">
        <v>31</v>
      </c>
      <c r="H1857" t="s">
        <v>29</v>
      </c>
      <c r="I1857" t="s">
        <v>217</v>
      </c>
      <c r="J1857">
        <v>8</v>
      </c>
      <c r="N1857">
        <f>Таблица1[[#This Row],[Часов на заказчика  в работе]]+Таблица1[[#This Row],[Часов на заказчика  дежурство]]</f>
        <v>0</v>
      </c>
      <c r="O18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7" s="9">
        <v>220000</v>
      </c>
      <c r="R1857" s="9"/>
      <c r="S1857" s="5">
        <v>1</v>
      </c>
      <c r="T18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табеле]])*S1857,0)</f>
        <v>0</v>
      </c>
      <c r="U1857" s="5">
        <f>IF(Таблица1[[#This Row],[ТТН]]&gt;0,Таблица1[[#This Row],[Ставка за ТТН]]*Таблица1[[#This Row],[ТТН]],0)</f>
        <v>0</v>
      </c>
    </row>
    <row r="1858" spans="1:21" x14ac:dyDescent="0.25">
      <c r="A1858" t="s">
        <v>84</v>
      </c>
      <c r="B1858" s="24">
        <v>24</v>
      </c>
      <c r="C1858" t="s">
        <v>156</v>
      </c>
      <c r="D1858" t="s">
        <v>32</v>
      </c>
      <c r="E1858" t="s">
        <v>215</v>
      </c>
      <c r="F1858" t="s">
        <v>31</v>
      </c>
      <c r="H1858" t="s">
        <v>29</v>
      </c>
      <c r="I1858" t="s">
        <v>217</v>
      </c>
      <c r="J1858">
        <v>8</v>
      </c>
      <c r="N1858">
        <f>Таблица1[[#This Row],[Часов на заказчика  в работе]]+Таблица1[[#This Row],[Часов на заказчика  дежурство]]</f>
        <v>0</v>
      </c>
      <c r="O18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8" s="9">
        <v>220000</v>
      </c>
      <c r="R1858" s="9"/>
      <c r="S1858" s="5">
        <v>1</v>
      </c>
      <c r="T18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табеле]])*S1858,0)</f>
        <v>0</v>
      </c>
      <c r="U1858" s="5">
        <f>IF(Таблица1[[#This Row],[ТТН]]&gt;0,Таблица1[[#This Row],[Ставка за ТТН]]*Таблица1[[#This Row],[ТТН]],0)</f>
        <v>0</v>
      </c>
    </row>
    <row r="1859" spans="1:21" x14ac:dyDescent="0.25">
      <c r="A1859" t="s">
        <v>84</v>
      </c>
      <c r="B1859" s="24">
        <v>25</v>
      </c>
      <c r="C1859" t="s">
        <v>156</v>
      </c>
      <c r="D1859" t="s">
        <v>32</v>
      </c>
      <c r="E1859" t="s">
        <v>215</v>
      </c>
      <c r="F1859" t="s">
        <v>31</v>
      </c>
      <c r="H1859" t="s">
        <v>29</v>
      </c>
      <c r="I1859" t="s">
        <v>217</v>
      </c>
      <c r="J1859">
        <v>8</v>
      </c>
      <c r="N1859">
        <f>Таблица1[[#This Row],[Часов на заказчика  в работе]]+Таблица1[[#This Row],[Часов на заказчика  дежурство]]</f>
        <v>0</v>
      </c>
      <c r="O18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59" s="9">
        <v>220000</v>
      </c>
      <c r="R1859" s="9"/>
      <c r="S1859" s="5">
        <v>1</v>
      </c>
      <c r="T18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табеле]])*S1859,0)</f>
        <v>0</v>
      </c>
      <c r="U1859" s="5">
        <f>IF(Таблица1[[#This Row],[ТТН]]&gt;0,Таблица1[[#This Row],[Ставка за ТТН]]*Таблица1[[#This Row],[ТТН]],0)</f>
        <v>0</v>
      </c>
    </row>
    <row r="1860" spans="1:21" x14ac:dyDescent="0.25">
      <c r="A1860" t="s">
        <v>84</v>
      </c>
      <c r="B1860" s="24">
        <v>26</v>
      </c>
      <c r="C1860" t="s">
        <v>156</v>
      </c>
      <c r="D1860" t="s">
        <v>32</v>
      </c>
      <c r="E1860" t="s">
        <v>215</v>
      </c>
      <c r="F1860" t="s">
        <v>31</v>
      </c>
      <c r="H1860" t="s">
        <v>29</v>
      </c>
      <c r="I1860" t="s">
        <v>217</v>
      </c>
      <c r="J1860">
        <v>8</v>
      </c>
      <c r="N1860">
        <f>Таблица1[[#This Row],[Часов на заказчика  в работе]]+Таблица1[[#This Row],[Часов на заказчика  дежурство]]</f>
        <v>0</v>
      </c>
      <c r="O18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0" s="9">
        <v>220000</v>
      </c>
      <c r="R1860" s="9"/>
      <c r="S1860" s="5">
        <v>1</v>
      </c>
      <c r="T18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табеле]])*S1860,0)</f>
        <v>0</v>
      </c>
      <c r="U1860" s="5">
        <f>IF(Таблица1[[#This Row],[ТТН]]&gt;0,Таблица1[[#This Row],[Ставка за ТТН]]*Таблица1[[#This Row],[ТТН]],0)</f>
        <v>0</v>
      </c>
    </row>
    <row r="1861" spans="1:21" x14ac:dyDescent="0.25">
      <c r="A1861" t="s">
        <v>84</v>
      </c>
      <c r="B1861" s="24">
        <v>27</v>
      </c>
      <c r="C1861" t="s">
        <v>156</v>
      </c>
      <c r="D1861" t="s">
        <v>32</v>
      </c>
      <c r="E1861" t="s">
        <v>215</v>
      </c>
      <c r="F1861" t="s">
        <v>31</v>
      </c>
      <c r="H1861" t="s">
        <v>30</v>
      </c>
      <c r="I1861" t="s">
        <v>217</v>
      </c>
      <c r="J1861">
        <v>1</v>
      </c>
      <c r="N1861">
        <f>Таблица1[[#This Row],[Часов на заказчика  в работе]]+Таблица1[[#This Row],[Часов на заказчика  дежурство]]</f>
        <v>0</v>
      </c>
      <c r="O18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1" s="9">
        <v>220000</v>
      </c>
      <c r="R1861" s="9"/>
      <c r="S1861" s="5">
        <v>1</v>
      </c>
      <c r="T18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табеле]])*S1861,0)</f>
        <v>0</v>
      </c>
      <c r="U1861" s="5">
        <f>IF(Таблица1[[#This Row],[ТТН]]&gt;0,Таблица1[[#This Row],[Ставка за ТТН]]*Таблица1[[#This Row],[ТТН]],0)</f>
        <v>0</v>
      </c>
    </row>
    <row r="1862" spans="1:21" x14ac:dyDescent="0.25">
      <c r="A1862" t="s">
        <v>84</v>
      </c>
      <c r="B1862" s="24">
        <v>28</v>
      </c>
      <c r="C1862" t="s">
        <v>156</v>
      </c>
      <c r="D1862" t="s">
        <v>32</v>
      </c>
      <c r="E1862" t="s">
        <v>215</v>
      </c>
      <c r="F1862" t="s">
        <v>31</v>
      </c>
      <c r="H1862" t="s">
        <v>30</v>
      </c>
      <c r="I1862" t="s">
        <v>217</v>
      </c>
      <c r="J1862">
        <v>1</v>
      </c>
      <c r="N1862">
        <f>Таблица1[[#This Row],[Часов на заказчика  в работе]]+Таблица1[[#This Row],[Часов на заказчика  дежурство]]</f>
        <v>0</v>
      </c>
      <c r="O18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2" s="9">
        <v>220000</v>
      </c>
      <c r="R1862" s="9"/>
      <c r="S1862" s="5">
        <v>1</v>
      </c>
      <c r="T18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табеле]])*S1862,0)</f>
        <v>0</v>
      </c>
      <c r="U1862" s="5">
        <f>IF(Таблица1[[#This Row],[ТТН]]&gt;0,Таблица1[[#This Row],[Ставка за ТТН]]*Таблица1[[#This Row],[ТТН]],0)</f>
        <v>0</v>
      </c>
    </row>
    <row r="1863" spans="1:21" x14ac:dyDescent="0.25">
      <c r="A1863" t="s">
        <v>84</v>
      </c>
      <c r="B1863" s="24">
        <v>29</v>
      </c>
      <c r="C1863" t="s">
        <v>156</v>
      </c>
      <c r="D1863" t="s">
        <v>32</v>
      </c>
      <c r="E1863" t="s">
        <v>215</v>
      </c>
      <c r="F1863" t="s">
        <v>31</v>
      </c>
      <c r="H1863" t="s">
        <v>29</v>
      </c>
      <c r="I1863" t="s">
        <v>217</v>
      </c>
      <c r="J1863">
        <v>8</v>
      </c>
      <c r="N1863">
        <f>Таблица1[[#This Row],[Часов на заказчика  в работе]]+Таблица1[[#This Row],[Часов на заказчика  дежурство]]</f>
        <v>0</v>
      </c>
      <c r="O18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3" s="9">
        <v>220000</v>
      </c>
      <c r="R1863" s="9"/>
      <c r="S1863" s="5">
        <v>1</v>
      </c>
      <c r="T18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табеле]])*S1863,0)</f>
        <v>0</v>
      </c>
      <c r="U1863" s="5">
        <f>IF(Таблица1[[#This Row],[ТТН]]&gt;0,Таблица1[[#This Row],[Ставка за ТТН]]*Таблица1[[#This Row],[ТТН]],0)</f>
        <v>0</v>
      </c>
    </row>
    <row r="1864" spans="1:21" x14ac:dyDescent="0.25">
      <c r="A1864" t="s">
        <v>84</v>
      </c>
      <c r="B1864" s="24">
        <v>30</v>
      </c>
      <c r="C1864" t="s">
        <v>157</v>
      </c>
      <c r="D1864" t="s">
        <v>32</v>
      </c>
      <c r="E1864" t="s">
        <v>215</v>
      </c>
      <c r="F1864" t="s">
        <v>31</v>
      </c>
      <c r="H1864" t="s">
        <v>29</v>
      </c>
      <c r="I1864" t="s">
        <v>217</v>
      </c>
      <c r="J1864">
        <v>8</v>
      </c>
      <c r="N1864">
        <f>Таблица1[[#This Row],[Часов на заказчика  в работе]]+Таблица1[[#This Row],[Часов на заказчика  дежурство]]</f>
        <v>0</v>
      </c>
      <c r="O18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4" s="9">
        <v>220000</v>
      </c>
      <c r="R1864" s="9"/>
      <c r="S1864" s="5">
        <v>1</v>
      </c>
      <c r="T18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табеле]])*S1864,0)</f>
        <v>0</v>
      </c>
      <c r="U1864" s="5">
        <f>IF(Таблица1[[#This Row],[ТТН]]&gt;0,Таблица1[[#This Row],[Ставка за ТТН]]*Таблица1[[#This Row],[ТТН]],0)</f>
        <v>0</v>
      </c>
    </row>
    <row r="1865" spans="1:21" x14ac:dyDescent="0.25">
      <c r="A1865" t="s">
        <v>84</v>
      </c>
      <c r="B1865" s="24">
        <v>1</v>
      </c>
      <c r="C1865" t="s">
        <v>157</v>
      </c>
      <c r="D1865" t="s">
        <v>12</v>
      </c>
      <c r="E1865" t="s">
        <v>215</v>
      </c>
      <c r="F1865" t="s">
        <v>72</v>
      </c>
      <c r="H1865" t="s">
        <v>10</v>
      </c>
      <c r="I1865" t="s">
        <v>219</v>
      </c>
      <c r="J1865">
        <v>11</v>
      </c>
      <c r="L1865">
        <v>11</v>
      </c>
      <c r="N1865">
        <f>Таблица1[[#This Row],[Часов на заказчика  в работе]]+Таблица1[[#This Row],[Часов на заказчика  дежурство]]</f>
        <v>11</v>
      </c>
      <c r="O18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5" s="9">
        <v>190000</v>
      </c>
      <c r="R1865" s="9"/>
      <c r="S1865" s="5">
        <v>1</v>
      </c>
      <c r="T18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табеле]])*S1865,0)</f>
        <v>6333.333333333333</v>
      </c>
      <c r="U1865" s="5">
        <f>IF(Таблица1[[#This Row],[ТТН]]&gt;0,Таблица1[[#This Row],[Ставка за ТТН]]*Таблица1[[#This Row],[ТТН]],0)</f>
        <v>0</v>
      </c>
    </row>
    <row r="1866" spans="1:21" x14ac:dyDescent="0.25">
      <c r="A1866" t="s">
        <v>84</v>
      </c>
      <c r="B1866" s="24">
        <v>2</v>
      </c>
      <c r="C1866" t="s">
        <v>157</v>
      </c>
      <c r="D1866" t="s">
        <v>12</v>
      </c>
      <c r="E1866" t="s">
        <v>215</v>
      </c>
      <c r="F1866" t="s">
        <v>72</v>
      </c>
      <c r="H1866" t="s">
        <v>10</v>
      </c>
      <c r="I1866" t="s">
        <v>219</v>
      </c>
      <c r="J1866">
        <v>13</v>
      </c>
      <c r="L1866">
        <v>13</v>
      </c>
      <c r="N1866">
        <f>Таблица1[[#This Row],[Часов на заказчика  в работе]]+Таблица1[[#This Row],[Часов на заказчика  дежурство]]</f>
        <v>13</v>
      </c>
      <c r="O18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6" s="9">
        <v>190000</v>
      </c>
      <c r="R1866" s="9"/>
      <c r="S1866" s="5">
        <v>1</v>
      </c>
      <c r="T18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табеле]])*S1866,0)</f>
        <v>7484.848484848485</v>
      </c>
      <c r="U1866" s="5">
        <f>IF(Таблица1[[#This Row],[ТТН]]&gt;0,Таблица1[[#This Row],[Ставка за ТТН]]*Таблица1[[#This Row],[ТТН]],0)</f>
        <v>0</v>
      </c>
    </row>
    <row r="1867" spans="1:21" x14ac:dyDescent="0.25">
      <c r="A1867" t="s">
        <v>84</v>
      </c>
      <c r="B1867" s="24">
        <v>3</v>
      </c>
      <c r="C1867" t="s">
        <v>157</v>
      </c>
      <c r="D1867" t="s">
        <v>12</v>
      </c>
      <c r="E1867" t="s">
        <v>215</v>
      </c>
      <c r="F1867" t="s">
        <v>72</v>
      </c>
      <c r="H1867" t="s">
        <v>10</v>
      </c>
      <c r="I1867" t="s">
        <v>219</v>
      </c>
      <c r="J1867">
        <v>11</v>
      </c>
      <c r="L1867">
        <v>11</v>
      </c>
      <c r="N1867">
        <f>Таблица1[[#This Row],[Часов на заказчика  в работе]]+Таблица1[[#This Row],[Часов на заказчика  дежурство]]</f>
        <v>11</v>
      </c>
      <c r="O18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7" s="9">
        <v>190000</v>
      </c>
      <c r="R1867" s="9"/>
      <c r="S1867" s="5">
        <v>1</v>
      </c>
      <c r="T18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табеле]])*S1867,0)</f>
        <v>6333.333333333333</v>
      </c>
      <c r="U1867" s="5">
        <f>IF(Таблица1[[#This Row],[ТТН]]&gt;0,Таблица1[[#This Row],[Ставка за ТТН]]*Таблица1[[#This Row],[ТТН]],0)</f>
        <v>0</v>
      </c>
    </row>
    <row r="1868" spans="1:21" x14ac:dyDescent="0.25">
      <c r="A1868" t="s">
        <v>84</v>
      </c>
      <c r="B1868" s="24">
        <v>4</v>
      </c>
      <c r="C1868" t="s">
        <v>157</v>
      </c>
      <c r="D1868" t="s">
        <v>12</v>
      </c>
      <c r="E1868" t="s">
        <v>215</v>
      </c>
      <c r="F1868" t="s">
        <v>72</v>
      </c>
      <c r="H1868" t="s">
        <v>10</v>
      </c>
      <c r="I1868" t="s">
        <v>219</v>
      </c>
      <c r="J1868">
        <v>11</v>
      </c>
      <c r="L1868">
        <v>11</v>
      </c>
      <c r="N1868">
        <f>Таблица1[[#This Row],[Часов на заказчика  в работе]]+Таблица1[[#This Row],[Часов на заказчика  дежурство]]</f>
        <v>11</v>
      </c>
      <c r="O18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8" s="9">
        <v>190000</v>
      </c>
      <c r="R1868" s="9"/>
      <c r="S1868" s="5">
        <v>1</v>
      </c>
      <c r="T18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табеле]])*S1868,0)</f>
        <v>6333.333333333333</v>
      </c>
      <c r="U1868" s="5">
        <f>IF(Таблица1[[#This Row],[ТТН]]&gt;0,Таблица1[[#This Row],[Ставка за ТТН]]*Таблица1[[#This Row],[ТТН]],0)</f>
        <v>0</v>
      </c>
    </row>
    <row r="1869" spans="1:21" x14ac:dyDescent="0.25">
      <c r="A1869" t="s">
        <v>84</v>
      </c>
      <c r="B1869" s="24">
        <v>5</v>
      </c>
      <c r="C1869" t="s">
        <v>157</v>
      </c>
      <c r="D1869" t="s">
        <v>12</v>
      </c>
      <c r="E1869" t="s">
        <v>215</v>
      </c>
      <c r="F1869" t="s">
        <v>72</v>
      </c>
      <c r="H1869" t="s">
        <v>10</v>
      </c>
      <c r="I1869" t="s">
        <v>219</v>
      </c>
      <c r="J1869">
        <v>11</v>
      </c>
      <c r="L1869">
        <v>11</v>
      </c>
      <c r="N1869">
        <f>Таблица1[[#This Row],[Часов на заказчика  в работе]]+Таблица1[[#This Row],[Часов на заказчика  дежурство]]</f>
        <v>11</v>
      </c>
      <c r="O18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69" s="9">
        <v>190000</v>
      </c>
      <c r="R1869" s="9"/>
      <c r="S1869" s="5">
        <v>1</v>
      </c>
      <c r="T18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табеле]])*S1869,0)</f>
        <v>6333.333333333333</v>
      </c>
      <c r="U1869" s="5">
        <f>IF(Таблица1[[#This Row],[ТТН]]&gt;0,Таблица1[[#This Row],[Ставка за ТТН]]*Таблица1[[#This Row],[ТТН]],0)</f>
        <v>0</v>
      </c>
    </row>
    <row r="1870" spans="1:21" x14ac:dyDescent="0.25">
      <c r="A1870" t="s">
        <v>84</v>
      </c>
      <c r="B1870" s="24">
        <v>6</v>
      </c>
      <c r="C1870" t="s">
        <v>157</v>
      </c>
      <c r="D1870" t="s">
        <v>12</v>
      </c>
      <c r="E1870" t="s">
        <v>215</v>
      </c>
      <c r="F1870" t="s">
        <v>72</v>
      </c>
      <c r="H1870" t="s">
        <v>10</v>
      </c>
      <c r="I1870" t="s">
        <v>219</v>
      </c>
      <c r="J1870">
        <v>11</v>
      </c>
      <c r="L1870">
        <v>11</v>
      </c>
      <c r="N1870">
        <f>Таблица1[[#This Row],[Часов на заказчика  в работе]]+Таблица1[[#This Row],[Часов на заказчика  дежурство]]</f>
        <v>11</v>
      </c>
      <c r="O18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0" s="9">
        <v>190000</v>
      </c>
      <c r="R1870" s="9"/>
      <c r="S1870" s="5">
        <v>1</v>
      </c>
      <c r="T18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табеле]])*S1870,0)</f>
        <v>6333.333333333333</v>
      </c>
      <c r="U1870" s="5">
        <f>IF(Таблица1[[#This Row],[ТТН]]&gt;0,Таблица1[[#This Row],[Ставка за ТТН]]*Таблица1[[#This Row],[ТТН]],0)</f>
        <v>0</v>
      </c>
    </row>
    <row r="1871" spans="1:21" x14ac:dyDescent="0.25">
      <c r="A1871" t="s">
        <v>84</v>
      </c>
      <c r="B1871" s="24">
        <v>7</v>
      </c>
      <c r="C1871" t="s">
        <v>157</v>
      </c>
      <c r="D1871" t="s">
        <v>12</v>
      </c>
      <c r="E1871" t="s">
        <v>215</v>
      </c>
      <c r="F1871" t="s">
        <v>72</v>
      </c>
      <c r="H1871" t="s">
        <v>23</v>
      </c>
      <c r="I1871" t="s">
        <v>217</v>
      </c>
      <c r="J1871">
        <v>11</v>
      </c>
      <c r="N1871">
        <f>Таблица1[[#This Row],[Часов на заказчика  в работе]]+Таблица1[[#This Row],[Часов на заказчика  дежурство]]</f>
        <v>0</v>
      </c>
      <c r="O18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1" s="9">
        <v>190000</v>
      </c>
      <c r="R1871" s="9"/>
      <c r="S1871" s="5">
        <v>1</v>
      </c>
      <c r="T18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табеле]])*S1871,0)</f>
        <v>6333.333333333333</v>
      </c>
      <c r="U1871" s="5">
        <f>IF(Таблица1[[#This Row],[ТТН]]&gt;0,Таблица1[[#This Row],[Ставка за ТТН]]*Таблица1[[#This Row],[ТТН]],0)</f>
        <v>0</v>
      </c>
    </row>
    <row r="1872" spans="1:21" x14ac:dyDescent="0.25">
      <c r="A1872" t="s">
        <v>84</v>
      </c>
      <c r="B1872" s="24">
        <v>8</v>
      </c>
      <c r="C1872" t="s">
        <v>157</v>
      </c>
      <c r="D1872" t="s">
        <v>12</v>
      </c>
      <c r="E1872" t="s">
        <v>215</v>
      </c>
      <c r="F1872" t="s">
        <v>72</v>
      </c>
      <c r="H1872" t="s">
        <v>10</v>
      </c>
      <c r="I1872" t="s">
        <v>219</v>
      </c>
      <c r="J1872">
        <v>11</v>
      </c>
      <c r="L1872">
        <v>11</v>
      </c>
      <c r="N1872">
        <f>Таблица1[[#This Row],[Часов на заказчика  в работе]]+Таблица1[[#This Row],[Часов на заказчика  дежурство]]</f>
        <v>11</v>
      </c>
      <c r="O18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2" s="9">
        <v>190000</v>
      </c>
      <c r="R1872" s="9"/>
      <c r="S1872" s="5">
        <v>1</v>
      </c>
      <c r="T18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табеле]])*S1872,0)</f>
        <v>6333.333333333333</v>
      </c>
      <c r="U1872" s="5">
        <f>IF(Таблица1[[#This Row],[ТТН]]&gt;0,Таблица1[[#This Row],[Ставка за ТТН]]*Таблица1[[#This Row],[ТТН]],0)</f>
        <v>0</v>
      </c>
    </row>
    <row r="1873" spans="1:21" x14ac:dyDescent="0.25">
      <c r="A1873" t="s">
        <v>84</v>
      </c>
      <c r="B1873" s="24">
        <v>9</v>
      </c>
      <c r="C1873" t="s">
        <v>157</v>
      </c>
      <c r="D1873" t="s">
        <v>12</v>
      </c>
      <c r="E1873" t="s">
        <v>215</v>
      </c>
      <c r="F1873" t="s">
        <v>72</v>
      </c>
      <c r="H1873" t="s">
        <v>10</v>
      </c>
      <c r="I1873" t="s">
        <v>219</v>
      </c>
      <c r="J1873">
        <v>11</v>
      </c>
      <c r="L1873">
        <v>11</v>
      </c>
      <c r="N1873">
        <f>Таблица1[[#This Row],[Часов на заказчика  в работе]]+Таблица1[[#This Row],[Часов на заказчика  дежурство]]</f>
        <v>11</v>
      </c>
      <c r="O18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3" s="9">
        <v>190000</v>
      </c>
      <c r="R1873" s="9"/>
      <c r="S1873" s="5">
        <v>1</v>
      </c>
      <c r="T18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табеле]])*S1873,0)</f>
        <v>6333.333333333333</v>
      </c>
      <c r="U1873" s="5">
        <f>IF(Таблица1[[#This Row],[ТТН]]&gt;0,Таблица1[[#This Row],[Ставка за ТТН]]*Таблица1[[#This Row],[ТТН]],0)</f>
        <v>0</v>
      </c>
    </row>
    <row r="1874" spans="1:21" x14ac:dyDescent="0.25">
      <c r="A1874" t="s">
        <v>84</v>
      </c>
      <c r="B1874" s="24">
        <v>10</v>
      </c>
      <c r="C1874" t="s">
        <v>157</v>
      </c>
      <c r="D1874" t="s">
        <v>12</v>
      </c>
      <c r="E1874" t="s">
        <v>215</v>
      </c>
      <c r="F1874" t="s">
        <v>72</v>
      </c>
      <c r="H1874" t="s">
        <v>10</v>
      </c>
      <c r="I1874" t="s">
        <v>219</v>
      </c>
      <c r="J1874">
        <v>11</v>
      </c>
      <c r="L1874">
        <v>11</v>
      </c>
      <c r="N1874">
        <f>Таблица1[[#This Row],[Часов на заказчика  в работе]]+Таблица1[[#This Row],[Часов на заказчика  дежурство]]</f>
        <v>11</v>
      </c>
      <c r="O18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4" s="9">
        <v>190000</v>
      </c>
      <c r="R1874" s="9"/>
      <c r="S1874" s="5">
        <v>1</v>
      </c>
      <c r="T18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табеле]])*S1874,0)</f>
        <v>6333.333333333333</v>
      </c>
      <c r="U1874" s="5">
        <f>IF(Таблица1[[#This Row],[ТТН]]&gt;0,Таблица1[[#This Row],[Ставка за ТТН]]*Таблица1[[#This Row],[ТТН]],0)</f>
        <v>0</v>
      </c>
    </row>
    <row r="1875" spans="1:21" x14ac:dyDescent="0.25">
      <c r="A1875" t="s">
        <v>84</v>
      </c>
      <c r="B1875" s="24">
        <v>11</v>
      </c>
      <c r="C1875" t="s">
        <v>157</v>
      </c>
      <c r="D1875" t="s">
        <v>12</v>
      </c>
      <c r="E1875" t="s">
        <v>215</v>
      </c>
      <c r="F1875" t="s">
        <v>72</v>
      </c>
      <c r="H1875" t="s">
        <v>10</v>
      </c>
      <c r="I1875" t="s">
        <v>219</v>
      </c>
      <c r="J1875">
        <v>11</v>
      </c>
      <c r="L1875">
        <v>11</v>
      </c>
      <c r="N1875">
        <f>Таблица1[[#This Row],[Часов на заказчика  в работе]]+Таблица1[[#This Row],[Часов на заказчика  дежурство]]</f>
        <v>11</v>
      </c>
      <c r="O18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5" s="9">
        <v>190000</v>
      </c>
      <c r="R1875" s="9"/>
      <c r="S1875" s="5">
        <v>1</v>
      </c>
      <c r="T18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табеле]])*S1875,0)</f>
        <v>6333.333333333333</v>
      </c>
      <c r="U1875" s="5">
        <f>IF(Таблица1[[#This Row],[ТТН]]&gt;0,Таблица1[[#This Row],[Ставка за ТТН]]*Таблица1[[#This Row],[ТТН]],0)</f>
        <v>0</v>
      </c>
    </row>
    <row r="1876" spans="1:21" x14ac:dyDescent="0.25">
      <c r="A1876" t="s">
        <v>84</v>
      </c>
      <c r="B1876" s="24">
        <v>12</v>
      </c>
      <c r="C1876" t="s">
        <v>157</v>
      </c>
      <c r="D1876" t="s">
        <v>12</v>
      </c>
      <c r="E1876" t="s">
        <v>215</v>
      </c>
      <c r="F1876" t="s">
        <v>72</v>
      </c>
      <c r="H1876" t="s">
        <v>38</v>
      </c>
      <c r="I1876" t="s">
        <v>219</v>
      </c>
      <c r="J1876">
        <v>11</v>
      </c>
      <c r="L1876">
        <v>11</v>
      </c>
      <c r="N1876">
        <f>Таблица1[[#This Row],[Часов на заказчика  в работе]]+Таблица1[[#This Row],[Часов на заказчика  дежурство]]</f>
        <v>11</v>
      </c>
      <c r="O18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6" s="9">
        <v>190000</v>
      </c>
      <c r="R1876" s="9"/>
      <c r="S1876" s="5">
        <v>1</v>
      </c>
      <c r="T18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табеле]])*S1876,0)</f>
        <v>6333.333333333333</v>
      </c>
      <c r="U1876" s="5">
        <f>IF(Таблица1[[#This Row],[ТТН]]&gt;0,Таблица1[[#This Row],[Ставка за ТТН]]*Таблица1[[#This Row],[ТТН]],0)</f>
        <v>0</v>
      </c>
    </row>
    <row r="1877" spans="1:21" x14ac:dyDescent="0.25">
      <c r="A1877" t="s">
        <v>84</v>
      </c>
      <c r="B1877" s="24">
        <v>13</v>
      </c>
      <c r="C1877" t="s">
        <v>157</v>
      </c>
      <c r="D1877" t="s">
        <v>12</v>
      </c>
      <c r="E1877" t="s">
        <v>215</v>
      </c>
      <c r="F1877" t="s">
        <v>72</v>
      </c>
      <c r="H1877" t="s">
        <v>10</v>
      </c>
      <c r="I1877" t="s">
        <v>219</v>
      </c>
      <c r="J1877">
        <v>11</v>
      </c>
      <c r="L1877">
        <v>11</v>
      </c>
      <c r="N1877">
        <f>Таблица1[[#This Row],[Часов на заказчика  в работе]]+Таблица1[[#This Row],[Часов на заказчика  дежурство]]</f>
        <v>11</v>
      </c>
      <c r="O18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7" s="9">
        <v>190000</v>
      </c>
      <c r="R1877" s="9"/>
      <c r="S1877" s="5">
        <v>1</v>
      </c>
      <c r="T18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табеле]])*S1877,0)</f>
        <v>6333.333333333333</v>
      </c>
      <c r="U1877" s="5">
        <f>IF(Таблица1[[#This Row],[ТТН]]&gt;0,Таблица1[[#This Row],[Ставка за ТТН]]*Таблица1[[#This Row],[ТТН]],0)</f>
        <v>0</v>
      </c>
    </row>
    <row r="1878" spans="1:21" x14ac:dyDescent="0.25">
      <c r="A1878" t="s">
        <v>84</v>
      </c>
      <c r="B1878" s="24">
        <v>14</v>
      </c>
      <c r="C1878" t="s">
        <v>157</v>
      </c>
      <c r="D1878" t="s">
        <v>12</v>
      </c>
      <c r="E1878" t="s">
        <v>215</v>
      </c>
      <c r="F1878" t="s">
        <v>72</v>
      </c>
      <c r="H1878" t="s">
        <v>10</v>
      </c>
      <c r="I1878" t="s">
        <v>219</v>
      </c>
      <c r="J1878">
        <v>11</v>
      </c>
      <c r="L1878">
        <v>11</v>
      </c>
      <c r="N1878">
        <f>Таблица1[[#This Row],[Часов на заказчика  в работе]]+Таблица1[[#This Row],[Часов на заказчика  дежурство]]</f>
        <v>11</v>
      </c>
      <c r="O18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8" s="9">
        <v>190000</v>
      </c>
      <c r="R1878" s="9"/>
      <c r="S1878" s="5">
        <v>1</v>
      </c>
      <c r="T18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табеле]])*S1878,0)</f>
        <v>6333.333333333333</v>
      </c>
      <c r="U1878" s="5">
        <f>IF(Таблица1[[#This Row],[ТТН]]&gt;0,Таблица1[[#This Row],[Ставка за ТТН]]*Таблица1[[#This Row],[ТТН]],0)</f>
        <v>0</v>
      </c>
    </row>
    <row r="1879" spans="1:21" x14ac:dyDescent="0.25">
      <c r="A1879" t="s">
        <v>84</v>
      </c>
      <c r="B1879" s="24">
        <v>15</v>
      </c>
      <c r="C1879" t="s">
        <v>157</v>
      </c>
      <c r="D1879" t="s">
        <v>12</v>
      </c>
      <c r="E1879" t="s">
        <v>215</v>
      </c>
      <c r="F1879" t="s">
        <v>72</v>
      </c>
      <c r="H1879" t="s">
        <v>10</v>
      </c>
      <c r="I1879" t="s">
        <v>219</v>
      </c>
      <c r="J1879">
        <v>11</v>
      </c>
      <c r="L1879">
        <v>11</v>
      </c>
      <c r="N1879">
        <f>Таблица1[[#This Row],[Часов на заказчика  в работе]]+Таблица1[[#This Row],[Часов на заказчика  дежурство]]</f>
        <v>11</v>
      </c>
      <c r="O18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79" s="9">
        <v>190000</v>
      </c>
      <c r="R1879" s="9"/>
      <c r="S1879" s="5">
        <v>1</v>
      </c>
      <c r="T18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табеле]])*S1879,0)</f>
        <v>6333.333333333333</v>
      </c>
      <c r="U1879" s="5">
        <f>IF(Таблица1[[#This Row],[ТТН]]&gt;0,Таблица1[[#This Row],[Ставка за ТТН]]*Таблица1[[#This Row],[ТТН]],0)</f>
        <v>0</v>
      </c>
    </row>
    <row r="1880" spans="1:21" x14ac:dyDescent="0.25">
      <c r="A1880" t="s">
        <v>84</v>
      </c>
      <c r="B1880" s="24">
        <v>16</v>
      </c>
      <c r="C1880" t="s">
        <v>157</v>
      </c>
      <c r="D1880" t="s">
        <v>12</v>
      </c>
      <c r="E1880" t="s">
        <v>215</v>
      </c>
      <c r="F1880" t="s">
        <v>72</v>
      </c>
      <c r="H1880" t="s">
        <v>10</v>
      </c>
      <c r="I1880" t="s">
        <v>219</v>
      </c>
      <c r="J1880">
        <v>11</v>
      </c>
      <c r="L1880">
        <v>11</v>
      </c>
      <c r="N1880">
        <f>Таблица1[[#This Row],[Часов на заказчика  в работе]]+Таблица1[[#This Row],[Часов на заказчика  дежурство]]</f>
        <v>11</v>
      </c>
      <c r="O18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0" s="9">
        <v>190000</v>
      </c>
      <c r="R1880" s="9"/>
      <c r="S1880" s="5">
        <v>1</v>
      </c>
      <c r="T18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табеле]])*S1880,0)</f>
        <v>6333.333333333333</v>
      </c>
      <c r="U1880" s="5">
        <f>IF(Таблица1[[#This Row],[ТТН]]&gt;0,Таблица1[[#This Row],[Ставка за ТТН]]*Таблица1[[#This Row],[ТТН]],0)</f>
        <v>0</v>
      </c>
    </row>
    <row r="1881" spans="1:21" x14ac:dyDescent="0.25">
      <c r="A1881" t="s">
        <v>84</v>
      </c>
      <c r="B1881" s="24">
        <v>17</v>
      </c>
      <c r="C1881" t="s">
        <v>157</v>
      </c>
      <c r="D1881" t="s">
        <v>12</v>
      </c>
      <c r="E1881" t="s">
        <v>215</v>
      </c>
      <c r="F1881" t="s">
        <v>72</v>
      </c>
      <c r="H1881" t="s">
        <v>10</v>
      </c>
      <c r="I1881" t="s">
        <v>219</v>
      </c>
      <c r="J1881">
        <v>22</v>
      </c>
      <c r="L1881">
        <v>22</v>
      </c>
      <c r="N1881">
        <f>Таблица1[[#This Row],[Часов на заказчика  в работе]]+Таблица1[[#This Row],[Часов на заказчика  дежурство]]</f>
        <v>22</v>
      </c>
      <c r="O18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1" s="9">
        <v>190000</v>
      </c>
      <c r="R1881" s="9"/>
      <c r="S1881" s="5">
        <v>1</v>
      </c>
      <c r="T18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табеле]])*S1881,0)</f>
        <v>12666.666666666666</v>
      </c>
      <c r="U1881" s="5">
        <f>IF(Таблица1[[#This Row],[ТТН]]&gt;0,Таблица1[[#This Row],[Ставка за ТТН]]*Таблица1[[#This Row],[ТТН]],0)</f>
        <v>0</v>
      </c>
    </row>
    <row r="1882" spans="1:21" x14ac:dyDescent="0.25">
      <c r="A1882" t="s">
        <v>84</v>
      </c>
      <c r="B1882" s="24">
        <v>18</v>
      </c>
      <c r="C1882" t="s">
        <v>157</v>
      </c>
      <c r="D1882" t="s">
        <v>12</v>
      </c>
      <c r="E1882" t="s">
        <v>215</v>
      </c>
      <c r="F1882" t="s">
        <v>72</v>
      </c>
      <c r="H1882" t="s">
        <v>10</v>
      </c>
      <c r="I1882" t="s">
        <v>219</v>
      </c>
      <c r="J1882">
        <v>22</v>
      </c>
      <c r="L1882">
        <v>22</v>
      </c>
      <c r="N1882">
        <f>Таблица1[[#This Row],[Часов на заказчика  в работе]]+Таблица1[[#This Row],[Часов на заказчика  дежурство]]</f>
        <v>22</v>
      </c>
      <c r="O18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2" s="9">
        <v>190000</v>
      </c>
      <c r="R1882" s="9"/>
      <c r="S1882" s="5">
        <v>1</v>
      </c>
      <c r="T18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табеле]])*S1882,0)</f>
        <v>12666.666666666666</v>
      </c>
      <c r="U1882" s="5">
        <f>IF(Таблица1[[#This Row],[ТТН]]&gt;0,Таблица1[[#This Row],[Ставка за ТТН]]*Таблица1[[#This Row],[ТТН]],0)</f>
        <v>0</v>
      </c>
    </row>
    <row r="1883" spans="1:21" x14ac:dyDescent="0.25">
      <c r="A1883" t="s">
        <v>84</v>
      </c>
      <c r="B1883" s="24">
        <v>19</v>
      </c>
      <c r="C1883" t="s">
        <v>157</v>
      </c>
      <c r="D1883" t="s">
        <v>12</v>
      </c>
      <c r="E1883" t="s">
        <v>215</v>
      </c>
      <c r="F1883" t="s">
        <v>72</v>
      </c>
      <c r="H1883" t="s">
        <v>10</v>
      </c>
      <c r="I1883" t="s">
        <v>219</v>
      </c>
      <c r="J1883">
        <v>11</v>
      </c>
      <c r="L1883">
        <v>11</v>
      </c>
      <c r="N1883">
        <f>Таблица1[[#This Row],[Часов на заказчика  в работе]]+Таблица1[[#This Row],[Часов на заказчика  дежурство]]</f>
        <v>11</v>
      </c>
      <c r="O18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3" s="9">
        <v>190000</v>
      </c>
      <c r="R1883" s="9"/>
      <c r="S1883" s="5">
        <v>1</v>
      </c>
      <c r="T18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табеле]])*S1883,0)</f>
        <v>6333.333333333333</v>
      </c>
      <c r="U1883" s="5">
        <f>IF(Таблица1[[#This Row],[ТТН]]&gt;0,Таблица1[[#This Row],[Ставка за ТТН]]*Таблица1[[#This Row],[ТТН]],0)</f>
        <v>0</v>
      </c>
    </row>
    <row r="1884" spans="1:21" x14ac:dyDescent="0.25">
      <c r="A1884" t="s">
        <v>84</v>
      </c>
      <c r="B1884" s="24">
        <v>20</v>
      </c>
      <c r="C1884" t="s">
        <v>157</v>
      </c>
      <c r="D1884" t="s">
        <v>12</v>
      </c>
      <c r="E1884" t="s">
        <v>215</v>
      </c>
      <c r="F1884" t="s">
        <v>72</v>
      </c>
      <c r="H1884" t="s">
        <v>10</v>
      </c>
      <c r="I1884" t="s">
        <v>219</v>
      </c>
      <c r="J1884">
        <v>22</v>
      </c>
      <c r="L1884">
        <v>22</v>
      </c>
      <c r="N1884">
        <f>Таблица1[[#This Row],[Часов на заказчика  в работе]]+Таблица1[[#This Row],[Часов на заказчика  дежурство]]</f>
        <v>22</v>
      </c>
      <c r="O18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4" s="9">
        <v>190000</v>
      </c>
      <c r="R1884" s="9"/>
      <c r="S1884" s="5">
        <v>1</v>
      </c>
      <c r="T18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табеле]])*S1884,0)</f>
        <v>12666.666666666666</v>
      </c>
      <c r="U1884" s="5">
        <f>IF(Таблица1[[#This Row],[ТТН]]&gt;0,Таблица1[[#This Row],[Ставка за ТТН]]*Таблица1[[#This Row],[ТТН]],0)</f>
        <v>0</v>
      </c>
    </row>
    <row r="1885" spans="1:21" x14ac:dyDescent="0.25">
      <c r="A1885" t="s">
        <v>84</v>
      </c>
      <c r="B1885" s="24">
        <v>21</v>
      </c>
      <c r="C1885" t="s">
        <v>157</v>
      </c>
      <c r="D1885" t="s">
        <v>12</v>
      </c>
      <c r="E1885" t="s">
        <v>215</v>
      </c>
      <c r="F1885" t="s">
        <v>72</v>
      </c>
      <c r="H1885" t="s">
        <v>10</v>
      </c>
      <c r="I1885" t="s">
        <v>219</v>
      </c>
      <c r="J1885">
        <v>11</v>
      </c>
      <c r="L1885">
        <v>11</v>
      </c>
      <c r="N1885">
        <f>Таблица1[[#This Row],[Часов на заказчика  в работе]]+Таблица1[[#This Row],[Часов на заказчика  дежурство]]</f>
        <v>11</v>
      </c>
      <c r="O18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5" s="9">
        <v>190000</v>
      </c>
      <c r="R1885" s="9"/>
      <c r="S1885" s="5">
        <v>1</v>
      </c>
      <c r="T18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табеле]])*S1885,0)</f>
        <v>6333.333333333333</v>
      </c>
      <c r="U1885" s="5">
        <f>IF(Таблица1[[#This Row],[ТТН]]&gt;0,Таблица1[[#This Row],[Ставка за ТТН]]*Таблица1[[#This Row],[ТТН]],0)</f>
        <v>0</v>
      </c>
    </row>
    <row r="1886" spans="1:21" x14ac:dyDescent="0.25">
      <c r="A1886" t="s">
        <v>84</v>
      </c>
      <c r="B1886" s="24">
        <v>22</v>
      </c>
      <c r="C1886" t="s">
        <v>157</v>
      </c>
      <c r="D1886" t="s">
        <v>12</v>
      </c>
      <c r="E1886" t="s">
        <v>215</v>
      </c>
      <c r="F1886" t="s">
        <v>72</v>
      </c>
      <c r="H1886" t="s">
        <v>70</v>
      </c>
      <c r="I1886" t="s">
        <v>219</v>
      </c>
      <c r="J1886">
        <v>11</v>
      </c>
      <c r="L1886">
        <v>11</v>
      </c>
      <c r="N1886">
        <f>Таблица1[[#This Row],[Часов на заказчика  в работе]]+Таблица1[[#This Row],[Часов на заказчика  дежурство]]</f>
        <v>11</v>
      </c>
      <c r="O18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6" s="9">
        <v>190000</v>
      </c>
      <c r="R1886" s="9"/>
      <c r="S1886" s="5">
        <v>1</v>
      </c>
      <c r="T18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табеле]])*S1886,0)</f>
        <v>6333.333333333333</v>
      </c>
      <c r="U1886" s="5">
        <f>IF(Таблица1[[#This Row],[ТТН]]&gt;0,Таблица1[[#This Row],[Ставка за ТТН]]*Таблица1[[#This Row],[ТТН]],0)</f>
        <v>0</v>
      </c>
    </row>
    <row r="1887" spans="1:21" x14ac:dyDescent="0.25">
      <c r="A1887" t="s">
        <v>84</v>
      </c>
      <c r="B1887" s="24">
        <v>23</v>
      </c>
      <c r="C1887" t="s">
        <v>157</v>
      </c>
      <c r="D1887" t="s">
        <v>12</v>
      </c>
      <c r="E1887" t="s">
        <v>215</v>
      </c>
      <c r="F1887" t="s">
        <v>72</v>
      </c>
      <c r="H1887" t="s">
        <v>70</v>
      </c>
      <c r="I1887" t="s">
        <v>219</v>
      </c>
      <c r="J1887">
        <v>11</v>
      </c>
      <c r="L1887">
        <v>11</v>
      </c>
      <c r="N1887">
        <f>Таблица1[[#This Row],[Часов на заказчика  в работе]]+Таблица1[[#This Row],[Часов на заказчика  дежурство]]</f>
        <v>11</v>
      </c>
      <c r="O18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7" s="9">
        <v>190000</v>
      </c>
      <c r="R1887" s="9"/>
      <c r="S1887" s="5">
        <v>1</v>
      </c>
      <c r="T18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табеле]])*S1887,0)</f>
        <v>6333.333333333333</v>
      </c>
      <c r="U1887" s="5">
        <f>IF(Таблица1[[#This Row],[ТТН]]&gt;0,Таблица1[[#This Row],[Ставка за ТТН]]*Таблица1[[#This Row],[ТТН]],0)</f>
        <v>0</v>
      </c>
    </row>
    <row r="1888" spans="1:21" x14ac:dyDescent="0.25">
      <c r="A1888" t="s">
        <v>84</v>
      </c>
      <c r="B1888" s="24">
        <v>24</v>
      </c>
      <c r="C1888" t="s">
        <v>157</v>
      </c>
      <c r="D1888" t="s">
        <v>12</v>
      </c>
      <c r="E1888" t="s">
        <v>215</v>
      </c>
      <c r="F1888" t="s">
        <v>72</v>
      </c>
      <c r="H1888" t="s">
        <v>10</v>
      </c>
      <c r="I1888" t="s">
        <v>219</v>
      </c>
      <c r="J1888">
        <v>22</v>
      </c>
      <c r="L1888">
        <v>22</v>
      </c>
      <c r="N1888">
        <f>Таблица1[[#This Row],[Часов на заказчика  в работе]]+Таблица1[[#This Row],[Часов на заказчика  дежурство]]</f>
        <v>22</v>
      </c>
      <c r="O18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8" s="9">
        <v>190000</v>
      </c>
      <c r="R1888" s="9"/>
      <c r="S1888" s="5">
        <v>1</v>
      </c>
      <c r="T18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табеле]])*S1888,0)</f>
        <v>12666.666666666666</v>
      </c>
      <c r="U1888" s="5">
        <f>IF(Таблица1[[#This Row],[ТТН]]&gt;0,Таблица1[[#This Row],[Ставка за ТТН]]*Таблица1[[#This Row],[ТТН]],0)</f>
        <v>0</v>
      </c>
    </row>
    <row r="1889" spans="1:21" x14ac:dyDescent="0.25">
      <c r="A1889" t="s">
        <v>84</v>
      </c>
      <c r="B1889" s="24">
        <v>25</v>
      </c>
      <c r="C1889" t="s">
        <v>157</v>
      </c>
      <c r="D1889" t="s">
        <v>12</v>
      </c>
      <c r="E1889" t="s">
        <v>215</v>
      </c>
      <c r="F1889" t="s">
        <v>72</v>
      </c>
      <c r="H1889" t="s">
        <v>10</v>
      </c>
      <c r="I1889" t="s">
        <v>219</v>
      </c>
      <c r="J1889">
        <v>11</v>
      </c>
      <c r="L1889">
        <v>11</v>
      </c>
      <c r="N1889">
        <f>Таблица1[[#This Row],[Часов на заказчика  в работе]]+Таблица1[[#This Row],[Часов на заказчика  дежурство]]</f>
        <v>11</v>
      </c>
      <c r="O18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89" s="9">
        <v>190000</v>
      </c>
      <c r="R1889" s="9"/>
      <c r="S1889" s="5">
        <v>1</v>
      </c>
      <c r="T18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табеле]])*S1889,0)</f>
        <v>6333.333333333333</v>
      </c>
      <c r="U1889" s="5">
        <f>IF(Таблица1[[#This Row],[ТТН]]&gt;0,Таблица1[[#This Row],[Ставка за ТТН]]*Таблица1[[#This Row],[ТТН]],0)</f>
        <v>0</v>
      </c>
    </row>
    <row r="1890" spans="1:21" x14ac:dyDescent="0.25">
      <c r="A1890" t="s">
        <v>84</v>
      </c>
      <c r="B1890" s="24">
        <v>26</v>
      </c>
      <c r="C1890" t="s">
        <v>157</v>
      </c>
      <c r="D1890" t="s">
        <v>12</v>
      </c>
      <c r="E1890" t="s">
        <v>215</v>
      </c>
      <c r="F1890" t="s">
        <v>72</v>
      </c>
      <c r="H1890" t="s">
        <v>10</v>
      </c>
      <c r="I1890" t="s">
        <v>219</v>
      </c>
      <c r="J1890">
        <v>11</v>
      </c>
      <c r="L1890">
        <v>11</v>
      </c>
      <c r="N1890">
        <f>Таблица1[[#This Row],[Часов на заказчика  в работе]]+Таблица1[[#This Row],[Часов на заказчика  дежурство]]</f>
        <v>11</v>
      </c>
      <c r="O18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0" s="9">
        <v>190000</v>
      </c>
      <c r="R1890" s="9"/>
      <c r="S1890" s="5">
        <v>1</v>
      </c>
      <c r="T18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табеле]])*S1890,0)</f>
        <v>6333.333333333333</v>
      </c>
      <c r="U1890" s="5">
        <f>IF(Таблица1[[#This Row],[ТТН]]&gt;0,Таблица1[[#This Row],[Ставка за ТТН]]*Таблица1[[#This Row],[ТТН]],0)</f>
        <v>0</v>
      </c>
    </row>
    <row r="1891" spans="1:21" x14ac:dyDescent="0.25">
      <c r="A1891" t="s">
        <v>84</v>
      </c>
      <c r="B1891" s="24">
        <v>27</v>
      </c>
      <c r="C1891" t="s">
        <v>157</v>
      </c>
      <c r="D1891" t="s">
        <v>12</v>
      </c>
      <c r="E1891" t="s">
        <v>215</v>
      </c>
      <c r="F1891" t="s">
        <v>72</v>
      </c>
      <c r="H1891" t="s">
        <v>10</v>
      </c>
      <c r="I1891" t="s">
        <v>219</v>
      </c>
      <c r="J1891">
        <v>11</v>
      </c>
      <c r="L1891">
        <v>11</v>
      </c>
      <c r="N1891">
        <f>Таблица1[[#This Row],[Часов на заказчика  в работе]]+Таблица1[[#This Row],[Часов на заказчика  дежурство]]</f>
        <v>11</v>
      </c>
      <c r="O18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1" s="9">
        <v>190000</v>
      </c>
      <c r="R1891" s="9"/>
      <c r="S1891" s="5">
        <v>1</v>
      </c>
      <c r="T18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табеле]])*S1891,0)</f>
        <v>6333.333333333333</v>
      </c>
      <c r="U1891" s="5">
        <f>IF(Таблица1[[#This Row],[ТТН]]&gt;0,Таблица1[[#This Row],[Ставка за ТТН]]*Таблица1[[#This Row],[ТТН]],0)</f>
        <v>0</v>
      </c>
    </row>
    <row r="1892" spans="1:21" x14ac:dyDescent="0.25">
      <c r="A1892" t="s">
        <v>84</v>
      </c>
      <c r="B1892" s="24">
        <v>28</v>
      </c>
      <c r="C1892" t="s">
        <v>157</v>
      </c>
      <c r="D1892" t="s">
        <v>12</v>
      </c>
      <c r="E1892" t="s">
        <v>215</v>
      </c>
      <c r="F1892" t="s">
        <v>72</v>
      </c>
      <c r="H1892" t="s">
        <v>24</v>
      </c>
      <c r="I1892" t="s">
        <v>219</v>
      </c>
      <c r="J1892">
        <v>8</v>
      </c>
      <c r="L1892">
        <v>8</v>
      </c>
      <c r="N1892">
        <f>Таблица1[[#This Row],[Часов на заказчика  в работе]]+Таблица1[[#This Row],[Часов на заказчика  дежурство]]</f>
        <v>8</v>
      </c>
      <c r="O18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2" s="9">
        <v>190000</v>
      </c>
      <c r="R1892" s="9"/>
      <c r="S1892" s="5">
        <v>1</v>
      </c>
      <c r="T18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табеле]])*S1892,0)</f>
        <v>0</v>
      </c>
      <c r="U1892" s="5">
        <f>IF(Таблица1[[#This Row],[ТТН]]&gt;0,Таблица1[[#This Row],[Ставка за ТТН]]*Таблица1[[#This Row],[ТТН]],0)</f>
        <v>0</v>
      </c>
    </row>
    <row r="1893" spans="1:21" x14ac:dyDescent="0.25">
      <c r="A1893" t="s">
        <v>84</v>
      </c>
      <c r="B1893" s="24">
        <v>29</v>
      </c>
      <c r="C1893" t="s">
        <v>157</v>
      </c>
      <c r="D1893" t="s">
        <v>12</v>
      </c>
      <c r="E1893" t="s">
        <v>215</v>
      </c>
      <c r="F1893" t="s">
        <v>72</v>
      </c>
      <c r="H1893" t="s">
        <v>24</v>
      </c>
      <c r="I1893" t="s">
        <v>219</v>
      </c>
      <c r="J1893">
        <v>8</v>
      </c>
      <c r="L1893">
        <v>8</v>
      </c>
      <c r="N1893">
        <f>Таблица1[[#This Row],[Часов на заказчика  в работе]]+Таблица1[[#This Row],[Часов на заказчика  дежурство]]</f>
        <v>8</v>
      </c>
      <c r="O18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3" s="9">
        <v>190000</v>
      </c>
      <c r="R1893" s="9"/>
      <c r="S1893" s="5">
        <v>1</v>
      </c>
      <c r="T18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табеле]])*S1893,0)</f>
        <v>0</v>
      </c>
      <c r="U1893" s="5">
        <f>IF(Таблица1[[#This Row],[ТТН]]&gt;0,Таблица1[[#This Row],[Ставка за ТТН]]*Таблица1[[#This Row],[ТТН]],0)</f>
        <v>0</v>
      </c>
    </row>
    <row r="1894" spans="1:21" x14ac:dyDescent="0.25">
      <c r="A1894" t="s">
        <v>84</v>
      </c>
      <c r="B1894" s="24">
        <v>30</v>
      </c>
      <c r="C1894" t="s">
        <v>158</v>
      </c>
      <c r="D1894" t="s">
        <v>12</v>
      </c>
      <c r="E1894" t="s">
        <v>215</v>
      </c>
      <c r="F1894" t="s">
        <v>72</v>
      </c>
      <c r="H1894" t="s">
        <v>24</v>
      </c>
      <c r="I1894" t="s">
        <v>219</v>
      </c>
      <c r="J1894">
        <v>8</v>
      </c>
      <c r="L1894">
        <v>8</v>
      </c>
      <c r="N1894">
        <f>Таблица1[[#This Row],[Часов на заказчика  в работе]]+Таблица1[[#This Row],[Часов на заказчика  дежурство]]</f>
        <v>8</v>
      </c>
      <c r="O18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4" s="9">
        <v>190000</v>
      </c>
      <c r="R1894" s="9"/>
      <c r="S1894" s="5">
        <v>1</v>
      </c>
      <c r="T18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табеле]])*S1894,0)</f>
        <v>0</v>
      </c>
      <c r="U1894" s="5">
        <f>IF(Таблица1[[#This Row],[ТТН]]&gt;0,Таблица1[[#This Row],[Ставка за ТТН]]*Таблица1[[#This Row],[ТТН]],0)</f>
        <v>0</v>
      </c>
    </row>
    <row r="1895" spans="1:21" x14ac:dyDescent="0.25">
      <c r="A1895" t="s">
        <v>84</v>
      </c>
      <c r="B1895" s="24">
        <v>1</v>
      </c>
      <c r="C1895" t="s">
        <v>158</v>
      </c>
      <c r="D1895" t="s">
        <v>12</v>
      </c>
      <c r="E1895" t="s">
        <v>215</v>
      </c>
      <c r="F1895" t="s">
        <v>72</v>
      </c>
      <c r="H1895" t="s">
        <v>29</v>
      </c>
      <c r="I1895" t="s">
        <v>217</v>
      </c>
      <c r="J1895">
        <v>8</v>
      </c>
      <c r="N1895">
        <f>Таблица1[[#This Row],[Часов на заказчика  в работе]]+Таблица1[[#This Row],[Часов на заказчика  дежурство]]</f>
        <v>0</v>
      </c>
      <c r="O18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5" s="9">
        <v>190000</v>
      </c>
      <c r="R1895" s="9"/>
      <c r="S1895" s="5">
        <v>1</v>
      </c>
      <c r="T18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табеле]])*S1895,0)</f>
        <v>0</v>
      </c>
      <c r="U1895" s="5">
        <f>IF(Таблица1[[#This Row],[ТТН]]&gt;0,Таблица1[[#This Row],[Ставка за ТТН]]*Таблица1[[#This Row],[ТТН]],0)</f>
        <v>0</v>
      </c>
    </row>
    <row r="1896" spans="1:21" x14ac:dyDescent="0.25">
      <c r="A1896" t="s">
        <v>84</v>
      </c>
      <c r="B1896" s="24">
        <v>2</v>
      </c>
      <c r="C1896" t="s">
        <v>158</v>
      </c>
      <c r="D1896" t="s">
        <v>12</v>
      </c>
      <c r="E1896" t="s">
        <v>215</v>
      </c>
      <c r="F1896" t="s">
        <v>72</v>
      </c>
      <c r="H1896" t="s">
        <v>29</v>
      </c>
      <c r="I1896" t="s">
        <v>217</v>
      </c>
      <c r="J1896">
        <v>8</v>
      </c>
      <c r="N1896">
        <f>Таблица1[[#This Row],[Часов на заказчика  в работе]]+Таблица1[[#This Row],[Часов на заказчика  дежурство]]</f>
        <v>0</v>
      </c>
      <c r="O18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6" s="9">
        <v>190000</v>
      </c>
      <c r="R1896" s="9"/>
      <c r="S1896" s="5">
        <v>1</v>
      </c>
      <c r="T18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табеле]])*S1896,0)</f>
        <v>0</v>
      </c>
      <c r="U1896" s="5">
        <f>IF(Таблица1[[#This Row],[ТТН]]&gt;0,Таблица1[[#This Row],[Ставка за ТТН]]*Таблица1[[#This Row],[ТТН]],0)</f>
        <v>0</v>
      </c>
    </row>
    <row r="1897" spans="1:21" x14ac:dyDescent="0.25">
      <c r="A1897" t="s">
        <v>84</v>
      </c>
      <c r="B1897" s="24">
        <v>3</v>
      </c>
      <c r="C1897" t="s">
        <v>158</v>
      </c>
      <c r="D1897" t="s">
        <v>12</v>
      </c>
      <c r="E1897" t="s">
        <v>215</v>
      </c>
      <c r="F1897" t="s">
        <v>72</v>
      </c>
      <c r="H1897" t="s">
        <v>29</v>
      </c>
      <c r="I1897" t="s">
        <v>217</v>
      </c>
      <c r="J1897">
        <v>8</v>
      </c>
      <c r="N1897">
        <f>Таблица1[[#This Row],[Часов на заказчика  в работе]]+Таблица1[[#This Row],[Часов на заказчика  дежурство]]</f>
        <v>0</v>
      </c>
      <c r="O18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7" s="9">
        <v>190000</v>
      </c>
      <c r="R1897" s="9"/>
      <c r="S1897" s="5">
        <v>1</v>
      </c>
      <c r="T18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табеле]])*S1897,0)</f>
        <v>0</v>
      </c>
      <c r="U1897" s="5">
        <f>IF(Таблица1[[#This Row],[ТТН]]&gt;0,Таблица1[[#This Row],[Ставка за ТТН]]*Таблица1[[#This Row],[ТТН]],0)</f>
        <v>0</v>
      </c>
    </row>
    <row r="1898" spans="1:21" x14ac:dyDescent="0.25">
      <c r="A1898" t="s">
        <v>84</v>
      </c>
      <c r="B1898" s="24">
        <v>4</v>
      </c>
      <c r="C1898" t="s">
        <v>158</v>
      </c>
      <c r="D1898" t="s">
        <v>12</v>
      </c>
      <c r="E1898" t="s">
        <v>215</v>
      </c>
      <c r="F1898" t="s">
        <v>72</v>
      </c>
      <c r="H1898" t="s">
        <v>29</v>
      </c>
      <c r="I1898" t="s">
        <v>217</v>
      </c>
      <c r="J1898">
        <v>8</v>
      </c>
      <c r="N1898">
        <f>Таблица1[[#This Row],[Часов на заказчика  в работе]]+Таблица1[[#This Row],[Часов на заказчика  дежурство]]</f>
        <v>0</v>
      </c>
      <c r="O18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8" s="9">
        <v>190000</v>
      </c>
      <c r="R1898" s="9"/>
      <c r="S1898" s="5">
        <v>1</v>
      </c>
      <c r="T18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табеле]])*S1898,0)</f>
        <v>0</v>
      </c>
      <c r="U1898" s="5">
        <f>IF(Таблица1[[#This Row],[ТТН]]&gt;0,Таблица1[[#This Row],[Ставка за ТТН]]*Таблица1[[#This Row],[ТТН]],0)</f>
        <v>0</v>
      </c>
    </row>
    <row r="1899" spans="1:21" x14ac:dyDescent="0.25">
      <c r="A1899" t="s">
        <v>84</v>
      </c>
      <c r="B1899" s="24">
        <v>5</v>
      </c>
      <c r="C1899" t="s">
        <v>158</v>
      </c>
      <c r="D1899" t="s">
        <v>12</v>
      </c>
      <c r="E1899" t="s">
        <v>215</v>
      </c>
      <c r="F1899" t="s">
        <v>72</v>
      </c>
      <c r="H1899" t="s">
        <v>29</v>
      </c>
      <c r="I1899" t="s">
        <v>217</v>
      </c>
      <c r="J1899">
        <v>8</v>
      </c>
      <c r="N1899">
        <f>Таблица1[[#This Row],[Часов на заказчика  в работе]]+Таблица1[[#This Row],[Часов на заказчика  дежурство]]</f>
        <v>0</v>
      </c>
      <c r="O18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899" s="9">
        <v>190000</v>
      </c>
      <c r="R1899" s="9"/>
      <c r="S1899" s="5">
        <v>1</v>
      </c>
      <c r="T18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табеле]])*S1899,0)</f>
        <v>0</v>
      </c>
      <c r="U1899" s="5">
        <f>IF(Таблица1[[#This Row],[ТТН]]&gt;0,Таблица1[[#This Row],[Ставка за ТТН]]*Таблица1[[#This Row],[ТТН]],0)</f>
        <v>0</v>
      </c>
    </row>
    <row r="1900" spans="1:21" x14ac:dyDescent="0.25">
      <c r="A1900" t="s">
        <v>84</v>
      </c>
      <c r="B1900" s="24">
        <v>6</v>
      </c>
      <c r="C1900" t="s">
        <v>158</v>
      </c>
      <c r="D1900" t="s">
        <v>12</v>
      </c>
      <c r="E1900" t="s">
        <v>215</v>
      </c>
      <c r="F1900" t="s">
        <v>72</v>
      </c>
      <c r="H1900" t="s">
        <v>30</v>
      </c>
      <c r="I1900" t="s">
        <v>217</v>
      </c>
      <c r="J1900">
        <v>1</v>
      </c>
      <c r="N1900">
        <f>Таблица1[[#This Row],[Часов на заказчика  в работе]]+Таблица1[[#This Row],[Часов на заказчика  дежурство]]</f>
        <v>0</v>
      </c>
      <c r="O19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0" s="9">
        <v>190000</v>
      </c>
      <c r="R1900" s="9"/>
      <c r="S1900" s="5">
        <v>1</v>
      </c>
      <c r="T19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табеле]])*S1900,0)</f>
        <v>0</v>
      </c>
      <c r="U1900" s="5">
        <f>IF(Таблица1[[#This Row],[ТТН]]&gt;0,Таблица1[[#This Row],[Ставка за ТТН]]*Таблица1[[#This Row],[ТТН]],0)</f>
        <v>0</v>
      </c>
    </row>
    <row r="1901" spans="1:21" x14ac:dyDescent="0.25">
      <c r="A1901" t="s">
        <v>84</v>
      </c>
      <c r="B1901" s="24">
        <v>7</v>
      </c>
      <c r="C1901" t="s">
        <v>158</v>
      </c>
      <c r="D1901" t="s">
        <v>12</v>
      </c>
      <c r="E1901" t="s">
        <v>215</v>
      </c>
      <c r="F1901" t="s">
        <v>72</v>
      </c>
      <c r="H1901" t="s">
        <v>30</v>
      </c>
      <c r="I1901" t="s">
        <v>217</v>
      </c>
      <c r="J1901">
        <v>1</v>
      </c>
      <c r="N1901">
        <f>Таблица1[[#This Row],[Часов на заказчика  в работе]]+Таблица1[[#This Row],[Часов на заказчика  дежурство]]</f>
        <v>0</v>
      </c>
      <c r="O19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1" s="9">
        <v>190000</v>
      </c>
      <c r="R1901" s="9"/>
      <c r="S1901" s="5">
        <v>1</v>
      </c>
      <c r="T19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табеле]])*S1901,0)</f>
        <v>0</v>
      </c>
      <c r="U1901" s="5">
        <f>IF(Таблица1[[#This Row],[ТТН]]&gt;0,Таблица1[[#This Row],[Ставка за ТТН]]*Таблица1[[#This Row],[ТТН]],0)</f>
        <v>0</v>
      </c>
    </row>
    <row r="1902" spans="1:21" x14ac:dyDescent="0.25">
      <c r="A1902" t="s">
        <v>84</v>
      </c>
      <c r="B1902" s="24">
        <v>8</v>
      </c>
      <c r="C1902" t="s">
        <v>158</v>
      </c>
      <c r="D1902" t="s">
        <v>12</v>
      </c>
      <c r="E1902" t="s">
        <v>215</v>
      </c>
      <c r="F1902" t="s">
        <v>72</v>
      </c>
      <c r="H1902" t="s">
        <v>29</v>
      </c>
      <c r="I1902" t="s">
        <v>217</v>
      </c>
      <c r="J1902">
        <v>8</v>
      </c>
      <c r="N1902">
        <f>Таблица1[[#This Row],[Часов на заказчика  в работе]]+Таблица1[[#This Row],[Часов на заказчика  дежурство]]</f>
        <v>0</v>
      </c>
      <c r="O19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2" s="9">
        <v>190000</v>
      </c>
      <c r="R1902" s="9"/>
      <c r="S1902" s="5">
        <v>1</v>
      </c>
      <c r="T19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табеле]])*S1902,0)</f>
        <v>0</v>
      </c>
      <c r="U1902" s="5">
        <f>IF(Таблица1[[#This Row],[ТТН]]&gt;0,Таблица1[[#This Row],[Ставка за ТТН]]*Таблица1[[#This Row],[ТТН]],0)</f>
        <v>0</v>
      </c>
    </row>
    <row r="1903" spans="1:21" x14ac:dyDescent="0.25">
      <c r="A1903" t="s">
        <v>84</v>
      </c>
      <c r="B1903" s="24">
        <v>9</v>
      </c>
      <c r="C1903" t="s">
        <v>158</v>
      </c>
      <c r="D1903" t="s">
        <v>12</v>
      </c>
      <c r="E1903" t="s">
        <v>215</v>
      </c>
      <c r="F1903" t="s">
        <v>72</v>
      </c>
      <c r="H1903" t="s">
        <v>29</v>
      </c>
      <c r="I1903" t="s">
        <v>217</v>
      </c>
      <c r="J1903">
        <v>8</v>
      </c>
      <c r="N1903">
        <f>Таблица1[[#This Row],[Часов на заказчика  в работе]]+Таблица1[[#This Row],[Часов на заказчика  дежурство]]</f>
        <v>0</v>
      </c>
      <c r="O19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3" s="9">
        <v>190000</v>
      </c>
      <c r="R1903" s="9"/>
      <c r="S1903" s="5">
        <v>1</v>
      </c>
      <c r="T19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табеле]])*S1903,0)</f>
        <v>0</v>
      </c>
      <c r="U1903" s="5">
        <f>IF(Таблица1[[#This Row],[ТТН]]&gt;0,Таблица1[[#This Row],[Ставка за ТТН]]*Таблица1[[#This Row],[ТТН]],0)</f>
        <v>0</v>
      </c>
    </row>
    <row r="1904" spans="1:21" x14ac:dyDescent="0.25">
      <c r="A1904" t="s">
        <v>84</v>
      </c>
      <c r="B1904" s="24">
        <v>10</v>
      </c>
      <c r="C1904" t="s">
        <v>158</v>
      </c>
      <c r="D1904" t="s">
        <v>12</v>
      </c>
      <c r="E1904" t="s">
        <v>215</v>
      </c>
      <c r="F1904" t="s">
        <v>72</v>
      </c>
      <c r="H1904" t="s">
        <v>29</v>
      </c>
      <c r="I1904" t="s">
        <v>217</v>
      </c>
      <c r="J1904">
        <v>8</v>
      </c>
      <c r="N1904">
        <f>Таблица1[[#This Row],[Часов на заказчика  в работе]]+Таблица1[[#This Row],[Часов на заказчика  дежурство]]</f>
        <v>0</v>
      </c>
      <c r="O19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4" s="9">
        <v>190000</v>
      </c>
      <c r="R1904" s="9"/>
      <c r="S1904" s="5">
        <v>1</v>
      </c>
      <c r="T19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табеле]])*S1904,0)</f>
        <v>0</v>
      </c>
      <c r="U1904" s="5">
        <f>IF(Таблица1[[#This Row],[ТТН]]&gt;0,Таблица1[[#This Row],[Ставка за ТТН]]*Таблица1[[#This Row],[ТТН]],0)</f>
        <v>0</v>
      </c>
    </row>
    <row r="1905" spans="1:21" x14ac:dyDescent="0.25">
      <c r="A1905" t="s">
        <v>84</v>
      </c>
      <c r="B1905" s="24">
        <v>11</v>
      </c>
      <c r="C1905" t="s">
        <v>158</v>
      </c>
      <c r="D1905" t="s">
        <v>12</v>
      </c>
      <c r="E1905" t="s">
        <v>215</v>
      </c>
      <c r="F1905" t="s">
        <v>72</v>
      </c>
      <c r="H1905" t="s">
        <v>29</v>
      </c>
      <c r="I1905" t="s">
        <v>217</v>
      </c>
      <c r="J1905">
        <v>8</v>
      </c>
      <c r="N1905">
        <f>Таблица1[[#This Row],[Часов на заказчика  в работе]]+Таблица1[[#This Row],[Часов на заказчика  дежурство]]</f>
        <v>0</v>
      </c>
      <c r="O19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5" s="9">
        <v>190000</v>
      </c>
      <c r="R1905" s="9"/>
      <c r="S1905" s="5">
        <v>1</v>
      </c>
      <c r="T19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табеле]])*S1905,0)</f>
        <v>0</v>
      </c>
      <c r="U1905" s="5">
        <f>IF(Таблица1[[#This Row],[ТТН]]&gt;0,Таблица1[[#This Row],[Ставка за ТТН]]*Таблица1[[#This Row],[ТТН]],0)</f>
        <v>0</v>
      </c>
    </row>
    <row r="1906" spans="1:21" x14ac:dyDescent="0.25">
      <c r="A1906" t="s">
        <v>84</v>
      </c>
      <c r="B1906" s="24">
        <v>12</v>
      </c>
      <c r="C1906" t="s">
        <v>158</v>
      </c>
      <c r="D1906" t="s">
        <v>12</v>
      </c>
      <c r="E1906" t="s">
        <v>215</v>
      </c>
      <c r="F1906" t="s">
        <v>72</v>
      </c>
      <c r="H1906" t="s">
        <v>29</v>
      </c>
      <c r="I1906" t="s">
        <v>217</v>
      </c>
      <c r="J1906">
        <v>8</v>
      </c>
      <c r="N1906">
        <f>Таблица1[[#This Row],[Часов на заказчика  в работе]]+Таблица1[[#This Row],[Часов на заказчика  дежурство]]</f>
        <v>0</v>
      </c>
      <c r="O19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6" s="9">
        <v>190000</v>
      </c>
      <c r="R1906" s="9"/>
      <c r="S1906" s="5">
        <v>1</v>
      </c>
      <c r="T19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табеле]])*S1906,0)</f>
        <v>0</v>
      </c>
      <c r="U1906" s="5">
        <f>IF(Таблица1[[#This Row],[ТТН]]&gt;0,Таблица1[[#This Row],[Ставка за ТТН]]*Таблица1[[#This Row],[ТТН]],0)</f>
        <v>0</v>
      </c>
    </row>
    <row r="1907" spans="1:21" x14ac:dyDescent="0.25">
      <c r="A1907" t="s">
        <v>84</v>
      </c>
      <c r="B1907" s="24">
        <v>13</v>
      </c>
      <c r="C1907" t="s">
        <v>158</v>
      </c>
      <c r="D1907" t="s">
        <v>12</v>
      </c>
      <c r="E1907" t="s">
        <v>215</v>
      </c>
      <c r="F1907" t="s">
        <v>72</v>
      </c>
      <c r="H1907" t="s">
        <v>30</v>
      </c>
      <c r="I1907" t="s">
        <v>217</v>
      </c>
      <c r="J1907">
        <v>1</v>
      </c>
      <c r="N1907">
        <f>Таблица1[[#This Row],[Часов на заказчика  в работе]]+Таблица1[[#This Row],[Часов на заказчика  дежурство]]</f>
        <v>0</v>
      </c>
      <c r="O19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7" s="9">
        <v>190000</v>
      </c>
      <c r="R1907" s="9"/>
      <c r="S1907" s="5">
        <v>1</v>
      </c>
      <c r="T19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табеле]])*S1907,0)</f>
        <v>0</v>
      </c>
      <c r="U1907" s="5">
        <f>IF(Таблица1[[#This Row],[ТТН]]&gt;0,Таблица1[[#This Row],[Ставка за ТТН]]*Таблица1[[#This Row],[ТТН]],0)</f>
        <v>0</v>
      </c>
    </row>
    <row r="1908" spans="1:21" x14ac:dyDescent="0.25">
      <c r="A1908" t="s">
        <v>84</v>
      </c>
      <c r="B1908" s="24">
        <v>14</v>
      </c>
      <c r="C1908" t="s">
        <v>158</v>
      </c>
      <c r="D1908" t="s">
        <v>12</v>
      </c>
      <c r="E1908" t="s">
        <v>215</v>
      </c>
      <c r="F1908" t="s">
        <v>72</v>
      </c>
      <c r="H1908" t="s">
        <v>30</v>
      </c>
      <c r="I1908" t="s">
        <v>217</v>
      </c>
      <c r="J1908">
        <v>1</v>
      </c>
      <c r="N1908">
        <f>Таблица1[[#This Row],[Часов на заказчика  в работе]]+Таблица1[[#This Row],[Часов на заказчика  дежурство]]</f>
        <v>0</v>
      </c>
      <c r="O19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8" s="9">
        <v>190000</v>
      </c>
      <c r="R1908" s="9"/>
      <c r="S1908" s="5">
        <v>1</v>
      </c>
      <c r="T19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табеле]])*S1908,0)</f>
        <v>0</v>
      </c>
      <c r="U1908" s="5">
        <f>IF(Таблица1[[#This Row],[ТТН]]&gt;0,Таблица1[[#This Row],[Ставка за ТТН]]*Таблица1[[#This Row],[ТТН]],0)</f>
        <v>0</v>
      </c>
    </row>
    <row r="1909" spans="1:21" x14ac:dyDescent="0.25">
      <c r="A1909" t="s">
        <v>84</v>
      </c>
      <c r="B1909" s="24">
        <v>15</v>
      </c>
      <c r="C1909" t="s">
        <v>158</v>
      </c>
      <c r="D1909" t="s">
        <v>12</v>
      </c>
      <c r="E1909" t="s">
        <v>215</v>
      </c>
      <c r="F1909" t="s">
        <v>72</v>
      </c>
      <c r="H1909" t="s">
        <v>29</v>
      </c>
      <c r="I1909" t="s">
        <v>217</v>
      </c>
      <c r="J1909">
        <v>8</v>
      </c>
      <c r="N1909">
        <f>Таблица1[[#This Row],[Часов на заказчика  в работе]]+Таблица1[[#This Row],[Часов на заказчика  дежурство]]</f>
        <v>0</v>
      </c>
      <c r="O19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09" s="9">
        <v>190000</v>
      </c>
      <c r="R1909" s="9"/>
      <c r="S1909" s="5">
        <v>1</v>
      </c>
      <c r="T19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табеле]])*S1909,0)</f>
        <v>0</v>
      </c>
      <c r="U1909" s="5">
        <f>IF(Таблица1[[#This Row],[ТТН]]&gt;0,Таблица1[[#This Row],[Ставка за ТТН]]*Таблица1[[#This Row],[ТТН]],0)</f>
        <v>0</v>
      </c>
    </row>
    <row r="1910" spans="1:21" x14ac:dyDescent="0.25">
      <c r="A1910" t="s">
        <v>84</v>
      </c>
      <c r="B1910" s="24">
        <v>16</v>
      </c>
      <c r="C1910" t="s">
        <v>158</v>
      </c>
      <c r="D1910" t="s">
        <v>12</v>
      </c>
      <c r="E1910" t="s">
        <v>215</v>
      </c>
      <c r="F1910" t="s">
        <v>72</v>
      </c>
      <c r="H1910" t="s">
        <v>29</v>
      </c>
      <c r="I1910" t="s">
        <v>217</v>
      </c>
      <c r="J1910">
        <v>8</v>
      </c>
      <c r="N1910">
        <f>Таблица1[[#This Row],[Часов на заказчика  в работе]]+Таблица1[[#This Row],[Часов на заказчика  дежурство]]</f>
        <v>0</v>
      </c>
      <c r="O19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0" s="9">
        <v>190000</v>
      </c>
      <c r="R1910" s="9"/>
      <c r="S1910" s="5">
        <v>1</v>
      </c>
      <c r="T19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табеле]])*S1910,0)</f>
        <v>0</v>
      </c>
      <c r="U1910" s="5">
        <f>IF(Таблица1[[#This Row],[ТТН]]&gt;0,Таблица1[[#This Row],[Ставка за ТТН]]*Таблица1[[#This Row],[ТТН]],0)</f>
        <v>0</v>
      </c>
    </row>
    <row r="1911" spans="1:21" x14ac:dyDescent="0.25">
      <c r="A1911" t="s">
        <v>84</v>
      </c>
      <c r="B1911" s="24">
        <v>17</v>
      </c>
      <c r="C1911" t="s">
        <v>158</v>
      </c>
      <c r="D1911" t="s">
        <v>12</v>
      </c>
      <c r="E1911" t="s">
        <v>215</v>
      </c>
      <c r="F1911" t="s">
        <v>72</v>
      </c>
      <c r="H1911" t="s">
        <v>29</v>
      </c>
      <c r="I1911" t="s">
        <v>217</v>
      </c>
      <c r="J1911">
        <v>8</v>
      </c>
      <c r="N1911">
        <f>Таблица1[[#This Row],[Часов на заказчика  в работе]]+Таблица1[[#This Row],[Часов на заказчика  дежурство]]</f>
        <v>0</v>
      </c>
      <c r="O19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1" s="9">
        <v>190000</v>
      </c>
      <c r="R1911" s="9"/>
      <c r="S1911" s="5">
        <v>1</v>
      </c>
      <c r="T19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табеле]])*S1911,0)</f>
        <v>0</v>
      </c>
      <c r="U1911" s="5">
        <f>IF(Таблица1[[#This Row],[ТТН]]&gt;0,Таблица1[[#This Row],[Ставка за ТТН]]*Таблица1[[#This Row],[ТТН]],0)</f>
        <v>0</v>
      </c>
    </row>
    <row r="1912" spans="1:21" x14ac:dyDescent="0.25">
      <c r="A1912" t="s">
        <v>84</v>
      </c>
      <c r="B1912" s="24">
        <v>18</v>
      </c>
      <c r="C1912" t="s">
        <v>158</v>
      </c>
      <c r="D1912" t="s">
        <v>12</v>
      </c>
      <c r="E1912" t="s">
        <v>215</v>
      </c>
      <c r="F1912" t="s">
        <v>72</v>
      </c>
      <c r="H1912" t="s">
        <v>29</v>
      </c>
      <c r="I1912" t="s">
        <v>217</v>
      </c>
      <c r="J1912">
        <v>8</v>
      </c>
      <c r="N1912">
        <f>Таблица1[[#This Row],[Часов на заказчика  в работе]]+Таблица1[[#This Row],[Часов на заказчика  дежурство]]</f>
        <v>0</v>
      </c>
      <c r="O19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2" s="9">
        <v>190000</v>
      </c>
      <c r="R1912" s="9"/>
      <c r="S1912" s="5">
        <v>1</v>
      </c>
      <c r="T19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табеле]])*S1912,0)</f>
        <v>0</v>
      </c>
      <c r="U1912" s="5">
        <f>IF(Таблица1[[#This Row],[ТТН]]&gt;0,Таблица1[[#This Row],[Ставка за ТТН]]*Таблица1[[#This Row],[ТТН]],0)</f>
        <v>0</v>
      </c>
    </row>
    <row r="1913" spans="1:21" x14ac:dyDescent="0.25">
      <c r="A1913" t="s">
        <v>84</v>
      </c>
      <c r="B1913" s="24">
        <v>19</v>
      </c>
      <c r="C1913" t="s">
        <v>158</v>
      </c>
      <c r="D1913" t="s">
        <v>12</v>
      </c>
      <c r="E1913" t="s">
        <v>215</v>
      </c>
      <c r="F1913" t="s">
        <v>72</v>
      </c>
      <c r="H1913" t="s">
        <v>29</v>
      </c>
      <c r="I1913" t="s">
        <v>217</v>
      </c>
      <c r="J1913">
        <v>8</v>
      </c>
      <c r="N1913">
        <f>Таблица1[[#This Row],[Часов на заказчика  в работе]]+Таблица1[[#This Row],[Часов на заказчика  дежурство]]</f>
        <v>0</v>
      </c>
      <c r="O19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3" s="9">
        <v>190000</v>
      </c>
      <c r="R1913" s="9"/>
      <c r="S1913" s="5">
        <v>1</v>
      </c>
      <c r="T19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табеле]])*S1913,0)</f>
        <v>0</v>
      </c>
      <c r="U1913" s="5">
        <f>IF(Таблица1[[#This Row],[ТТН]]&gt;0,Таблица1[[#This Row],[Ставка за ТТН]]*Таблица1[[#This Row],[ТТН]],0)</f>
        <v>0</v>
      </c>
    </row>
    <row r="1914" spans="1:21" x14ac:dyDescent="0.25">
      <c r="A1914" t="s">
        <v>84</v>
      </c>
      <c r="B1914" s="24">
        <v>20</v>
      </c>
      <c r="C1914" t="s">
        <v>158</v>
      </c>
      <c r="D1914" t="s">
        <v>12</v>
      </c>
      <c r="E1914" t="s">
        <v>215</v>
      </c>
      <c r="F1914" t="s">
        <v>72</v>
      </c>
      <c r="H1914" t="s">
        <v>30</v>
      </c>
      <c r="I1914" t="s">
        <v>217</v>
      </c>
      <c r="J1914">
        <v>1</v>
      </c>
      <c r="N1914">
        <f>Таблица1[[#This Row],[Часов на заказчика  в работе]]+Таблица1[[#This Row],[Часов на заказчика  дежурство]]</f>
        <v>0</v>
      </c>
      <c r="O19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4" s="9">
        <v>190000</v>
      </c>
      <c r="R1914" s="9"/>
      <c r="S1914" s="5">
        <v>1</v>
      </c>
      <c r="T19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табеле]])*S1914,0)</f>
        <v>0</v>
      </c>
      <c r="U1914" s="5">
        <f>IF(Таблица1[[#This Row],[ТТН]]&gt;0,Таблица1[[#This Row],[Ставка за ТТН]]*Таблица1[[#This Row],[ТТН]],0)</f>
        <v>0</v>
      </c>
    </row>
    <row r="1915" spans="1:21" x14ac:dyDescent="0.25">
      <c r="A1915" t="s">
        <v>84</v>
      </c>
      <c r="B1915" s="24">
        <v>21</v>
      </c>
      <c r="C1915" t="s">
        <v>158</v>
      </c>
      <c r="D1915" t="s">
        <v>12</v>
      </c>
      <c r="E1915" t="s">
        <v>215</v>
      </c>
      <c r="F1915" t="s">
        <v>72</v>
      </c>
      <c r="H1915" t="s">
        <v>30</v>
      </c>
      <c r="I1915" t="s">
        <v>217</v>
      </c>
      <c r="J1915">
        <v>1</v>
      </c>
      <c r="N1915">
        <f>Таблица1[[#This Row],[Часов на заказчика  в работе]]+Таблица1[[#This Row],[Часов на заказчика  дежурство]]</f>
        <v>0</v>
      </c>
      <c r="O19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5" s="9">
        <v>190000</v>
      </c>
      <c r="R1915" s="9"/>
      <c r="S1915" s="5">
        <v>1</v>
      </c>
      <c r="T19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табеле]])*S1915,0)</f>
        <v>0</v>
      </c>
      <c r="U1915" s="5">
        <f>IF(Таблица1[[#This Row],[ТТН]]&gt;0,Таблица1[[#This Row],[Ставка за ТТН]]*Таблица1[[#This Row],[ТТН]],0)</f>
        <v>0</v>
      </c>
    </row>
    <row r="1916" spans="1:21" x14ac:dyDescent="0.25">
      <c r="A1916" t="s">
        <v>84</v>
      </c>
      <c r="B1916" s="24">
        <v>22</v>
      </c>
      <c r="C1916" t="s">
        <v>158</v>
      </c>
      <c r="D1916" t="s">
        <v>12</v>
      </c>
      <c r="E1916" t="s">
        <v>215</v>
      </c>
      <c r="F1916" t="s">
        <v>72</v>
      </c>
      <c r="H1916" t="s">
        <v>29</v>
      </c>
      <c r="I1916" t="s">
        <v>217</v>
      </c>
      <c r="J1916">
        <v>8</v>
      </c>
      <c r="N1916">
        <f>Таблица1[[#This Row],[Часов на заказчика  в работе]]+Таблица1[[#This Row],[Часов на заказчика  дежурство]]</f>
        <v>0</v>
      </c>
      <c r="O19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6" s="9">
        <v>190000</v>
      </c>
      <c r="R1916" s="9"/>
      <c r="S1916" s="5">
        <v>1</v>
      </c>
      <c r="T19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табеле]])*S1916,0)</f>
        <v>0</v>
      </c>
      <c r="U1916" s="5">
        <f>IF(Таблица1[[#This Row],[ТТН]]&gt;0,Таблица1[[#This Row],[Ставка за ТТН]]*Таблица1[[#This Row],[ТТН]],0)</f>
        <v>0</v>
      </c>
    </row>
    <row r="1917" spans="1:21" x14ac:dyDescent="0.25">
      <c r="A1917" t="s">
        <v>84</v>
      </c>
      <c r="B1917" s="24">
        <v>23</v>
      </c>
      <c r="C1917" t="s">
        <v>158</v>
      </c>
      <c r="D1917" t="s">
        <v>12</v>
      </c>
      <c r="E1917" t="s">
        <v>215</v>
      </c>
      <c r="F1917" t="s">
        <v>72</v>
      </c>
      <c r="H1917" t="s">
        <v>29</v>
      </c>
      <c r="I1917" t="s">
        <v>217</v>
      </c>
      <c r="J1917">
        <v>8</v>
      </c>
      <c r="N1917">
        <f>Таблица1[[#This Row],[Часов на заказчика  в работе]]+Таблица1[[#This Row],[Часов на заказчика  дежурство]]</f>
        <v>0</v>
      </c>
      <c r="O19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7" s="9">
        <v>190000</v>
      </c>
      <c r="R1917" s="9"/>
      <c r="S1917" s="5">
        <v>1</v>
      </c>
      <c r="T19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табеле]])*S1917,0)</f>
        <v>0</v>
      </c>
      <c r="U1917" s="5">
        <f>IF(Таблица1[[#This Row],[ТТН]]&gt;0,Таблица1[[#This Row],[Ставка за ТТН]]*Таблица1[[#This Row],[ТТН]],0)</f>
        <v>0</v>
      </c>
    </row>
    <row r="1918" spans="1:21" x14ac:dyDescent="0.25">
      <c r="A1918" t="s">
        <v>84</v>
      </c>
      <c r="B1918" s="24">
        <v>24</v>
      </c>
      <c r="C1918" t="s">
        <v>158</v>
      </c>
      <c r="D1918" t="s">
        <v>12</v>
      </c>
      <c r="E1918" t="s">
        <v>215</v>
      </c>
      <c r="F1918" t="s">
        <v>72</v>
      </c>
      <c r="H1918" t="s">
        <v>29</v>
      </c>
      <c r="I1918" t="s">
        <v>217</v>
      </c>
      <c r="J1918">
        <v>8</v>
      </c>
      <c r="N1918">
        <f>Таблица1[[#This Row],[Часов на заказчика  в работе]]+Таблица1[[#This Row],[Часов на заказчика  дежурство]]</f>
        <v>0</v>
      </c>
      <c r="O19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8" s="9">
        <v>190000</v>
      </c>
      <c r="R1918" s="9"/>
      <c r="S1918" s="5">
        <v>1</v>
      </c>
      <c r="T19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табеле]])*S1918,0)</f>
        <v>0</v>
      </c>
      <c r="U1918" s="5">
        <f>IF(Таблица1[[#This Row],[ТТН]]&gt;0,Таблица1[[#This Row],[Ставка за ТТН]]*Таблица1[[#This Row],[ТТН]],0)</f>
        <v>0</v>
      </c>
    </row>
    <row r="1919" spans="1:21" x14ac:dyDescent="0.25">
      <c r="A1919" t="s">
        <v>84</v>
      </c>
      <c r="B1919" s="24">
        <v>25</v>
      </c>
      <c r="C1919" t="s">
        <v>158</v>
      </c>
      <c r="D1919" t="s">
        <v>12</v>
      </c>
      <c r="E1919" t="s">
        <v>215</v>
      </c>
      <c r="F1919" t="s">
        <v>72</v>
      </c>
      <c r="H1919" t="s">
        <v>29</v>
      </c>
      <c r="I1919" t="s">
        <v>217</v>
      </c>
      <c r="J1919">
        <v>8</v>
      </c>
      <c r="N1919">
        <f>Таблица1[[#This Row],[Часов на заказчика  в работе]]+Таблица1[[#This Row],[Часов на заказчика  дежурство]]</f>
        <v>0</v>
      </c>
      <c r="O19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19" s="9">
        <v>190000</v>
      </c>
      <c r="R1919" s="9"/>
      <c r="S1919" s="5">
        <v>1</v>
      </c>
      <c r="T19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табеле]])*S1919,0)</f>
        <v>0</v>
      </c>
      <c r="U1919" s="5">
        <f>IF(Таблица1[[#This Row],[ТТН]]&gt;0,Таблица1[[#This Row],[Ставка за ТТН]]*Таблица1[[#This Row],[ТТН]],0)</f>
        <v>0</v>
      </c>
    </row>
    <row r="1920" spans="1:21" x14ac:dyDescent="0.25">
      <c r="A1920" t="s">
        <v>84</v>
      </c>
      <c r="B1920" s="24">
        <v>26</v>
      </c>
      <c r="C1920" t="s">
        <v>158</v>
      </c>
      <c r="D1920" t="s">
        <v>12</v>
      </c>
      <c r="E1920" t="s">
        <v>215</v>
      </c>
      <c r="F1920" t="s">
        <v>72</v>
      </c>
      <c r="H1920" t="s">
        <v>29</v>
      </c>
      <c r="I1920" t="s">
        <v>217</v>
      </c>
      <c r="J1920">
        <v>8</v>
      </c>
      <c r="N1920">
        <f>Таблица1[[#This Row],[Часов на заказчика  в работе]]+Таблица1[[#This Row],[Часов на заказчика  дежурство]]</f>
        <v>0</v>
      </c>
      <c r="O19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0" s="9">
        <v>190000</v>
      </c>
      <c r="R1920" s="9"/>
      <c r="S1920" s="5">
        <v>1</v>
      </c>
      <c r="T19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табеле]])*S1920,0)</f>
        <v>0</v>
      </c>
      <c r="U1920" s="5">
        <f>IF(Таблица1[[#This Row],[ТТН]]&gt;0,Таблица1[[#This Row],[Ставка за ТТН]]*Таблица1[[#This Row],[ТТН]],0)</f>
        <v>0</v>
      </c>
    </row>
    <row r="1921" spans="1:21" x14ac:dyDescent="0.25">
      <c r="A1921" t="s">
        <v>84</v>
      </c>
      <c r="B1921" s="24">
        <v>27</v>
      </c>
      <c r="C1921" t="s">
        <v>158</v>
      </c>
      <c r="D1921" t="s">
        <v>12</v>
      </c>
      <c r="E1921" t="s">
        <v>215</v>
      </c>
      <c r="F1921" t="s">
        <v>72</v>
      </c>
      <c r="H1921" t="s">
        <v>30</v>
      </c>
      <c r="I1921" t="s">
        <v>217</v>
      </c>
      <c r="J1921">
        <v>1</v>
      </c>
      <c r="N1921">
        <f>Таблица1[[#This Row],[Часов на заказчика  в работе]]+Таблица1[[#This Row],[Часов на заказчика  дежурство]]</f>
        <v>0</v>
      </c>
      <c r="O19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1" s="9">
        <v>190000</v>
      </c>
      <c r="R1921" s="9"/>
      <c r="S1921" s="5">
        <v>1</v>
      </c>
      <c r="T19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табеле]])*S1921,0)</f>
        <v>0</v>
      </c>
      <c r="U1921" s="5">
        <f>IF(Таблица1[[#This Row],[ТТН]]&gt;0,Таблица1[[#This Row],[Ставка за ТТН]]*Таблица1[[#This Row],[ТТН]],0)</f>
        <v>0</v>
      </c>
    </row>
    <row r="1922" spans="1:21" x14ac:dyDescent="0.25">
      <c r="A1922" t="s">
        <v>84</v>
      </c>
      <c r="B1922" s="24">
        <v>28</v>
      </c>
      <c r="C1922" t="s">
        <v>158</v>
      </c>
      <c r="D1922" t="s">
        <v>12</v>
      </c>
      <c r="E1922" t="s">
        <v>215</v>
      </c>
      <c r="F1922" t="s">
        <v>72</v>
      </c>
      <c r="H1922" t="s">
        <v>30</v>
      </c>
      <c r="I1922" t="s">
        <v>217</v>
      </c>
      <c r="J1922">
        <v>1</v>
      </c>
      <c r="N1922">
        <f>Таблица1[[#This Row],[Часов на заказчика  в работе]]+Таблица1[[#This Row],[Часов на заказчика  дежурство]]</f>
        <v>0</v>
      </c>
      <c r="O19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2" s="9">
        <v>190000</v>
      </c>
      <c r="R1922" s="9"/>
      <c r="S1922" s="5">
        <v>1</v>
      </c>
      <c r="T19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табеле]])*S1922,0)</f>
        <v>0</v>
      </c>
      <c r="U1922" s="5">
        <f>IF(Таблица1[[#This Row],[ТТН]]&gt;0,Таблица1[[#This Row],[Ставка за ТТН]]*Таблица1[[#This Row],[ТТН]],0)</f>
        <v>0</v>
      </c>
    </row>
    <row r="1923" spans="1:21" x14ac:dyDescent="0.25">
      <c r="A1923" t="s">
        <v>84</v>
      </c>
      <c r="B1923" s="24">
        <v>29</v>
      </c>
      <c r="C1923" t="s">
        <v>158</v>
      </c>
      <c r="D1923" t="s">
        <v>12</v>
      </c>
      <c r="E1923" t="s">
        <v>215</v>
      </c>
      <c r="F1923" t="s">
        <v>72</v>
      </c>
      <c r="H1923" t="s">
        <v>29</v>
      </c>
      <c r="I1923" t="s">
        <v>217</v>
      </c>
      <c r="J1923">
        <v>8</v>
      </c>
      <c r="N1923">
        <f>Таблица1[[#This Row],[Часов на заказчика  в работе]]+Таблица1[[#This Row],[Часов на заказчика  дежурство]]</f>
        <v>0</v>
      </c>
      <c r="O19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3" s="9">
        <v>190000</v>
      </c>
      <c r="R1923" s="9"/>
      <c r="S1923" s="5">
        <v>1</v>
      </c>
      <c r="T19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табеле]])*S1923,0)</f>
        <v>0</v>
      </c>
      <c r="U1923" s="5">
        <f>IF(Таблица1[[#This Row],[ТТН]]&gt;0,Таблица1[[#This Row],[Ставка за ТТН]]*Таблица1[[#This Row],[ТТН]],0)</f>
        <v>0</v>
      </c>
    </row>
    <row r="1924" spans="1:21" x14ac:dyDescent="0.25">
      <c r="A1924" t="s">
        <v>84</v>
      </c>
      <c r="B1924" s="24">
        <v>30</v>
      </c>
      <c r="C1924" t="s">
        <v>109</v>
      </c>
      <c r="D1924" t="s">
        <v>12</v>
      </c>
      <c r="E1924" t="s">
        <v>215</v>
      </c>
      <c r="F1924" t="s">
        <v>72</v>
      </c>
      <c r="H1924" t="s">
        <v>29</v>
      </c>
      <c r="I1924" t="s">
        <v>217</v>
      </c>
      <c r="J1924">
        <v>8</v>
      </c>
      <c r="N1924">
        <f>Таблица1[[#This Row],[Часов на заказчика  в работе]]+Таблица1[[#This Row],[Часов на заказчика  дежурство]]</f>
        <v>0</v>
      </c>
      <c r="O19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4" s="9">
        <v>190000</v>
      </c>
      <c r="R1924" s="9"/>
      <c r="S1924" s="5">
        <v>1</v>
      </c>
      <c r="T19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табеле]])*S1924,0)</f>
        <v>0</v>
      </c>
      <c r="U1924" s="5">
        <f>IF(Таблица1[[#This Row],[ТТН]]&gt;0,Таблица1[[#This Row],[Ставка за ТТН]]*Таблица1[[#This Row],[ТТН]],0)</f>
        <v>0</v>
      </c>
    </row>
    <row r="1925" spans="1:21" x14ac:dyDescent="0.25">
      <c r="A1925" t="s">
        <v>84</v>
      </c>
      <c r="B1925" s="24">
        <v>1</v>
      </c>
      <c r="C1925" t="s">
        <v>109</v>
      </c>
      <c r="D1925" t="s">
        <v>32</v>
      </c>
      <c r="E1925" t="s">
        <v>215</v>
      </c>
      <c r="F1925" t="s">
        <v>31</v>
      </c>
      <c r="H1925" t="s">
        <v>29</v>
      </c>
      <c r="I1925" t="s">
        <v>217</v>
      </c>
      <c r="J1925">
        <v>8</v>
      </c>
      <c r="N1925">
        <f>Таблица1[[#This Row],[Часов на заказчика  в работе]]+Таблица1[[#This Row],[Часов на заказчика  дежурство]]</f>
        <v>0</v>
      </c>
      <c r="O19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5" s="9">
        <v>200000</v>
      </c>
      <c r="R1925" s="9"/>
      <c r="S1925" s="5">
        <v>1</v>
      </c>
      <c r="T19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табеле]])*S1925,0)</f>
        <v>0</v>
      </c>
      <c r="U1925" s="5">
        <f>IF(Таблица1[[#This Row],[ТТН]]&gt;0,Таблица1[[#This Row],[Ставка за ТТН]]*Таблица1[[#This Row],[ТТН]],0)</f>
        <v>0</v>
      </c>
    </row>
    <row r="1926" spans="1:21" x14ac:dyDescent="0.25">
      <c r="A1926" t="s">
        <v>84</v>
      </c>
      <c r="B1926" s="24">
        <v>2</v>
      </c>
      <c r="C1926" t="s">
        <v>109</v>
      </c>
      <c r="D1926" t="s">
        <v>32</v>
      </c>
      <c r="E1926" t="s">
        <v>215</v>
      </c>
      <c r="F1926" t="s">
        <v>31</v>
      </c>
      <c r="H1926" t="s">
        <v>29</v>
      </c>
      <c r="I1926" t="s">
        <v>217</v>
      </c>
      <c r="J1926">
        <v>8</v>
      </c>
      <c r="N1926">
        <f>Таблица1[[#This Row],[Часов на заказчика  в работе]]+Таблица1[[#This Row],[Часов на заказчика  дежурство]]</f>
        <v>0</v>
      </c>
      <c r="O19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6" s="9">
        <v>200000</v>
      </c>
      <c r="R1926" s="9"/>
      <c r="S1926" s="5">
        <v>1</v>
      </c>
      <c r="T19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табеле]])*S1926,0)</f>
        <v>0</v>
      </c>
      <c r="U1926" s="5">
        <f>IF(Таблица1[[#This Row],[ТТН]]&gt;0,Таблица1[[#This Row],[Ставка за ТТН]]*Таблица1[[#This Row],[ТТН]],0)</f>
        <v>0</v>
      </c>
    </row>
    <row r="1927" spans="1:21" x14ac:dyDescent="0.25">
      <c r="A1927" t="s">
        <v>84</v>
      </c>
      <c r="B1927" s="24">
        <v>3</v>
      </c>
      <c r="C1927" t="s">
        <v>109</v>
      </c>
      <c r="D1927" t="s">
        <v>32</v>
      </c>
      <c r="E1927" t="s">
        <v>215</v>
      </c>
      <c r="F1927" t="s">
        <v>31</v>
      </c>
      <c r="H1927" t="s">
        <v>29</v>
      </c>
      <c r="I1927" t="s">
        <v>217</v>
      </c>
      <c r="J1927">
        <v>8</v>
      </c>
      <c r="N1927">
        <f>Таблица1[[#This Row],[Часов на заказчика  в работе]]+Таблица1[[#This Row],[Часов на заказчика  дежурство]]</f>
        <v>0</v>
      </c>
      <c r="O19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7" s="9">
        <v>200000</v>
      </c>
      <c r="R1927" s="9"/>
      <c r="S1927" s="5">
        <v>1</v>
      </c>
      <c r="T19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табеле]])*S1927,0)</f>
        <v>0</v>
      </c>
      <c r="U1927" s="5">
        <f>IF(Таблица1[[#This Row],[ТТН]]&gt;0,Таблица1[[#This Row],[Ставка за ТТН]]*Таблица1[[#This Row],[ТТН]],0)</f>
        <v>0</v>
      </c>
    </row>
    <row r="1928" spans="1:21" x14ac:dyDescent="0.25">
      <c r="A1928" t="s">
        <v>84</v>
      </c>
      <c r="B1928" s="24">
        <v>4</v>
      </c>
      <c r="C1928" t="s">
        <v>109</v>
      </c>
      <c r="D1928" t="s">
        <v>32</v>
      </c>
      <c r="E1928" t="s">
        <v>215</v>
      </c>
      <c r="F1928" t="s">
        <v>31</v>
      </c>
      <c r="H1928" t="s">
        <v>29</v>
      </c>
      <c r="I1928" t="s">
        <v>217</v>
      </c>
      <c r="J1928">
        <v>8</v>
      </c>
      <c r="N1928">
        <f>Таблица1[[#This Row],[Часов на заказчика  в работе]]+Таблица1[[#This Row],[Часов на заказчика  дежурство]]</f>
        <v>0</v>
      </c>
      <c r="O19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8" s="9">
        <v>200000</v>
      </c>
      <c r="R1928" s="9"/>
      <c r="S1928" s="5">
        <v>1</v>
      </c>
      <c r="T19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табеле]])*S1928,0)</f>
        <v>0</v>
      </c>
      <c r="U1928" s="5">
        <f>IF(Таблица1[[#This Row],[ТТН]]&gt;0,Таблица1[[#This Row],[Ставка за ТТН]]*Таблица1[[#This Row],[ТТН]],0)</f>
        <v>0</v>
      </c>
    </row>
    <row r="1929" spans="1:21" x14ac:dyDescent="0.25">
      <c r="A1929" t="s">
        <v>84</v>
      </c>
      <c r="B1929" s="24">
        <v>5</v>
      </c>
      <c r="C1929" t="s">
        <v>109</v>
      </c>
      <c r="D1929" t="s">
        <v>32</v>
      </c>
      <c r="E1929" t="s">
        <v>215</v>
      </c>
      <c r="F1929" t="s">
        <v>31</v>
      </c>
      <c r="H1929" t="s">
        <v>29</v>
      </c>
      <c r="I1929" t="s">
        <v>217</v>
      </c>
      <c r="J1929">
        <v>8</v>
      </c>
      <c r="N1929">
        <f>Таблица1[[#This Row],[Часов на заказчика  в работе]]+Таблица1[[#This Row],[Часов на заказчика  дежурство]]</f>
        <v>0</v>
      </c>
      <c r="O19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29" s="9">
        <v>200000</v>
      </c>
      <c r="R1929" s="9"/>
      <c r="S1929" s="5">
        <v>1</v>
      </c>
      <c r="T19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табеле]])*S1929,0)</f>
        <v>0</v>
      </c>
      <c r="U1929" s="5">
        <f>IF(Таблица1[[#This Row],[ТТН]]&gt;0,Таблица1[[#This Row],[Ставка за ТТН]]*Таблица1[[#This Row],[ТТН]],0)</f>
        <v>0</v>
      </c>
    </row>
    <row r="1930" spans="1:21" x14ac:dyDescent="0.25">
      <c r="A1930" t="s">
        <v>84</v>
      </c>
      <c r="B1930" s="24">
        <v>6</v>
      </c>
      <c r="C1930" t="s">
        <v>109</v>
      </c>
      <c r="D1930" t="s">
        <v>32</v>
      </c>
      <c r="E1930" t="s">
        <v>215</v>
      </c>
      <c r="F1930" t="s">
        <v>31</v>
      </c>
      <c r="H1930" t="s">
        <v>30</v>
      </c>
      <c r="I1930" t="s">
        <v>217</v>
      </c>
      <c r="J1930">
        <v>1</v>
      </c>
      <c r="N1930">
        <f>Таблица1[[#This Row],[Часов на заказчика  в работе]]+Таблица1[[#This Row],[Часов на заказчика  дежурство]]</f>
        <v>0</v>
      </c>
      <c r="O19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0" s="9">
        <v>200000</v>
      </c>
      <c r="R1930" s="9"/>
      <c r="S1930" s="5">
        <v>1</v>
      </c>
      <c r="T19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табеле]])*S1930,0)</f>
        <v>0</v>
      </c>
      <c r="U1930" s="5">
        <f>IF(Таблица1[[#This Row],[ТТН]]&gt;0,Таблица1[[#This Row],[Ставка за ТТН]]*Таблица1[[#This Row],[ТТН]],0)</f>
        <v>0</v>
      </c>
    </row>
    <row r="1931" spans="1:21" x14ac:dyDescent="0.25">
      <c r="A1931" t="s">
        <v>84</v>
      </c>
      <c r="B1931" s="24">
        <v>7</v>
      </c>
      <c r="C1931" t="s">
        <v>109</v>
      </c>
      <c r="D1931" t="s">
        <v>32</v>
      </c>
      <c r="E1931" t="s">
        <v>215</v>
      </c>
      <c r="F1931" t="s">
        <v>31</v>
      </c>
      <c r="H1931" t="s">
        <v>30</v>
      </c>
      <c r="I1931" t="s">
        <v>217</v>
      </c>
      <c r="J1931">
        <v>1</v>
      </c>
      <c r="N1931">
        <f>Таблица1[[#This Row],[Часов на заказчика  в работе]]+Таблица1[[#This Row],[Часов на заказчика  дежурство]]</f>
        <v>0</v>
      </c>
      <c r="O19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1" s="9">
        <v>200000</v>
      </c>
      <c r="R1931" s="9"/>
      <c r="S1931" s="5">
        <v>1</v>
      </c>
      <c r="T19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табеле]])*S1931,0)</f>
        <v>0</v>
      </c>
      <c r="U1931" s="5">
        <f>IF(Таблица1[[#This Row],[ТТН]]&gt;0,Таблица1[[#This Row],[Ставка за ТТН]]*Таблица1[[#This Row],[ТТН]],0)</f>
        <v>0</v>
      </c>
    </row>
    <row r="1932" spans="1:21" x14ac:dyDescent="0.25">
      <c r="A1932" t="s">
        <v>84</v>
      </c>
      <c r="B1932" s="24">
        <v>8</v>
      </c>
      <c r="C1932" t="s">
        <v>109</v>
      </c>
      <c r="D1932" t="s">
        <v>32</v>
      </c>
      <c r="E1932" t="s">
        <v>215</v>
      </c>
      <c r="F1932" t="s">
        <v>31</v>
      </c>
      <c r="H1932" t="s">
        <v>29</v>
      </c>
      <c r="I1932" t="s">
        <v>217</v>
      </c>
      <c r="J1932">
        <v>8</v>
      </c>
      <c r="N1932">
        <f>Таблица1[[#This Row],[Часов на заказчика  в работе]]+Таблица1[[#This Row],[Часов на заказчика  дежурство]]</f>
        <v>0</v>
      </c>
      <c r="O19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2" s="9">
        <v>200000</v>
      </c>
      <c r="R1932" s="9"/>
      <c r="S1932" s="5">
        <v>1</v>
      </c>
      <c r="T19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табеле]])*S1932,0)</f>
        <v>0</v>
      </c>
      <c r="U1932" s="5">
        <f>IF(Таблица1[[#This Row],[ТТН]]&gt;0,Таблица1[[#This Row],[Ставка за ТТН]]*Таблица1[[#This Row],[ТТН]],0)</f>
        <v>0</v>
      </c>
    </row>
    <row r="1933" spans="1:21" x14ac:dyDescent="0.25">
      <c r="A1933" t="s">
        <v>84</v>
      </c>
      <c r="B1933" s="24">
        <v>9</v>
      </c>
      <c r="C1933" t="s">
        <v>109</v>
      </c>
      <c r="D1933" t="s">
        <v>32</v>
      </c>
      <c r="E1933" t="s">
        <v>215</v>
      </c>
      <c r="F1933" t="s">
        <v>31</v>
      </c>
      <c r="H1933" t="s">
        <v>29</v>
      </c>
      <c r="I1933" t="s">
        <v>217</v>
      </c>
      <c r="J1933">
        <v>8</v>
      </c>
      <c r="N1933">
        <f>Таблица1[[#This Row],[Часов на заказчика  в работе]]+Таблица1[[#This Row],[Часов на заказчика  дежурство]]</f>
        <v>0</v>
      </c>
      <c r="O19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3" s="9">
        <v>200000</v>
      </c>
      <c r="R1933" s="9"/>
      <c r="S1933" s="5">
        <v>1</v>
      </c>
      <c r="T19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табеле]])*S1933,0)</f>
        <v>0</v>
      </c>
      <c r="U1933" s="5">
        <f>IF(Таблица1[[#This Row],[ТТН]]&gt;0,Таблица1[[#This Row],[Ставка за ТТН]]*Таблица1[[#This Row],[ТТН]],0)</f>
        <v>0</v>
      </c>
    </row>
    <row r="1934" spans="1:21" x14ac:dyDescent="0.25">
      <c r="A1934" t="s">
        <v>84</v>
      </c>
      <c r="B1934" s="24">
        <v>10</v>
      </c>
      <c r="C1934" t="s">
        <v>109</v>
      </c>
      <c r="D1934" t="s">
        <v>32</v>
      </c>
      <c r="E1934" t="s">
        <v>215</v>
      </c>
      <c r="F1934" t="s">
        <v>31</v>
      </c>
      <c r="H1934" t="s">
        <v>29</v>
      </c>
      <c r="I1934" t="s">
        <v>217</v>
      </c>
      <c r="J1934">
        <v>8</v>
      </c>
      <c r="N1934">
        <f>Таблица1[[#This Row],[Часов на заказчика  в работе]]+Таблица1[[#This Row],[Часов на заказчика  дежурство]]</f>
        <v>0</v>
      </c>
      <c r="O19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4" s="9">
        <v>200000</v>
      </c>
      <c r="R1934" s="9"/>
      <c r="S1934" s="5">
        <v>1</v>
      </c>
      <c r="T19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табеле]])*S1934,0)</f>
        <v>0</v>
      </c>
      <c r="U1934" s="5">
        <f>IF(Таблица1[[#This Row],[ТТН]]&gt;0,Таблица1[[#This Row],[Ставка за ТТН]]*Таблица1[[#This Row],[ТТН]],0)</f>
        <v>0</v>
      </c>
    </row>
    <row r="1935" spans="1:21" x14ac:dyDescent="0.25">
      <c r="A1935" t="s">
        <v>84</v>
      </c>
      <c r="B1935" s="24">
        <v>11</v>
      </c>
      <c r="C1935" t="s">
        <v>109</v>
      </c>
      <c r="D1935" t="s">
        <v>32</v>
      </c>
      <c r="E1935" t="s">
        <v>215</v>
      </c>
      <c r="F1935" t="s">
        <v>31</v>
      </c>
      <c r="H1935" t="s">
        <v>29</v>
      </c>
      <c r="I1935" t="s">
        <v>217</v>
      </c>
      <c r="J1935">
        <v>8</v>
      </c>
      <c r="N1935">
        <f>Таблица1[[#This Row],[Часов на заказчика  в работе]]+Таблица1[[#This Row],[Часов на заказчика  дежурство]]</f>
        <v>0</v>
      </c>
      <c r="O19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5" s="9">
        <v>200000</v>
      </c>
      <c r="R1935" s="9"/>
      <c r="S1935" s="5">
        <v>1</v>
      </c>
      <c r="T19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табеле]])*S1935,0)</f>
        <v>0</v>
      </c>
      <c r="U1935" s="5">
        <f>IF(Таблица1[[#This Row],[ТТН]]&gt;0,Таблица1[[#This Row],[Ставка за ТТН]]*Таблица1[[#This Row],[ТТН]],0)</f>
        <v>0</v>
      </c>
    </row>
    <row r="1936" spans="1:21" x14ac:dyDescent="0.25">
      <c r="A1936" t="s">
        <v>84</v>
      </c>
      <c r="B1936" s="24">
        <v>12</v>
      </c>
      <c r="C1936" t="s">
        <v>109</v>
      </c>
      <c r="D1936" t="s">
        <v>32</v>
      </c>
      <c r="E1936" t="s">
        <v>215</v>
      </c>
      <c r="F1936" t="s">
        <v>31</v>
      </c>
      <c r="H1936" t="s">
        <v>29</v>
      </c>
      <c r="I1936" t="s">
        <v>217</v>
      </c>
      <c r="J1936">
        <v>8</v>
      </c>
      <c r="N1936">
        <f>Таблица1[[#This Row],[Часов на заказчика  в работе]]+Таблица1[[#This Row],[Часов на заказчика  дежурство]]</f>
        <v>0</v>
      </c>
      <c r="O19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6" s="9">
        <v>200000</v>
      </c>
      <c r="R1936" s="9"/>
      <c r="S1936" s="5">
        <v>1</v>
      </c>
      <c r="T19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табеле]])*S1936,0)</f>
        <v>0</v>
      </c>
      <c r="U1936" s="5">
        <f>IF(Таблица1[[#This Row],[ТТН]]&gt;0,Таблица1[[#This Row],[Ставка за ТТН]]*Таблица1[[#This Row],[ТТН]],0)</f>
        <v>0</v>
      </c>
    </row>
    <row r="1937" spans="1:21" x14ac:dyDescent="0.25">
      <c r="A1937" t="s">
        <v>84</v>
      </c>
      <c r="B1937" s="24">
        <v>13</v>
      </c>
      <c r="C1937" t="s">
        <v>109</v>
      </c>
      <c r="D1937" t="s">
        <v>32</v>
      </c>
      <c r="E1937" t="s">
        <v>215</v>
      </c>
      <c r="F1937" t="s">
        <v>31</v>
      </c>
      <c r="H1937" t="s">
        <v>30</v>
      </c>
      <c r="I1937" t="s">
        <v>217</v>
      </c>
      <c r="J1937">
        <v>1</v>
      </c>
      <c r="N1937">
        <f>Таблица1[[#This Row],[Часов на заказчика  в работе]]+Таблица1[[#This Row],[Часов на заказчика  дежурство]]</f>
        <v>0</v>
      </c>
      <c r="O19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7" s="9">
        <v>200000</v>
      </c>
      <c r="R1937" s="9"/>
      <c r="S1937" s="5">
        <v>1</v>
      </c>
      <c r="T19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табеле]])*S1937,0)</f>
        <v>0</v>
      </c>
      <c r="U1937" s="5">
        <f>IF(Таблица1[[#This Row],[ТТН]]&gt;0,Таблица1[[#This Row],[Ставка за ТТН]]*Таблица1[[#This Row],[ТТН]],0)</f>
        <v>0</v>
      </c>
    </row>
    <row r="1938" spans="1:21" x14ac:dyDescent="0.25">
      <c r="A1938" t="s">
        <v>84</v>
      </c>
      <c r="B1938" s="24">
        <v>14</v>
      </c>
      <c r="C1938" t="s">
        <v>109</v>
      </c>
      <c r="D1938" t="s">
        <v>32</v>
      </c>
      <c r="E1938" t="s">
        <v>215</v>
      </c>
      <c r="F1938" t="s">
        <v>31</v>
      </c>
      <c r="H1938" t="s">
        <v>30</v>
      </c>
      <c r="I1938" t="s">
        <v>217</v>
      </c>
      <c r="J1938">
        <v>1</v>
      </c>
      <c r="N1938">
        <f>Таблица1[[#This Row],[Часов на заказчика  в работе]]+Таблица1[[#This Row],[Часов на заказчика  дежурство]]</f>
        <v>0</v>
      </c>
      <c r="O19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8" s="9">
        <v>200000</v>
      </c>
      <c r="R1938" s="9"/>
      <c r="S1938" s="5">
        <v>1</v>
      </c>
      <c r="T19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табеле]])*S1938,0)</f>
        <v>0</v>
      </c>
      <c r="U1938" s="5">
        <f>IF(Таблица1[[#This Row],[ТТН]]&gt;0,Таблица1[[#This Row],[Ставка за ТТН]]*Таблица1[[#This Row],[ТТН]],0)</f>
        <v>0</v>
      </c>
    </row>
    <row r="1939" spans="1:21" x14ac:dyDescent="0.25">
      <c r="A1939" t="s">
        <v>84</v>
      </c>
      <c r="B1939" s="24">
        <v>15</v>
      </c>
      <c r="C1939" t="s">
        <v>109</v>
      </c>
      <c r="D1939" t="s">
        <v>32</v>
      </c>
      <c r="E1939" t="s">
        <v>215</v>
      </c>
      <c r="F1939" t="s">
        <v>31</v>
      </c>
      <c r="H1939" t="s">
        <v>29</v>
      </c>
      <c r="I1939" t="s">
        <v>217</v>
      </c>
      <c r="J1939">
        <v>8</v>
      </c>
      <c r="N1939">
        <f>Таблица1[[#This Row],[Часов на заказчика  в работе]]+Таблица1[[#This Row],[Часов на заказчика  дежурство]]</f>
        <v>0</v>
      </c>
      <c r="O19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39" s="9">
        <v>200000</v>
      </c>
      <c r="R1939" s="9"/>
      <c r="S1939" s="5">
        <v>1</v>
      </c>
      <c r="T19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табеле]])*S1939,0)</f>
        <v>0</v>
      </c>
      <c r="U1939" s="5">
        <f>IF(Таблица1[[#This Row],[ТТН]]&gt;0,Таблица1[[#This Row],[Ставка за ТТН]]*Таблица1[[#This Row],[ТТН]],0)</f>
        <v>0</v>
      </c>
    </row>
    <row r="1940" spans="1:21" x14ac:dyDescent="0.25">
      <c r="A1940" t="s">
        <v>84</v>
      </c>
      <c r="B1940" s="24">
        <v>16</v>
      </c>
      <c r="C1940" t="s">
        <v>109</v>
      </c>
      <c r="D1940" t="s">
        <v>32</v>
      </c>
      <c r="E1940" t="s">
        <v>215</v>
      </c>
      <c r="F1940" t="s">
        <v>31</v>
      </c>
      <c r="H1940" t="s">
        <v>29</v>
      </c>
      <c r="I1940" t="s">
        <v>217</v>
      </c>
      <c r="J1940">
        <v>8</v>
      </c>
      <c r="N1940">
        <f>Таблица1[[#This Row],[Часов на заказчика  в работе]]+Таблица1[[#This Row],[Часов на заказчика  дежурство]]</f>
        <v>0</v>
      </c>
      <c r="O19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0" s="9">
        <v>200000</v>
      </c>
      <c r="R1940" s="9"/>
      <c r="S1940" s="5">
        <v>1</v>
      </c>
      <c r="T19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табеле]])*S1940,0)</f>
        <v>0</v>
      </c>
      <c r="U1940" s="5">
        <f>IF(Таблица1[[#This Row],[ТТН]]&gt;0,Таблица1[[#This Row],[Ставка за ТТН]]*Таблица1[[#This Row],[ТТН]],0)</f>
        <v>0</v>
      </c>
    </row>
    <row r="1941" spans="1:21" x14ac:dyDescent="0.25">
      <c r="A1941" t="s">
        <v>84</v>
      </c>
      <c r="B1941" s="24">
        <v>17</v>
      </c>
      <c r="C1941" t="s">
        <v>109</v>
      </c>
      <c r="D1941" t="s">
        <v>32</v>
      </c>
      <c r="E1941" t="s">
        <v>215</v>
      </c>
      <c r="F1941" t="s">
        <v>31</v>
      </c>
      <c r="H1941" t="s">
        <v>29</v>
      </c>
      <c r="I1941" t="s">
        <v>217</v>
      </c>
      <c r="J1941">
        <v>8</v>
      </c>
      <c r="N1941">
        <f>Таблица1[[#This Row],[Часов на заказчика  в работе]]+Таблица1[[#This Row],[Часов на заказчика  дежурство]]</f>
        <v>0</v>
      </c>
      <c r="O19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1" s="9">
        <v>200000</v>
      </c>
      <c r="R1941" s="9"/>
      <c r="S1941" s="5">
        <v>1</v>
      </c>
      <c r="T19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табеле]])*S1941,0)</f>
        <v>0</v>
      </c>
      <c r="U1941" s="5">
        <f>IF(Таблица1[[#This Row],[ТТН]]&gt;0,Таблица1[[#This Row],[Ставка за ТТН]]*Таблица1[[#This Row],[ТТН]],0)</f>
        <v>0</v>
      </c>
    </row>
    <row r="1942" spans="1:21" x14ac:dyDescent="0.25">
      <c r="A1942" t="s">
        <v>84</v>
      </c>
      <c r="B1942" s="24">
        <v>18</v>
      </c>
      <c r="C1942" t="s">
        <v>109</v>
      </c>
      <c r="D1942" t="s">
        <v>32</v>
      </c>
      <c r="E1942" t="s">
        <v>215</v>
      </c>
      <c r="F1942" t="s">
        <v>31</v>
      </c>
      <c r="H1942" t="s">
        <v>29</v>
      </c>
      <c r="I1942" t="s">
        <v>217</v>
      </c>
      <c r="J1942">
        <v>8</v>
      </c>
      <c r="N1942">
        <f>Таблица1[[#This Row],[Часов на заказчика  в работе]]+Таблица1[[#This Row],[Часов на заказчика  дежурство]]</f>
        <v>0</v>
      </c>
      <c r="O19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2" s="9">
        <v>200000</v>
      </c>
      <c r="R1942" s="9"/>
      <c r="S1942" s="5">
        <v>1</v>
      </c>
      <c r="T19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табеле]])*S1942,0)</f>
        <v>0</v>
      </c>
      <c r="U1942" s="5">
        <f>IF(Таблица1[[#This Row],[ТТН]]&gt;0,Таблица1[[#This Row],[Ставка за ТТН]]*Таблица1[[#This Row],[ТТН]],0)</f>
        <v>0</v>
      </c>
    </row>
    <row r="1943" spans="1:21" x14ac:dyDescent="0.25">
      <c r="A1943" t="s">
        <v>84</v>
      </c>
      <c r="B1943" s="24">
        <v>19</v>
      </c>
      <c r="C1943" t="s">
        <v>109</v>
      </c>
      <c r="D1943" t="s">
        <v>32</v>
      </c>
      <c r="E1943" t="s">
        <v>215</v>
      </c>
      <c r="F1943" t="s">
        <v>31</v>
      </c>
      <c r="H1943" t="s">
        <v>29</v>
      </c>
      <c r="I1943" t="s">
        <v>217</v>
      </c>
      <c r="J1943">
        <v>8</v>
      </c>
      <c r="N1943">
        <f>Таблица1[[#This Row],[Часов на заказчика  в работе]]+Таблица1[[#This Row],[Часов на заказчика  дежурство]]</f>
        <v>0</v>
      </c>
      <c r="O19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3" s="9">
        <v>200000</v>
      </c>
      <c r="R1943" s="9"/>
      <c r="S1943" s="5">
        <v>1</v>
      </c>
      <c r="T19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табеле]])*S1943,0)</f>
        <v>0</v>
      </c>
      <c r="U1943" s="5">
        <f>IF(Таблица1[[#This Row],[ТТН]]&gt;0,Таблица1[[#This Row],[Ставка за ТТН]]*Таблица1[[#This Row],[ТТН]],0)</f>
        <v>0</v>
      </c>
    </row>
    <row r="1944" spans="1:21" x14ac:dyDescent="0.25">
      <c r="A1944" t="s">
        <v>84</v>
      </c>
      <c r="B1944" s="24">
        <v>20</v>
      </c>
      <c r="C1944" t="s">
        <v>109</v>
      </c>
      <c r="D1944" t="s">
        <v>32</v>
      </c>
      <c r="E1944" t="s">
        <v>215</v>
      </c>
      <c r="F1944" t="s">
        <v>31</v>
      </c>
      <c r="H1944" t="s">
        <v>30</v>
      </c>
      <c r="I1944" t="s">
        <v>217</v>
      </c>
      <c r="J1944">
        <v>1</v>
      </c>
      <c r="N1944">
        <f>Таблица1[[#This Row],[Часов на заказчика  в работе]]+Таблица1[[#This Row],[Часов на заказчика  дежурство]]</f>
        <v>0</v>
      </c>
      <c r="O19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4" s="9">
        <v>200000</v>
      </c>
      <c r="R1944" s="9"/>
      <c r="S1944" s="5">
        <v>1</v>
      </c>
      <c r="T19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табеле]])*S1944,0)</f>
        <v>0</v>
      </c>
      <c r="U1944" s="5">
        <f>IF(Таблица1[[#This Row],[ТТН]]&gt;0,Таблица1[[#This Row],[Ставка за ТТН]]*Таблица1[[#This Row],[ТТН]],0)</f>
        <v>0</v>
      </c>
    </row>
    <row r="1945" spans="1:21" x14ac:dyDescent="0.25">
      <c r="A1945" t="s">
        <v>84</v>
      </c>
      <c r="B1945" s="24">
        <v>21</v>
      </c>
      <c r="C1945" t="s">
        <v>109</v>
      </c>
      <c r="D1945" t="s">
        <v>32</v>
      </c>
      <c r="E1945" t="s">
        <v>215</v>
      </c>
      <c r="F1945" t="s">
        <v>31</v>
      </c>
      <c r="H1945" t="s">
        <v>30</v>
      </c>
      <c r="I1945" t="s">
        <v>217</v>
      </c>
      <c r="J1945">
        <v>1</v>
      </c>
      <c r="N1945">
        <f>Таблица1[[#This Row],[Часов на заказчика  в работе]]+Таблица1[[#This Row],[Часов на заказчика  дежурство]]</f>
        <v>0</v>
      </c>
      <c r="O19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5" s="9">
        <v>200000</v>
      </c>
      <c r="R1945" s="9"/>
      <c r="S1945" s="5">
        <v>1</v>
      </c>
      <c r="T19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табеле]])*S1945,0)</f>
        <v>0</v>
      </c>
      <c r="U1945" s="5">
        <f>IF(Таблица1[[#This Row],[ТТН]]&gt;0,Таблица1[[#This Row],[Ставка за ТТН]]*Таблица1[[#This Row],[ТТН]],0)</f>
        <v>0</v>
      </c>
    </row>
    <row r="1946" spans="1:21" x14ac:dyDescent="0.25">
      <c r="A1946" t="s">
        <v>84</v>
      </c>
      <c r="B1946" s="24">
        <v>22</v>
      </c>
      <c r="C1946" t="s">
        <v>109</v>
      </c>
      <c r="D1946" t="s">
        <v>32</v>
      </c>
      <c r="E1946" t="s">
        <v>215</v>
      </c>
      <c r="F1946" t="s">
        <v>31</v>
      </c>
      <c r="H1946" t="s">
        <v>29</v>
      </c>
      <c r="I1946" t="s">
        <v>217</v>
      </c>
      <c r="J1946">
        <v>8</v>
      </c>
      <c r="N1946">
        <f>Таблица1[[#This Row],[Часов на заказчика  в работе]]+Таблица1[[#This Row],[Часов на заказчика  дежурство]]</f>
        <v>0</v>
      </c>
      <c r="O19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6" s="9">
        <v>200000</v>
      </c>
      <c r="R1946" s="9"/>
      <c r="S1946" s="5">
        <v>1</v>
      </c>
      <c r="T19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табеле]])*S1946,0)</f>
        <v>0</v>
      </c>
      <c r="U1946" s="5">
        <f>IF(Таблица1[[#This Row],[ТТН]]&gt;0,Таблица1[[#This Row],[Ставка за ТТН]]*Таблица1[[#This Row],[ТТН]],0)</f>
        <v>0</v>
      </c>
    </row>
    <row r="1947" spans="1:21" x14ac:dyDescent="0.25">
      <c r="A1947" t="s">
        <v>84</v>
      </c>
      <c r="B1947" s="24">
        <v>23</v>
      </c>
      <c r="C1947" t="s">
        <v>109</v>
      </c>
      <c r="D1947" t="s">
        <v>32</v>
      </c>
      <c r="E1947" t="s">
        <v>215</v>
      </c>
      <c r="F1947" t="s">
        <v>31</v>
      </c>
      <c r="H1947" t="s">
        <v>29</v>
      </c>
      <c r="I1947" t="s">
        <v>217</v>
      </c>
      <c r="J1947">
        <v>8</v>
      </c>
      <c r="N1947">
        <f>Таблица1[[#This Row],[Часов на заказчика  в работе]]+Таблица1[[#This Row],[Часов на заказчика  дежурство]]</f>
        <v>0</v>
      </c>
      <c r="O19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7" s="9">
        <v>200000</v>
      </c>
      <c r="R1947" s="9"/>
      <c r="S1947" s="5">
        <v>1</v>
      </c>
      <c r="T19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табеле]])*S1947,0)</f>
        <v>0</v>
      </c>
      <c r="U1947" s="5">
        <f>IF(Таблица1[[#This Row],[ТТН]]&gt;0,Таблица1[[#This Row],[Ставка за ТТН]]*Таблица1[[#This Row],[ТТН]],0)</f>
        <v>0</v>
      </c>
    </row>
    <row r="1948" spans="1:21" x14ac:dyDescent="0.25">
      <c r="A1948" t="s">
        <v>84</v>
      </c>
      <c r="B1948" s="24">
        <v>24</v>
      </c>
      <c r="C1948" t="s">
        <v>109</v>
      </c>
      <c r="D1948" t="s">
        <v>32</v>
      </c>
      <c r="E1948" t="s">
        <v>215</v>
      </c>
      <c r="F1948" t="s">
        <v>31</v>
      </c>
      <c r="H1948" t="s">
        <v>29</v>
      </c>
      <c r="I1948" t="s">
        <v>217</v>
      </c>
      <c r="J1948">
        <v>8</v>
      </c>
      <c r="N1948">
        <f>Таблица1[[#This Row],[Часов на заказчика  в работе]]+Таблица1[[#This Row],[Часов на заказчика  дежурство]]</f>
        <v>0</v>
      </c>
      <c r="O19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8" s="9">
        <v>200000</v>
      </c>
      <c r="R1948" s="9"/>
      <c r="S1948" s="5">
        <v>1</v>
      </c>
      <c r="T19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табеле]])*S1948,0)</f>
        <v>0</v>
      </c>
      <c r="U1948" s="5">
        <f>IF(Таблица1[[#This Row],[ТТН]]&gt;0,Таблица1[[#This Row],[Ставка за ТТН]]*Таблица1[[#This Row],[ТТН]],0)</f>
        <v>0</v>
      </c>
    </row>
    <row r="1949" spans="1:21" x14ac:dyDescent="0.25">
      <c r="A1949" t="s">
        <v>84</v>
      </c>
      <c r="B1949" s="24">
        <v>25</v>
      </c>
      <c r="C1949" t="s">
        <v>109</v>
      </c>
      <c r="D1949" t="s">
        <v>32</v>
      </c>
      <c r="E1949" t="s">
        <v>215</v>
      </c>
      <c r="F1949" t="s">
        <v>31</v>
      </c>
      <c r="H1949" t="s">
        <v>29</v>
      </c>
      <c r="I1949" t="s">
        <v>217</v>
      </c>
      <c r="J1949">
        <v>8</v>
      </c>
      <c r="N1949">
        <f>Таблица1[[#This Row],[Часов на заказчика  в работе]]+Таблица1[[#This Row],[Часов на заказчика  дежурство]]</f>
        <v>0</v>
      </c>
      <c r="O19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49" s="9">
        <v>200000</v>
      </c>
      <c r="R1949" s="9"/>
      <c r="S1949" s="5">
        <v>1</v>
      </c>
      <c r="T19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табеле]])*S1949,0)</f>
        <v>0</v>
      </c>
      <c r="U1949" s="5">
        <f>IF(Таблица1[[#This Row],[ТТН]]&gt;0,Таблица1[[#This Row],[Ставка за ТТН]]*Таблица1[[#This Row],[ТТН]],0)</f>
        <v>0</v>
      </c>
    </row>
    <row r="1950" spans="1:21" x14ac:dyDescent="0.25">
      <c r="A1950" t="s">
        <v>84</v>
      </c>
      <c r="B1950" s="24">
        <v>26</v>
      </c>
      <c r="C1950" t="s">
        <v>109</v>
      </c>
      <c r="D1950" t="s">
        <v>32</v>
      </c>
      <c r="E1950" t="s">
        <v>215</v>
      </c>
      <c r="F1950" t="s">
        <v>31</v>
      </c>
      <c r="H1950" t="s">
        <v>29</v>
      </c>
      <c r="I1950" t="s">
        <v>217</v>
      </c>
      <c r="J1950">
        <v>8</v>
      </c>
      <c r="N1950">
        <f>Таблица1[[#This Row],[Часов на заказчика  в работе]]+Таблица1[[#This Row],[Часов на заказчика  дежурство]]</f>
        <v>0</v>
      </c>
      <c r="O19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0" s="9">
        <v>200000</v>
      </c>
      <c r="R1950" s="9"/>
      <c r="S1950" s="5">
        <v>1</v>
      </c>
      <c r="T19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табеле]])*S1950,0)</f>
        <v>0</v>
      </c>
      <c r="U1950" s="5">
        <f>IF(Таблица1[[#This Row],[ТТН]]&gt;0,Таблица1[[#This Row],[Ставка за ТТН]]*Таблица1[[#This Row],[ТТН]],0)</f>
        <v>0</v>
      </c>
    </row>
    <row r="1951" spans="1:21" x14ac:dyDescent="0.25">
      <c r="A1951" t="s">
        <v>84</v>
      </c>
      <c r="B1951" s="24">
        <v>27</v>
      </c>
      <c r="C1951" t="s">
        <v>109</v>
      </c>
      <c r="D1951" t="s">
        <v>32</v>
      </c>
      <c r="E1951" t="s">
        <v>215</v>
      </c>
      <c r="F1951" t="s">
        <v>31</v>
      </c>
      <c r="H1951" t="s">
        <v>30</v>
      </c>
      <c r="I1951" t="s">
        <v>217</v>
      </c>
      <c r="J1951">
        <v>1</v>
      </c>
      <c r="N1951">
        <f>Таблица1[[#This Row],[Часов на заказчика  в работе]]+Таблица1[[#This Row],[Часов на заказчика  дежурство]]</f>
        <v>0</v>
      </c>
      <c r="O19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1" s="9">
        <v>200000</v>
      </c>
      <c r="R1951" s="9"/>
      <c r="S1951" s="5">
        <v>1</v>
      </c>
      <c r="T19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табеле]])*S1951,0)</f>
        <v>0</v>
      </c>
      <c r="U1951" s="5">
        <f>IF(Таблица1[[#This Row],[ТТН]]&gt;0,Таблица1[[#This Row],[Ставка за ТТН]]*Таблица1[[#This Row],[ТТН]],0)</f>
        <v>0</v>
      </c>
    </row>
    <row r="1952" spans="1:21" x14ac:dyDescent="0.25">
      <c r="A1952" t="s">
        <v>84</v>
      </c>
      <c r="B1952" s="24">
        <v>28</v>
      </c>
      <c r="C1952" t="s">
        <v>109</v>
      </c>
      <c r="D1952" t="s">
        <v>32</v>
      </c>
      <c r="E1952" t="s">
        <v>215</v>
      </c>
      <c r="F1952" t="s">
        <v>31</v>
      </c>
      <c r="H1952" t="s">
        <v>30</v>
      </c>
      <c r="I1952" t="s">
        <v>217</v>
      </c>
      <c r="J1952">
        <v>1</v>
      </c>
      <c r="N1952">
        <f>Таблица1[[#This Row],[Часов на заказчика  в работе]]+Таблица1[[#This Row],[Часов на заказчика  дежурство]]</f>
        <v>0</v>
      </c>
      <c r="O19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2" s="9">
        <v>200000</v>
      </c>
      <c r="R1952" s="9"/>
      <c r="S1952" s="5">
        <v>1</v>
      </c>
      <c r="T19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табеле]])*S1952,0)</f>
        <v>0</v>
      </c>
      <c r="U1952" s="5">
        <f>IF(Таблица1[[#This Row],[ТТН]]&gt;0,Таблица1[[#This Row],[Ставка за ТТН]]*Таблица1[[#This Row],[ТТН]],0)</f>
        <v>0</v>
      </c>
    </row>
    <row r="1953" spans="1:21" x14ac:dyDescent="0.25">
      <c r="A1953" t="s">
        <v>84</v>
      </c>
      <c r="B1953" s="24">
        <v>29</v>
      </c>
      <c r="C1953" t="s">
        <v>109</v>
      </c>
      <c r="D1953" t="s">
        <v>32</v>
      </c>
      <c r="E1953" t="s">
        <v>215</v>
      </c>
      <c r="F1953" t="s">
        <v>31</v>
      </c>
      <c r="H1953" t="s">
        <v>29</v>
      </c>
      <c r="I1953" t="s">
        <v>217</v>
      </c>
      <c r="J1953">
        <v>8</v>
      </c>
      <c r="N1953">
        <f>Таблица1[[#This Row],[Часов на заказчика  в работе]]+Таблица1[[#This Row],[Часов на заказчика  дежурство]]</f>
        <v>0</v>
      </c>
      <c r="O19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3" s="9">
        <v>200000</v>
      </c>
      <c r="R1953" s="9"/>
      <c r="S1953" s="5">
        <v>1</v>
      </c>
      <c r="T19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табеле]])*S1953,0)</f>
        <v>0</v>
      </c>
      <c r="U1953" s="5">
        <f>IF(Таблица1[[#This Row],[ТТН]]&gt;0,Таблица1[[#This Row],[Ставка за ТТН]]*Таблица1[[#This Row],[ТТН]],0)</f>
        <v>0</v>
      </c>
    </row>
    <row r="1954" spans="1:21" x14ac:dyDescent="0.25">
      <c r="A1954" t="s">
        <v>84</v>
      </c>
      <c r="B1954" s="24">
        <v>30</v>
      </c>
      <c r="C1954" t="s">
        <v>159</v>
      </c>
      <c r="D1954" t="s">
        <v>32</v>
      </c>
      <c r="E1954" t="s">
        <v>215</v>
      </c>
      <c r="F1954" t="s">
        <v>31</v>
      </c>
      <c r="H1954" t="s">
        <v>29</v>
      </c>
      <c r="I1954" t="s">
        <v>217</v>
      </c>
      <c r="J1954">
        <v>8</v>
      </c>
      <c r="N1954">
        <f>Таблица1[[#This Row],[Часов на заказчика  в работе]]+Таблица1[[#This Row],[Часов на заказчика  дежурство]]</f>
        <v>0</v>
      </c>
      <c r="O19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4" s="9">
        <v>200000</v>
      </c>
      <c r="R1954" s="9"/>
      <c r="S1954" s="5">
        <v>1</v>
      </c>
      <c r="T19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табеле]])*S1954,0)</f>
        <v>0</v>
      </c>
      <c r="U1954" s="5">
        <f>IF(Таблица1[[#This Row],[ТТН]]&gt;0,Таблица1[[#This Row],[Ставка за ТТН]]*Таблица1[[#This Row],[ТТН]],0)</f>
        <v>0</v>
      </c>
    </row>
    <row r="1955" spans="1:21" x14ac:dyDescent="0.25">
      <c r="A1955" t="s">
        <v>84</v>
      </c>
      <c r="B1955" s="24">
        <v>1</v>
      </c>
      <c r="C1955" t="s">
        <v>159</v>
      </c>
      <c r="D1955" t="s">
        <v>28</v>
      </c>
      <c r="E1955" t="s">
        <v>215</v>
      </c>
      <c r="F1955" t="s">
        <v>28</v>
      </c>
      <c r="H1955" t="s">
        <v>29</v>
      </c>
      <c r="I1955" t="s">
        <v>217</v>
      </c>
      <c r="J1955">
        <v>8</v>
      </c>
      <c r="N1955">
        <f>Таблица1[[#This Row],[Часов на заказчика  в работе]]+Таблица1[[#This Row],[Часов на заказчика  дежурство]]</f>
        <v>0</v>
      </c>
      <c r="O19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5" s="9">
        <v>110000</v>
      </c>
      <c r="R1955" s="9"/>
      <c r="S1955" s="5">
        <v>1</v>
      </c>
      <c r="T19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табеле]])*S1955,0)</f>
        <v>0</v>
      </c>
      <c r="U1955" s="5">
        <f>IF(Таблица1[[#This Row],[ТТН]]&gt;0,Таблица1[[#This Row],[Ставка за ТТН]]*Таблица1[[#This Row],[ТТН]],0)</f>
        <v>0</v>
      </c>
    </row>
    <row r="1956" spans="1:21" x14ac:dyDescent="0.25">
      <c r="A1956" t="s">
        <v>84</v>
      </c>
      <c r="B1956" s="24">
        <v>2</v>
      </c>
      <c r="C1956" t="s">
        <v>159</v>
      </c>
      <c r="D1956" t="s">
        <v>28</v>
      </c>
      <c r="E1956" t="s">
        <v>215</v>
      </c>
      <c r="F1956" t="s">
        <v>28</v>
      </c>
      <c r="H1956" t="s">
        <v>29</v>
      </c>
      <c r="I1956" t="s">
        <v>217</v>
      </c>
      <c r="J1956">
        <v>8</v>
      </c>
      <c r="N1956">
        <f>Таблица1[[#This Row],[Часов на заказчика  в работе]]+Таблица1[[#This Row],[Часов на заказчика  дежурство]]</f>
        <v>0</v>
      </c>
      <c r="O19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6" s="9">
        <v>110000</v>
      </c>
      <c r="R1956" s="9"/>
      <c r="S1956" s="5">
        <v>1</v>
      </c>
      <c r="T19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табеле]])*S1956,0)</f>
        <v>0</v>
      </c>
      <c r="U1956" s="5">
        <f>IF(Таблица1[[#This Row],[ТТН]]&gt;0,Таблица1[[#This Row],[Ставка за ТТН]]*Таблица1[[#This Row],[ТТН]],0)</f>
        <v>0</v>
      </c>
    </row>
    <row r="1957" spans="1:21" x14ac:dyDescent="0.25">
      <c r="A1957" t="s">
        <v>84</v>
      </c>
      <c r="B1957" s="24">
        <v>3</v>
      </c>
      <c r="C1957" t="s">
        <v>159</v>
      </c>
      <c r="D1957" t="s">
        <v>28</v>
      </c>
      <c r="E1957" t="s">
        <v>215</v>
      </c>
      <c r="F1957" t="s">
        <v>28</v>
      </c>
      <c r="H1957" t="s">
        <v>29</v>
      </c>
      <c r="I1957" t="s">
        <v>217</v>
      </c>
      <c r="J1957">
        <v>8</v>
      </c>
      <c r="N1957">
        <f>Таблица1[[#This Row],[Часов на заказчика  в работе]]+Таблица1[[#This Row],[Часов на заказчика  дежурство]]</f>
        <v>0</v>
      </c>
      <c r="O19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7" s="9">
        <v>110000</v>
      </c>
      <c r="R1957" s="9"/>
      <c r="S1957" s="5">
        <v>1</v>
      </c>
      <c r="T19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табеле]])*S1957,0)</f>
        <v>0</v>
      </c>
      <c r="U1957" s="5">
        <f>IF(Таблица1[[#This Row],[ТТН]]&gt;0,Таблица1[[#This Row],[Ставка за ТТН]]*Таблица1[[#This Row],[ТТН]],0)</f>
        <v>0</v>
      </c>
    </row>
    <row r="1958" spans="1:21" x14ac:dyDescent="0.25">
      <c r="A1958" t="s">
        <v>84</v>
      </c>
      <c r="B1958" s="24">
        <v>4</v>
      </c>
      <c r="C1958" t="s">
        <v>159</v>
      </c>
      <c r="D1958" t="s">
        <v>28</v>
      </c>
      <c r="E1958" t="s">
        <v>215</v>
      </c>
      <c r="F1958" t="s">
        <v>28</v>
      </c>
      <c r="H1958" t="s">
        <v>29</v>
      </c>
      <c r="I1958" t="s">
        <v>217</v>
      </c>
      <c r="J1958">
        <v>8</v>
      </c>
      <c r="N1958">
        <f>Таблица1[[#This Row],[Часов на заказчика  в работе]]+Таблица1[[#This Row],[Часов на заказчика  дежурство]]</f>
        <v>0</v>
      </c>
      <c r="O19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8" s="9">
        <v>110000</v>
      </c>
      <c r="R1958" s="9"/>
      <c r="S1958" s="5">
        <v>1</v>
      </c>
      <c r="T19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табеле]])*S1958,0)</f>
        <v>0</v>
      </c>
      <c r="U1958" s="5">
        <f>IF(Таблица1[[#This Row],[ТТН]]&gt;0,Таблица1[[#This Row],[Ставка за ТТН]]*Таблица1[[#This Row],[ТТН]],0)</f>
        <v>0</v>
      </c>
    </row>
    <row r="1959" spans="1:21" x14ac:dyDescent="0.25">
      <c r="A1959" t="s">
        <v>84</v>
      </c>
      <c r="B1959" s="24">
        <v>5</v>
      </c>
      <c r="C1959" t="s">
        <v>159</v>
      </c>
      <c r="D1959" t="s">
        <v>28</v>
      </c>
      <c r="E1959" t="s">
        <v>215</v>
      </c>
      <c r="F1959" t="s">
        <v>28</v>
      </c>
      <c r="H1959" t="s">
        <v>29</v>
      </c>
      <c r="I1959" t="s">
        <v>217</v>
      </c>
      <c r="J1959">
        <v>8</v>
      </c>
      <c r="N1959">
        <f>Таблица1[[#This Row],[Часов на заказчика  в работе]]+Таблица1[[#This Row],[Часов на заказчика  дежурство]]</f>
        <v>0</v>
      </c>
      <c r="O19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59" s="9">
        <v>110000</v>
      </c>
      <c r="R1959" s="9"/>
      <c r="S1959" s="5">
        <v>1</v>
      </c>
      <c r="T19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табеле]])*S1959,0)</f>
        <v>0</v>
      </c>
      <c r="U1959" s="5">
        <f>IF(Таблица1[[#This Row],[ТТН]]&gt;0,Таблица1[[#This Row],[Ставка за ТТН]]*Таблица1[[#This Row],[ТТН]],0)</f>
        <v>0</v>
      </c>
    </row>
    <row r="1960" spans="1:21" x14ac:dyDescent="0.25">
      <c r="A1960" t="s">
        <v>84</v>
      </c>
      <c r="B1960" s="24">
        <v>6</v>
      </c>
      <c r="C1960" t="s">
        <v>159</v>
      </c>
      <c r="D1960" t="s">
        <v>28</v>
      </c>
      <c r="E1960" t="s">
        <v>215</v>
      </c>
      <c r="F1960" t="s">
        <v>28</v>
      </c>
      <c r="H1960" t="s">
        <v>30</v>
      </c>
      <c r="I1960" t="s">
        <v>217</v>
      </c>
      <c r="J1960">
        <v>1</v>
      </c>
      <c r="N1960">
        <f>Таблица1[[#This Row],[Часов на заказчика  в работе]]+Таблица1[[#This Row],[Часов на заказчика  дежурство]]</f>
        <v>0</v>
      </c>
      <c r="O19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0" s="9">
        <v>110000</v>
      </c>
      <c r="R1960" s="9"/>
      <c r="S1960" s="5">
        <v>1</v>
      </c>
      <c r="T19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табеле]])*S1960,0)</f>
        <v>0</v>
      </c>
      <c r="U1960" s="5">
        <f>IF(Таблица1[[#This Row],[ТТН]]&gt;0,Таблица1[[#This Row],[Ставка за ТТН]]*Таблица1[[#This Row],[ТТН]],0)</f>
        <v>0</v>
      </c>
    </row>
    <row r="1961" spans="1:21" x14ac:dyDescent="0.25">
      <c r="A1961" t="s">
        <v>84</v>
      </c>
      <c r="B1961" s="24">
        <v>7</v>
      </c>
      <c r="C1961" t="s">
        <v>159</v>
      </c>
      <c r="D1961" t="s">
        <v>28</v>
      </c>
      <c r="E1961" t="s">
        <v>215</v>
      </c>
      <c r="F1961" t="s">
        <v>28</v>
      </c>
      <c r="H1961" t="s">
        <v>30</v>
      </c>
      <c r="I1961" t="s">
        <v>217</v>
      </c>
      <c r="J1961">
        <v>1</v>
      </c>
      <c r="N1961">
        <f>Таблица1[[#This Row],[Часов на заказчика  в работе]]+Таблица1[[#This Row],[Часов на заказчика  дежурство]]</f>
        <v>0</v>
      </c>
      <c r="O19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1" s="9">
        <v>110000</v>
      </c>
      <c r="R1961" s="9"/>
      <c r="S1961" s="5">
        <v>1</v>
      </c>
      <c r="T19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табеле]])*S1961,0)</f>
        <v>0</v>
      </c>
      <c r="U1961" s="5">
        <f>IF(Таблица1[[#This Row],[ТТН]]&gt;0,Таблица1[[#This Row],[Ставка за ТТН]]*Таблица1[[#This Row],[ТТН]],0)</f>
        <v>0</v>
      </c>
    </row>
    <row r="1962" spans="1:21" x14ac:dyDescent="0.25">
      <c r="A1962" t="s">
        <v>84</v>
      </c>
      <c r="B1962" s="24">
        <v>8</v>
      </c>
      <c r="C1962" t="s">
        <v>159</v>
      </c>
      <c r="D1962" t="s">
        <v>28</v>
      </c>
      <c r="E1962" t="s">
        <v>215</v>
      </c>
      <c r="F1962" t="s">
        <v>28</v>
      </c>
      <c r="H1962" t="s">
        <v>29</v>
      </c>
      <c r="I1962" t="s">
        <v>217</v>
      </c>
      <c r="J1962">
        <v>8</v>
      </c>
      <c r="N1962">
        <f>Таблица1[[#This Row],[Часов на заказчика  в работе]]+Таблица1[[#This Row],[Часов на заказчика  дежурство]]</f>
        <v>0</v>
      </c>
      <c r="O19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2" s="9">
        <v>110000</v>
      </c>
      <c r="R1962" s="9"/>
      <c r="S1962" s="5">
        <v>1</v>
      </c>
      <c r="T19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табеле]])*S1962,0)</f>
        <v>0</v>
      </c>
      <c r="U1962" s="5">
        <f>IF(Таблица1[[#This Row],[ТТН]]&gt;0,Таблица1[[#This Row],[Ставка за ТТН]]*Таблица1[[#This Row],[ТТН]],0)</f>
        <v>0</v>
      </c>
    </row>
    <row r="1963" spans="1:21" x14ac:dyDescent="0.25">
      <c r="A1963" t="s">
        <v>84</v>
      </c>
      <c r="B1963" s="24">
        <v>9</v>
      </c>
      <c r="C1963" t="s">
        <v>159</v>
      </c>
      <c r="D1963" t="s">
        <v>28</v>
      </c>
      <c r="E1963" t="s">
        <v>215</v>
      </c>
      <c r="F1963" t="s">
        <v>28</v>
      </c>
      <c r="H1963" t="s">
        <v>29</v>
      </c>
      <c r="I1963" t="s">
        <v>217</v>
      </c>
      <c r="J1963">
        <v>8</v>
      </c>
      <c r="N1963">
        <f>Таблица1[[#This Row],[Часов на заказчика  в работе]]+Таблица1[[#This Row],[Часов на заказчика  дежурство]]</f>
        <v>0</v>
      </c>
      <c r="O19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3" s="9">
        <v>110000</v>
      </c>
      <c r="R1963" s="9"/>
      <c r="S1963" s="5">
        <v>1</v>
      </c>
      <c r="T19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табеле]])*S1963,0)</f>
        <v>0</v>
      </c>
      <c r="U1963" s="5">
        <f>IF(Таблица1[[#This Row],[ТТН]]&gt;0,Таблица1[[#This Row],[Ставка за ТТН]]*Таблица1[[#This Row],[ТТН]],0)</f>
        <v>0</v>
      </c>
    </row>
    <row r="1964" spans="1:21" x14ac:dyDescent="0.25">
      <c r="A1964" t="s">
        <v>84</v>
      </c>
      <c r="B1964" s="24">
        <v>10</v>
      </c>
      <c r="C1964" t="s">
        <v>159</v>
      </c>
      <c r="D1964" t="s">
        <v>28</v>
      </c>
      <c r="E1964" t="s">
        <v>215</v>
      </c>
      <c r="F1964" t="s">
        <v>28</v>
      </c>
      <c r="H1964" t="s">
        <v>29</v>
      </c>
      <c r="I1964" t="s">
        <v>217</v>
      </c>
      <c r="J1964">
        <v>8</v>
      </c>
      <c r="N1964">
        <f>Таблица1[[#This Row],[Часов на заказчика  в работе]]+Таблица1[[#This Row],[Часов на заказчика  дежурство]]</f>
        <v>0</v>
      </c>
      <c r="O19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4" s="9">
        <v>110000</v>
      </c>
      <c r="R1964" s="9"/>
      <c r="S1964" s="5">
        <v>1</v>
      </c>
      <c r="T19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табеле]])*S1964,0)</f>
        <v>0</v>
      </c>
      <c r="U1964" s="5">
        <f>IF(Таблица1[[#This Row],[ТТН]]&gt;0,Таблица1[[#This Row],[Ставка за ТТН]]*Таблица1[[#This Row],[ТТН]],0)</f>
        <v>0</v>
      </c>
    </row>
    <row r="1965" spans="1:21" x14ac:dyDescent="0.25">
      <c r="A1965" t="s">
        <v>84</v>
      </c>
      <c r="B1965" s="24">
        <v>11</v>
      </c>
      <c r="C1965" t="s">
        <v>159</v>
      </c>
      <c r="D1965" t="s">
        <v>28</v>
      </c>
      <c r="E1965" t="s">
        <v>215</v>
      </c>
      <c r="F1965" t="s">
        <v>28</v>
      </c>
      <c r="H1965" t="s">
        <v>29</v>
      </c>
      <c r="I1965" t="s">
        <v>217</v>
      </c>
      <c r="J1965">
        <v>8</v>
      </c>
      <c r="N1965">
        <f>Таблица1[[#This Row],[Часов на заказчика  в работе]]+Таблица1[[#This Row],[Часов на заказчика  дежурство]]</f>
        <v>0</v>
      </c>
      <c r="O19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5" s="9">
        <v>110000</v>
      </c>
      <c r="R1965" s="9"/>
      <c r="S1965" s="5">
        <v>1</v>
      </c>
      <c r="T19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табеле]])*S1965,0)</f>
        <v>0</v>
      </c>
      <c r="U1965" s="5">
        <f>IF(Таблица1[[#This Row],[ТТН]]&gt;0,Таблица1[[#This Row],[Ставка за ТТН]]*Таблица1[[#This Row],[ТТН]],0)</f>
        <v>0</v>
      </c>
    </row>
    <row r="1966" spans="1:21" x14ac:dyDescent="0.25">
      <c r="A1966" t="s">
        <v>84</v>
      </c>
      <c r="B1966" s="24">
        <v>12</v>
      </c>
      <c r="C1966" t="s">
        <v>159</v>
      </c>
      <c r="D1966" t="s">
        <v>28</v>
      </c>
      <c r="E1966" t="s">
        <v>215</v>
      </c>
      <c r="F1966" t="s">
        <v>28</v>
      </c>
      <c r="H1966" t="s">
        <v>29</v>
      </c>
      <c r="I1966" t="s">
        <v>217</v>
      </c>
      <c r="J1966">
        <v>8</v>
      </c>
      <c r="N1966">
        <f>Таблица1[[#This Row],[Часов на заказчика  в работе]]+Таблица1[[#This Row],[Часов на заказчика  дежурство]]</f>
        <v>0</v>
      </c>
      <c r="O19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6" s="9">
        <v>110000</v>
      </c>
      <c r="R1966" s="9"/>
      <c r="S1966" s="5">
        <v>1</v>
      </c>
      <c r="T19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табеле]])*S1966,0)</f>
        <v>0</v>
      </c>
      <c r="U1966" s="5">
        <f>IF(Таблица1[[#This Row],[ТТН]]&gt;0,Таблица1[[#This Row],[Ставка за ТТН]]*Таблица1[[#This Row],[ТТН]],0)</f>
        <v>0</v>
      </c>
    </row>
    <row r="1967" spans="1:21" x14ac:dyDescent="0.25">
      <c r="A1967" t="s">
        <v>84</v>
      </c>
      <c r="B1967" s="24">
        <v>13</v>
      </c>
      <c r="C1967" t="s">
        <v>159</v>
      </c>
      <c r="D1967" t="s">
        <v>28</v>
      </c>
      <c r="E1967" t="s">
        <v>215</v>
      </c>
      <c r="F1967" t="s">
        <v>28</v>
      </c>
      <c r="H1967" t="s">
        <v>30</v>
      </c>
      <c r="I1967" t="s">
        <v>217</v>
      </c>
      <c r="J1967">
        <v>1</v>
      </c>
      <c r="N1967">
        <f>Таблица1[[#This Row],[Часов на заказчика  в работе]]+Таблица1[[#This Row],[Часов на заказчика  дежурство]]</f>
        <v>0</v>
      </c>
      <c r="O19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7" s="9">
        <v>110000</v>
      </c>
      <c r="R1967" s="9"/>
      <c r="S1967" s="5">
        <v>1</v>
      </c>
      <c r="T19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табеле]])*S1967,0)</f>
        <v>0</v>
      </c>
      <c r="U1967" s="5">
        <f>IF(Таблица1[[#This Row],[ТТН]]&gt;0,Таблица1[[#This Row],[Ставка за ТТН]]*Таблица1[[#This Row],[ТТН]],0)</f>
        <v>0</v>
      </c>
    </row>
    <row r="1968" spans="1:21" x14ac:dyDescent="0.25">
      <c r="A1968" t="s">
        <v>84</v>
      </c>
      <c r="B1968" s="24">
        <v>14</v>
      </c>
      <c r="C1968" t="s">
        <v>159</v>
      </c>
      <c r="D1968" t="s">
        <v>28</v>
      </c>
      <c r="E1968" t="s">
        <v>215</v>
      </c>
      <c r="F1968" t="s">
        <v>28</v>
      </c>
      <c r="H1968" t="s">
        <v>30</v>
      </c>
      <c r="I1968" t="s">
        <v>217</v>
      </c>
      <c r="J1968">
        <v>1</v>
      </c>
      <c r="N1968">
        <f>Таблица1[[#This Row],[Часов на заказчика  в работе]]+Таблица1[[#This Row],[Часов на заказчика  дежурство]]</f>
        <v>0</v>
      </c>
      <c r="O19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8" s="9">
        <v>110000</v>
      </c>
      <c r="R1968" s="9"/>
      <c r="S1968" s="5">
        <v>1</v>
      </c>
      <c r="T19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табеле]])*S1968,0)</f>
        <v>0</v>
      </c>
      <c r="U1968" s="5">
        <f>IF(Таблица1[[#This Row],[ТТН]]&gt;0,Таблица1[[#This Row],[Ставка за ТТН]]*Таблица1[[#This Row],[ТТН]],0)</f>
        <v>0</v>
      </c>
    </row>
    <row r="1969" spans="1:21" x14ac:dyDescent="0.25">
      <c r="A1969" t="s">
        <v>84</v>
      </c>
      <c r="B1969" s="24">
        <v>15</v>
      </c>
      <c r="C1969" t="s">
        <v>159</v>
      </c>
      <c r="D1969" t="s">
        <v>28</v>
      </c>
      <c r="E1969" t="s">
        <v>215</v>
      </c>
      <c r="F1969" t="s">
        <v>28</v>
      </c>
      <c r="H1969" t="s">
        <v>29</v>
      </c>
      <c r="I1969" t="s">
        <v>217</v>
      </c>
      <c r="J1969">
        <v>8</v>
      </c>
      <c r="N1969">
        <f>Таблица1[[#This Row],[Часов на заказчика  в работе]]+Таблица1[[#This Row],[Часов на заказчика  дежурство]]</f>
        <v>0</v>
      </c>
      <c r="O19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69" s="9">
        <v>110000</v>
      </c>
      <c r="R1969" s="9"/>
      <c r="S1969" s="5">
        <v>1</v>
      </c>
      <c r="T19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табеле]])*S1969,0)</f>
        <v>0</v>
      </c>
      <c r="U1969" s="5">
        <f>IF(Таблица1[[#This Row],[ТТН]]&gt;0,Таблица1[[#This Row],[Ставка за ТТН]]*Таблица1[[#This Row],[ТТН]],0)</f>
        <v>0</v>
      </c>
    </row>
    <row r="1970" spans="1:21" x14ac:dyDescent="0.25">
      <c r="A1970" t="s">
        <v>84</v>
      </c>
      <c r="B1970" s="24">
        <v>16</v>
      </c>
      <c r="C1970" t="s">
        <v>159</v>
      </c>
      <c r="D1970" t="s">
        <v>28</v>
      </c>
      <c r="E1970" t="s">
        <v>215</v>
      </c>
      <c r="F1970" t="s">
        <v>28</v>
      </c>
      <c r="H1970" t="s">
        <v>29</v>
      </c>
      <c r="I1970" t="s">
        <v>217</v>
      </c>
      <c r="J1970">
        <v>8</v>
      </c>
      <c r="N1970">
        <f>Таблица1[[#This Row],[Часов на заказчика  в работе]]+Таблица1[[#This Row],[Часов на заказчика  дежурство]]</f>
        <v>0</v>
      </c>
      <c r="O19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0" s="9">
        <v>110000</v>
      </c>
      <c r="R1970" s="9"/>
      <c r="S1970" s="5">
        <v>1</v>
      </c>
      <c r="T19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табеле]])*S1970,0)</f>
        <v>0</v>
      </c>
      <c r="U1970" s="5">
        <f>IF(Таблица1[[#This Row],[ТТН]]&gt;0,Таблица1[[#This Row],[Ставка за ТТН]]*Таблица1[[#This Row],[ТТН]],0)</f>
        <v>0</v>
      </c>
    </row>
    <row r="1971" spans="1:21" x14ac:dyDescent="0.25">
      <c r="A1971" t="s">
        <v>84</v>
      </c>
      <c r="B1971" s="24">
        <v>17</v>
      </c>
      <c r="C1971" t="s">
        <v>159</v>
      </c>
      <c r="D1971" t="s">
        <v>28</v>
      </c>
      <c r="E1971" t="s">
        <v>215</v>
      </c>
      <c r="F1971" t="s">
        <v>28</v>
      </c>
      <c r="H1971" t="s">
        <v>29</v>
      </c>
      <c r="I1971" t="s">
        <v>217</v>
      </c>
      <c r="J1971">
        <v>8</v>
      </c>
      <c r="N1971">
        <f>Таблица1[[#This Row],[Часов на заказчика  в работе]]+Таблица1[[#This Row],[Часов на заказчика  дежурство]]</f>
        <v>0</v>
      </c>
      <c r="O19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1" s="9">
        <v>110000</v>
      </c>
      <c r="R1971" s="9"/>
      <c r="S1971" s="5">
        <v>1</v>
      </c>
      <c r="T19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табеле]])*S1971,0)</f>
        <v>0</v>
      </c>
      <c r="U1971" s="5">
        <f>IF(Таблица1[[#This Row],[ТТН]]&gt;0,Таблица1[[#This Row],[Ставка за ТТН]]*Таблица1[[#This Row],[ТТН]],0)</f>
        <v>0</v>
      </c>
    </row>
    <row r="1972" spans="1:21" x14ac:dyDescent="0.25">
      <c r="A1972" t="s">
        <v>84</v>
      </c>
      <c r="B1972" s="24">
        <v>18</v>
      </c>
      <c r="C1972" t="s">
        <v>159</v>
      </c>
      <c r="D1972" t="s">
        <v>28</v>
      </c>
      <c r="E1972" t="s">
        <v>215</v>
      </c>
      <c r="F1972" t="s">
        <v>28</v>
      </c>
      <c r="H1972" t="s">
        <v>29</v>
      </c>
      <c r="I1972" t="s">
        <v>217</v>
      </c>
      <c r="J1972">
        <v>8</v>
      </c>
      <c r="N1972">
        <f>Таблица1[[#This Row],[Часов на заказчика  в работе]]+Таблица1[[#This Row],[Часов на заказчика  дежурство]]</f>
        <v>0</v>
      </c>
      <c r="O19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2" s="9">
        <v>110000</v>
      </c>
      <c r="R1972" s="9"/>
      <c r="S1972" s="5">
        <v>1</v>
      </c>
      <c r="T19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табеле]])*S1972,0)</f>
        <v>0</v>
      </c>
      <c r="U1972" s="5">
        <f>IF(Таблица1[[#This Row],[ТТН]]&gt;0,Таблица1[[#This Row],[Ставка за ТТН]]*Таблица1[[#This Row],[ТТН]],0)</f>
        <v>0</v>
      </c>
    </row>
    <row r="1973" spans="1:21" x14ac:dyDescent="0.25">
      <c r="A1973" t="s">
        <v>84</v>
      </c>
      <c r="B1973" s="24">
        <v>19</v>
      </c>
      <c r="C1973" t="s">
        <v>159</v>
      </c>
      <c r="D1973" t="s">
        <v>28</v>
      </c>
      <c r="E1973" t="s">
        <v>215</v>
      </c>
      <c r="F1973" t="s">
        <v>28</v>
      </c>
      <c r="H1973" t="s">
        <v>29</v>
      </c>
      <c r="I1973" t="s">
        <v>217</v>
      </c>
      <c r="J1973">
        <v>8</v>
      </c>
      <c r="N1973">
        <f>Таблица1[[#This Row],[Часов на заказчика  в работе]]+Таблица1[[#This Row],[Часов на заказчика  дежурство]]</f>
        <v>0</v>
      </c>
      <c r="O19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3" s="9">
        <v>110000</v>
      </c>
      <c r="R1973" s="9"/>
      <c r="S1973" s="5">
        <v>1</v>
      </c>
      <c r="T19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табеле]])*S1973,0)</f>
        <v>0</v>
      </c>
      <c r="U1973" s="5">
        <f>IF(Таблица1[[#This Row],[ТТН]]&gt;0,Таблица1[[#This Row],[Ставка за ТТН]]*Таблица1[[#This Row],[ТТН]],0)</f>
        <v>0</v>
      </c>
    </row>
    <row r="1974" spans="1:21" x14ac:dyDescent="0.25">
      <c r="A1974" t="s">
        <v>84</v>
      </c>
      <c r="B1974" s="24">
        <v>20</v>
      </c>
      <c r="C1974" t="s">
        <v>159</v>
      </c>
      <c r="D1974" t="s">
        <v>28</v>
      </c>
      <c r="E1974" t="s">
        <v>215</v>
      </c>
      <c r="F1974" t="s">
        <v>28</v>
      </c>
      <c r="H1974" t="s">
        <v>30</v>
      </c>
      <c r="I1974" t="s">
        <v>217</v>
      </c>
      <c r="J1974">
        <v>1</v>
      </c>
      <c r="N1974">
        <f>Таблица1[[#This Row],[Часов на заказчика  в работе]]+Таблица1[[#This Row],[Часов на заказчика  дежурство]]</f>
        <v>0</v>
      </c>
      <c r="O19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4" s="9">
        <v>110000</v>
      </c>
      <c r="R1974" s="9"/>
      <c r="S1974" s="5">
        <v>1</v>
      </c>
      <c r="T19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табеле]])*S1974,0)</f>
        <v>0</v>
      </c>
      <c r="U1974" s="5">
        <f>IF(Таблица1[[#This Row],[ТТН]]&gt;0,Таблица1[[#This Row],[Ставка за ТТН]]*Таблица1[[#This Row],[ТТН]],0)</f>
        <v>0</v>
      </c>
    </row>
    <row r="1975" spans="1:21" x14ac:dyDescent="0.25">
      <c r="A1975" t="s">
        <v>84</v>
      </c>
      <c r="B1975" s="24">
        <v>21</v>
      </c>
      <c r="C1975" t="s">
        <v>159</v>
      </c>
      <c r="D1975" t="s">
        <v>28</v>
      </c>
      <c r="E1975" t="s">
        <v>215</v>
      </c>
      <c r="F1975" t="s">
        <v>28</v>
      </c>
      <c r="H1975" t="s">
        <v>30</v>
      </c>
      <c r="I1975" t="s">
        <v>217</v>
      </c>
      <c r="J1975">
        <v>1</v>
      </c>
      <c r="N1975">
        <f>Таблица1[[#This Row],[Часов на заказчика  в работе]]+Таблица1[[#This Row],[Часов на заказчика  дежурство]]</f>
        <v>0</v>
      </c>
      <c r="O19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5" s="9">
        <v>110000</v>
      </c>
      <c r="R1975" s="9"/>
      <c r="S1975" s="5">
        <v>1</v>
      </c>
      <c r="T19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табеле]])*S1975,0)</f>
        <v>0</v>
      </c>
      <c r="U1975" s="5">
        <f>IF(Таблица1[[#This Row],[ТТН]]&gt;0,Таблица1[[#This Row],[Ставка за ТТН]]*Таблица1[[#This Row],[ТТН]],0)</f>
        <v>0</v>
      </c>
    </row>
    <row r="1976" spans="1:21" x14ac:dyDescent="0.25">
      <c r="A1976" t="s">
        <v>84</v>
      </c>
      <c r="B1976" s="24">
        <v>22</v>
      </c>
      <c r="C1976" t="s">
        <v>159</v>
      </c>
      <c r="D1976" t="s">
        <v>28</v>
      </c>
      <c r="E1976" t="s">
        <v>215</v>
      </c>
      <c r="F1976" t="s">
        <v>28</v>
      </c>
      <c r="H1976" t="s">
        <v>29</v>
      </c>
      <c r="I1976" t="s">
        <v>217</v>
      </c>
      <c r="J1976">
        <v>8</v>
      </c>
      <c r="N1976">
        <f>Таблица1[[#This Row],[Часов на заказчика  в работе]]+Таблица1[[#This Row],[Часов на заказчика  дежурство]]</f>
        <v>0</v>
      </c>
      <c r="O19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6" s="9">
        <v>110000</v>
      </c>
      <c r="R1976" s="9"/>
      <c r="S1976" s="5">
        <v>1</v>
      </c>
      <c r="T19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табеле]])*S1976,0)</f>
        <v>0</v>
      </c>
      <c r="U1976" s="5">
        <f>IF(Таблица1[[#This Row],[ТТН]]&gt;0,Таблица1[[#This Row],[Ставка за ТТН]]*Таблица1[[#This Row],[ТТН]],0)</f>
        <v>0</v>
      </c>
    </row>
    <row r="1977" spans="1:21" x14ac:dyDescent="0.25">
      <c r="A1977" t="s">
        <v>84</v>
      </c>
      <c r="B1977" s="24">
        <v>23</v>
      </c>
      <c r="C1977" t="s">
        <v>159</v>
      </c>
      <c r="D1977" t="s">
        <v>28</v>
      </c>
      <c r="E1977" t="s">
        <v>215</v>
      </c>
      <c r="F1977" t="s">
        <v>28</v>
      </c>
      <c r="H1977" t="s">
        <v>29</v>
      </c>
      <c r="I1977" t="s">
        <v>217</v>
      </c>
      <c r="J1977">
        <v>8</v>
      </c>
      <c r="N1977">
        <f>Таблица1[[#This Row],[Часов на заказчика  в работе]]+Таблица1[[#This Row],[Часов на заказчика  дежурство]]</f>
        <v>0</v>
      </c>
      <c r="O19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7" s="9">
        <v>110000</v>
      </c>
      <c r="R1977" s="9"/>
      <c r="S1977" s="5">
        <v>1</v>
      </c>
      <c r="T19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табеле]])*S1977,0)</f>
        <v>0</v>
      </c>
      <c r="U1977" s="5">
        <f>IF(Таблица1[[#This Row],[ТТН]]&gt;0,Таблица1[[#This Row],[Ставка за ТТН]]*Таблица1[[#This Row],[ТТН]],0)</f>
        <v>0</v>
      </c>
    </row>
    <row r="1978" spans="1:21" x14ac:dyDescent="0.25">
      <c r="A1978" t="s">
        <v>84</v>
      </c>
      <c r="B1978" s="24">
        <v>24</v>
      </c>
      <c r="C1978" t="s">
        <v>159</v>
      </c>
      <c r="D1978" t="s">
        <v>28</v>
      </c>
      <c r="E1978" t="s">
        <v>215</v>
      </c>
      <c r="F1978" t="s">
        <v>28</v>
      </c>
      <c r="H1978" t="s">
        <v>29</v>
      </c>
      <c r="I1978" t="s">
        <v>217</v>
      </c>
      <c r="J1978">
        <v>8</v>
      </c>
      <c r="N1978">
        <f>Таблица1[[#This Row],[Часов на заказчика  в работе]]+Таблица1[[#This Row],[Часов на заказчика  дежурство]]</f>
        <v>0</v>
      </c>
      <c r="O19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8" s="9">
        <v>110000</v>
      </c>
      <c r="R1978" s="9"/>
      <c r="S1978" s="5">
        <v>1</v>
      </c>
      <c r="T19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табеле]])*S1978,0)</f>
        <v>0</v>
      </c>
      <c r="U1978" s="5">
        <f>IF(Таблица1[[#This Row],[ТТН]]&gt;0,Таблица1[[#This Row],[Ставка за ТТН]]*Таблица1[[#This Row],[ТТН]],0)</f>
        <v>0</v>
      </c>
    </row>
    <row r="1979" spans="1:21" x14ac:dyDescent="0.25">
      <c r="A1979" t="s">
        <v>84</v>
      </c>
      <c r="B1979" s="24">
        <v>25</v>
      </c>
      <c r="C1979" t="s">
        <v>159</v>
      </c>
      <c r="D1979" t="s">
        <v>28</v>
      </c>
      <c r="E1979" t="s">
        <v>215</v>
      </c>
      <c r="F1979" t="s">
        <v>28</v>
      </c>
      <c r="H1979" t="s">
        <v>29</v>
      </c>
      <c r="I1979" t="s">
        <v>217</v>
      </c>
      <c r="J1979">
        <v>8</v>
      </c>
      <c r="N1979">
        <f>Таблица1[[#This Row],[Часов на заказчика  в работе]]+Таблица1[[#This Row],[Часов на заказчика  дежурство]]</f>
        <v>0</v>
      </c>
      <c r="O19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79" s="9">
        <v>110000</v>
      </c>
      <c r="R1979" s="9"/>
      <c r="S1979" s="5">
        <v>1</v>
      </c>
      <c r="T19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табеле]])*S1979,0)</f>
        <v>0</v>
      </c>
      <c r="U1979" s="5">
        <f>IF(Таблица1[[#This Row],[ТТН]]&gt;0,Таблица1[[#This Row],[Ставка за ТТН]]*Таблица1[[#This Row],[ТТН]],0)</f>
        <v>0</v>
      </c>
    </row>
    <row r="1980" spans="1:21" x14ac:dyDescent="0.25">
      <c r="A1980" t="s">
        <v>84</v>
      </c>
      <c r="B1980" s="24">
        <v>26</v>
      </c>
      <c r="C1980" t="s">
        <v>159</v>
      </c>
      <c r="D1980" t="s">
        <v>28</v>
      </c>
      <c r="E1980" t="s">
        <v>215</v>
      </c>
      <c r="F1980" t="s">
        <v>28</v>
      </c>
      <c r="H1980" t="s">
        <v>29</v>
      </c>
      <c r="I1980" t="s">
        <v>217</v>
      </c>
      <c r="J1980">
        <v>8</v>
      </c>
      <c r="N1980">
        <f>Таблица1[[#This Row],[Часов на заказчика  в работе]]+Таблица1[[#This Row],[Часов на заказчика  дежурство]]</f>
        <v>0</v>
      </c>
      <c r="O19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0" s="9">
        <v>110000</v>
      </c>
      <c r="R1980" s="9"/>
      <c r="S1980" s="5">
        <v>1</v>
      </c>
      <c r="T19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табеле]])*S1980,0)</f>
        <v>0</v>
      </c>
      <c r="U1980" s="5">
        <f>IF(Таблица1[[#This Row],[ТТН]]&gt;0,Таблица1[[#This Row],[Ставка за ТТН]]*Таблица1[[#This Row],[ТТН]],0)</f>
        <v>0</v>
      </c>
    </row>
    <row r="1981" spans="1:21" x14ac:dyDescent="0.25">
      <c r="A1981" t="s">
        <v>84</v>
      </c>
      <c r="B1981" s="24">
        <v>27</v>
      </c>
      <c r="C1981" t="s">
        <v>159</v>
      </c>
      <c r="D1981" t="s">
        <v>28</v>
      </c>
      <c r="E1981" t="s">
        <v>215</v>
      </c>
      <c r="F1981" t="s">
        <v>28</v>
      </c>
      <c r="H1981" t="s">
        <v>30</v>
      </c>
      <c r="I1981" t="s">
        <v>217</v>
      </c>
      <c r="J1981">
        <v>1</v>
      </c>
      <c r="N1981">
        <f>Таблица1[[#This Row],[Часов на заказчика  в работе]]+Таблица1[[#This Row],[Часов на заказчика  дежурство]]</f>
        <v>0</v>
      </c>
      <c r="O19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1" s="9">
        <v>110000</v>
      </c>
      <c r="R1981" s="9"/>
      <c r="S1981" s="5">
        <v>1</v>
      </c>
      <c r="T19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табеле]])*S1981,0)</f>
        <v>0</v>
      </c>
      <c r="U1981" s="5">
        <f>IF(Таблица1[[#This Row],[ТТН]]&gt;0,Таблица1[[#This Row],[Ставка за ТТН]]*Таблица1[[#This Row],[ТТН]],0)</f>
        <v>0</v>
      </c>
    </row>
    <row r="1982" spans="1:21" x14ac:dyDescent="0.25">
      <c r="A1982" t="s">
        <v>84</v>
      </c>
      <c r="B1982" s="24">
        <v>28</v>
      </c>
      <c r="C1982" t="s">
        <v>159</v>
      </c>
      <c r="D1982" t="s">
        <v>28</v>
      </c>
      <c r="E1982" t="s">
        <v>215</v>
      </c>
      <c r="F1982" t="s">
        <v>28</v>
      </c>
      <c r="H1982" t="s">
        <v>30</v>
      </c>
      <c r="I1982" t="s">
        <v>217</v>
      </c>
      <c r="J1982">
        <v>1</v>
      </c>
      <c r="N1982">
        <f>Таблица1[[#This Row],[Часов на заказчика  в работе]]+Таблица1[[#This Row],[Часов на заказчика  дежурство]]</f>
        <v>0</v>
      </c>
      <c r="O19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2" s="9">
        <v>110000</v>
      </c>
      <c r="R1982" s="9"/>
      <c r="S1982" s="5">
        <v>1</v>
      </c>
      <c r="T19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табеле]])*S1982,0)</f>
        <v>0</v>
      </c>
      <c r="U1982" s="5">
        <f>IF(Таблица1[[#This Row],[ТТН]]&gt;0,Таблица1[[#This Row],[Ставка за ТТН]]*Таблица1[[#This Row],[ТТН]],0)</f>
        <v>0</v>
      </c>
    </row>
    <row r="1983" spans="1:21" x14ac:dyDescent="0.25">
      <c r="A1983" t="s">
        <v>84</v>
      </c>
      <c r="B1983" s="24">
        <v>29</v>
      </c>
      <c r="C1983" t="s">
        <v>159</v>
      </c>
      <c r="D1983" t="s">
        <v>28</v>
      </c>
      <c r="E1983" t="s">
        <v>215</v>
      </c>
      <c r="F1983" t="s">
        <v>28</v>
      </c>
      <c r="H1983" t="s">
        <v>29</v>
      </c>
      <c r="I1983" t="s">
        <v>217</v>
      </c>
      <c r="J1983">
        <v>8</v>
      </c>
      <c r="N1983">
        <f>Таблица1[[#This Row],[Часов на заказчика  в работе]]+Таблица1[[#This Row],[Часов на заказчика  дежурство]]</f>
        <v>0</v>
      </c>
      <c r="O19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3" s="9">
        <v>110000</v>
      </c>
      <c r="R1983" s="9"/>
      <c r="S1983" s="5">
        <v>1</v>
      </c>
      <c r="T19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табеле]])*S1983,0)</f>
        <v>0</v>
      </c>
      <c r="U1983" s="5">
        <f>IF(Таблица1[[#This Row],[ТТН]]&gt;0,Таблица1[[#This Row],[Ставка за ТТН]]*Таблица1[[#This Row],[ТТН]],0)</f>
        <v>0</v>
      </c>
    </row>
    <row r="1984" spans="1:21" x14ac:dyDescent="0.25">
      <c r="A1984" t="s">
        <v>84</v>
      </c>
      <c r="B1984" s="24">
        <v>30</v>
      </c>
      <c r="C1984" t="s">
        <v>160</v>
      </c>
      <c r="D1984" t="s">
        <v>28</v>
      </c>
      <c r="E1984" t="s">
        <v>215</v>
      </c>
      <c r="F1984" t="s">
        <v>28</v>
      </c>
      <c r="H1984" t="s">
        <v>29</v>
      </c>
      <c r="I1984" t="s">
        <v>217</v>
      </c>
      <c r="J1984">
        <v>8</v>
      </c>
      <c r="N1984">
        <f>Таблица1[[#This Row],[Часов на заказчика  в работе]]+Таблица1[[#This Row],[Часов на заказчика  дежурство]]</f>
        <v>0</v>
      </c>
      <c r="O19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4" s="9">
        <v>110000</v>
      </c>
      <c r="R1984" s="9"/>
      <c r="S1984" s="5">
        <v>1</v>
      </c>
      <c r="T19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табеле]])*S1984,0)</f>
        <v>0</v>
      </c>
      <c r="U1984" s="5">
        <f>IF(Таблица1[[#This Row],[ТТН]]&gt;0,Таблица1[[#This Row],[Ставка за ТТН]]*Таблица1[[#This Row],[ТТН]],0)</f>
        <v>0</v>
      </c>
    </row>
    <row r="1985" spans="1:21" x14ac:dyDescent="0.25">
      <c r="A1985" t="s">
        <v>84</v>
      </c>
      <c r="B1985" s="24">
        <v>1</v>
      </c>
      <c r="C1985" t="s">
        <v>160</v>
      </c>
      <c r="D1985" t="s">
        <v>12</v>
      </c>
      <c r="E1985" t="s">
        <v>215</v>
      </c>
      <c r="F1985" t="s">
        <v>68</v>
      </c>
      <c r="H1985" t="s">
        <v>10</v>
      </c>
      <c r="I1985" t="s">
        <v>219</v>
      </c>
      <c r="J1985">
        <v>11</v>
      </c>
      <c r="L1985">
        <v>11</v>
      </c>
      <c r="N1985">
        <f>Таблица1[[#This Row],[Часов на заказчика  в работе]]+Таблица1[[#This Row],[Часов на заказчика  дежурство]]</f>
        <v>11</v>
      </c>
      <c r="O19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5" s="9">
        <v>170000</v>
      </c>
      <c r="R1985" s="9"/>
      <c r="S1985" s="5">
        <v>1</v>
      </c>
      <c r="T19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табеле]])*S1985,0)</f>
        <v>5666.6666666666661</v>
      </c>
      <c r="U1985" s="5">
        <f>IF(Таблица1[[#This Row],[ТТН]]&gt;0,Таблица1[[#This Row],[Ставка за ТТН]]*Таблица1[[#This Row],[ТТН]],0)</f>
        <v>0</v>
      </c>
    </row>
    <row r="1986" spans="1:21" x14ac:dyDescent="0.25">
      <c r="A1986" t="s">
        <v>84</v>
      </c>
      <c r="B1986" s="24">
        <v>2</v>
      </c>
      <c r="C1986" t="s">
        <v>160</v>
      </c>
      <c r="D1986" t="s">
        <v>12</v>
      </c>
      <c r="E1986" t="s">
        <v>215</v>
      </c>
      <c r="F1986" t="s">
        <v>68</v>
      </c>
      <c r="H1986" t="s">
        <v>10</v>
      </c>
      <c r="I1986" t="s">
        <v>219</v>
      </c>
      <c r="J1986">
        <v>11</v>
      </c>
      <c r="L1986">
        <v>11</v>
      </c>
      <c r="N1986">
        <f>Таблица1[[#This Row],[Часов на заказчика  в работе]]+Таблица1[[#This Row],[Часов на заказчика  дежурство]]</f>
        <v>11</v>
      </c>
      <c r="O19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6" s="9">
        <v>170000</v>
      </c>
      <c r="R1986" s="9"/>
      <c r="S1986" s="5">
        <v>1</v>
      </c>
      <c r="T19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табеле]])*S1986,0)</f>
        <v>5666.6666666666661</v>
      </c>
      <c r="U1986" s="5">
        <f>IF(Таблица1[[#This Row],[ТТН]]&gt;0,Таблица1[[#This Row],[Ставка за ТТН]]*Таблица1[[#This Row],[ТТН]],0)</f>
        <v>0</v>
      </c>
    </row>
    <row r="1987" spans="1:21" x14ac:dyDescent="0.25">
      <c r="A1987" t="s">
        <v>84</v>
      </c>
      <c r="B1987" s="24">
        <v>3</v>
      </c>
      <c r="C1987" t="s">
        <v>160</v>
      </c>
      <c r="D1987" t="s">
        <v>12</v>
      </c>
      <c r="E1987" t="s">
        <v>215</v>
      </c>
      <c r="F1987" t="s">
        <v>68</v>
      </c>
      <c r="H1987" t="s">
        <v>10</v>
      </c>
      <c r="I1987" t="s">
        <v>219</v>
      </c>
      <c r="J1987">
        <v>11</v>
      </c>
      <c r="L1987">
        <v>11</v>
      </c>
      <c r="N1987">
        <f>Таблица1[[#This Row],[Часов на заказчика  в работе]]+Таблица1[[#This Row],[Часов на заказчика  дежурство]]</f>
        <v>11</v>
      </c>
      <c r="O19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7" s="9">
        <v>170000</v>
      </c>
      <c r="R1987" s="9"/>
      <c r="S1987" s="5">
        <v>1</v>
      </c>
      <c r="T19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табеле]])*S1987,0)</f>
        <v>5666.6666666666661</v>
      </c>
      <c r="U1987" s="5">
        <f>IF(Таблица1[[#This Row],[ТТН]]&gt;0,Таблица1[[#This Row],[Ставка за ТТН]]*Таблица1[[#This Row],[ТТН]],0)</f>
        <v>0</v>
      </c>
    </row>
    <row r="1988" spans="1:21" x14ac:dyDescent="0.25">
      <c r="A1988" t="s">
        <v>84</v>
      </c>
      <c r="B1988" s="24">
        <v>4</v>
      </c>
      <c r="C1988" t="s">
        <v>160</v>
      </c>
      <c r="D1988" t="s">
        <v>12</v>
      </c>
      <c r="E1988" t="s">
        <v>215</v>
      </c>
      <c r="F1988" t="s">
        <v>68</v>
      </c>
      <c r="H1988" t="s">
        <v>10</v>
      </c>
      <c r="I1988" t="s">
        <v>219</v>
      </c>
      <c r="J1988">
        <v>11</v>
      </c>
      <c r="L1988">
        <v>11</v>
      </c>
      <c r="N1988">
        <f>Таблица1[[#This Row],[Часов на заказчика  в работе]]+Таблица1[[#This Row],[Часов на заказчика  дежурство]]</f>
        <v>11</v>
      </c>
      <c r="O19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8" s="9">
        <v>170000</v>
      </c>
      <c r="R1988" s="9"/>
      <c r="S1988" s="5">
        <v>1</v>
      </c>
      <c r="T19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табеле]])*S1988,0)</f>
        <v>5666.6666666666661</v>
      </c>
      <c r="U1988" s="5">
        <f>IF(Таблица1[[#This Row],[ТТН]]&gt;0,Таблица1[[#This Row],[Ставка за ТТН]]*Таблица1[[#This Row],[ТТН]],0)</f>
        <v>0</v>
      </c>
    </row>
    <row r="1989" spans="1:21" x14ac:dyDescent="0.25">
      <c r="A1989" t="s">
        <v>84</v>
      </c>
      <c r="B1989" s="24">
        <v>5</v>
      </c>
      <c r="C1989" t="s">
        <v>160</v>
      </c>
      <c r="D1989" t="s">
        <v>12</v>
      </c>
      <c r="E1989" t="s">
        <v>215</v>
      </c>
      <c r="F1989" t="s">
        <v>68</v>
      </c>
      <c r="H1989" t="s">
        <v>38</v>
      </c>
      <c r="I1989" t="s">
        <v>219</v>
      </c>
      <c r="J1989">
        <v>11</v>
      </c>
      <c r="L1989">
        <v>11</v>
      </c>
      <c r="N1989">
        <f>Таблица1[[#This Row],[Часов на заказчика  в работе]]+Таблица1[[#This Row],[Часов на заказчика  дежурство]]</f>
        <v>11</v>
      </c>
      <c r="O19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89" s="9">
        <v>170000</v>
      </c>
      <c r="R1989" s="9"/>
      <c r="S1989" s="5">
        <v>1</v>
      </c>
      <c r="T19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табеле]])*S1989,0)</f>
        <v>5666.6666666666661</v>
      </c>
      <c r="U1989" s="5">
        <f>IF(Таблица1[[#This Row],[ТТН]]&gt;0,Таблица1[[#This Row],[Ставка за ТТН]]*Таблица1[[#This Row],[ТТН]],0)</f>
        <v>0</v>
      </c>
    </row>
    <row r="1990" spans="1:21" x14ac:dyDescent="0.25">
      <c r="A1990" t="s">
        <v>84</v>
      </c>
      <c r="B1990" s="24">
        <v>6</v>
      </c>
      <c r="C1990" t="s">
        <v>160</v>
      </c>
      <c r="D1990" t="s">
        <v>12</v>
      </c>
      <c r="E1990" t="s">
        <v>215</v>
      </c>
      <c r="F1990" t="s">
        <v>68</v>
      </c>
      <c r="H1990" t="s">
        <v>38</v>
      </c>
      <c r="I1990" t="s">
        <v>219</v>
      </c>
      <c r="J1990">
        <v>11</v>
      </c>
      <c r="L1990">
        <v>11</v>
      </c>
      <c r="N1990">
        <f>Таблица1[[#This Row],[Часов на заказчика  в работе]]+Таблица1[[#This Row],[Часов на заказчика  дежурство]]</f>
        <v>11</v>
      </c>
      <c r="O19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0" s="9">
        <v>170000</v>
      </c>
      <c r="R1990" s="9"/>
      <c r="S1990" s="5">
        <v>1</v>
      </c>
      <c r="T19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табеле]])*S1990,0)</f>
        <v>5666.6666666666661</v>
      </c>
      <c r="U1990" s="5">
        <f>IF(Таблица1[[#This Row],[ТТН]]&gt;0,Таблица1[[#This Row],[Ставка за ТТН]]*Таблица1[[#This Row],[ТТН]],0)</f>
        <v>0</v>
      </c>
    </row>
    <row r="1991" spans="1:21" x14ac:dyDescent="0.25">
      <c r="A1991" t="s">
        <v>84</v>
      </c>
      <c r="B1991" s="24">
        <v>7</v>
      </c>
      <c r="C1991" t="s">
        <v>160</v>
      </c>
      <c r="D1991" t="s">
        <v>12</v>
      </c>
      <c r="E1991" t="s">
        <v>215</v>
      </c>
      <c r="F1991" t="s">
        <v>68</v>
      </c>
      <c r="H1991" t="s">
        <v>10</v>
      </c>
      <c r="I1991" t="s">
        <v>219</v>
      </c>
      <c r="J1991">
        <v>11</v>
      </c>
      <c r="L1991">
        <v>11</v>
      </c>
      <c r="N1991">
        <f>Таблица1[[#This Row],[Часов на заказчика  в работе]]+Таблица1[[#This Row],[Часов на заказчика  дежурство]]</f>
        <v>11</v>
      </c>
      <c r="O19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1" s="9">
        <v>170000</v>
      </c>
      <c r="R1991" s="9"/>
      <c r="S1991" s="5">
        <v>1</v>
      </c>
      <c r="T19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табеле]])*S1991,0)</f>
        <v>5666.6666666666661</v>
      </c>
      <c r="U1991" s="5">
        <f>IF(Таблица1[[#This Row],[ТТН]]&gt;0,Таблица1[[#This Row],[Ставка за ТТН]]*Таблица1[[#This Row],[ТТН]],0)</f>
        <v>0</v>
      </c>
    </row>
    <row r="1992" spans="1:21" x14ac:dyDescent="0.25">
      <c r="A1992" t="s">
        <v>84</v>
      </c>
      <c r="B1992" s="24">
        <v>8</v>
      </c>
      <c r="C1992" t="s">
        <v>160</v>
      </c>
      <c r="D1992" t="s">
        <v>12</v>
      </c>
      <c r="E1992" t="s">
        <v>215</v>
      </c>
      <c r="F1992" t="s">
        <v>68</v>
      </c>
      <c r="H1992" t="s">
        <v>10</v>
      </c>
      <c r="I1992" t="s">
        <v>219</v>
      </c>
      <c r="J1992">
        <v>11</v>
      </c>
      <c r="L1992">
        <v>11</v>
      </c>
      <c r="N1992">
        <f>Таблица1[[#This Row],[Часов на заказчика  в работе]]+Таблица1[[#This Row],[Часов на заказчика  дежурство]]</f>
        <v>11</v>
      </c>
      <c r="O19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2" s="9">
        <v>170000</v>
      </c>
      <c r="R1992" s="9"/>
      <c r="S1992" s="5">
        <v>1</v>
      </c>
      <c r="T19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табеле]])*S1992,0)</f>
        <v>5666.6666666666661</v>
      </c>
      <c r="U1992" s="5">
        <f>IF(Таблица1[[#This Row],[ТТН]]&gt;0,Таблица1[[#This Row],[Ставка за ТТН]]*Таблица1[[#This Row],[ТТН]],0)</f>
        <v>0</v>
      </c>
    </row>
    <row r="1993" spans="1:21" x14ac:dyDescent="0.25">
      <c r="A1993" t="s">
        <v>84</v>
      </c>
      <c r="B1993" s="24">
        <v>9</v>
      </c>
      <c r="C1993" t="s">
        <v>160</v>
      </c>
      <c r="D1993" t="s">
        <v>12</v>
      </c>
      <c r="E1993" t="s">
        <v>215</v>
      </c>
      <c r="F1993" t="s">
        <v>68</v>
      </c>
      <c r="H1993" t="s">
        <v>10</v>
      </c>
      <c r="I1993" t="s">
        <v>219</v>
      </c>
      <c r="J1993">
        <v>11</v>
      </c>
      <c r="L1993">
        <v>11</v>
      </c>
      <c r="N1993">
        <f>Таблица1[[#This Row],[Часов на заказчика  в работе]]+Таблица1[[#This Row],[Часов на заказчика  дежурство]]</f>
        <v>11</v>
      </c>
      <c r="O19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3" s="9">
        <v>170000</v>
      </c>
      <c r="R1993" s="9"/>
      <c r="S1993" s="5">
        <v>1</v>
      </c>
      <c r="T19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табеле]])*S1993,0)</f>
        <v>5666.6666666666661</v>
      </c>
      <c r="U1993" s="5">
        <f>IF(Таблица1[[#This Row],[ТТН]]&gt;0,Таблица1[[#This Row],[Ставка за ТТН]]*Таблица1[[#This Row],[ТТН]],0)</f>
        <v>0</v>
      </c>
    </row>
    <row r="1994" spans="1:21" x14ac:dyDescent="0.25">
      <c r="A1994" t="s">
        <v>84</v>
      </c>
      <c r="B1994" s="24">
        <v>10</v>
      </c>
      <c r="C1994" t="s">
        <v>160</v>
      </c>
      <c r="D1994" t="s">
        <v>12</v>
      </c>
      <c r="E1994" t="s">
        <v>215</v>
      </c>
      <c r="F1994" t="s">
        <v>68</v>
      </c>
      <c r="H1994" t="s">
        <v>38</v>
      </c>
      <c r="I1994" t="s">
        <v>219</v>
      </c>
      <c r="J1994">
        <v>11</v>
      </c>
      <c r="L1994">
        <v>11</v>
      </c>
      <c r="N1994">
        <f>Таблица1[[#This Row],[Часов на заказчика  в работе]]+Таблица1[[#This Row],[Часов на заказчика  дежурство]]</f>
        <v>11</v>
      </c>
      <c r="O19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4" s="9">
        <v>170000</v>
      </c>
      <c r="R1994" s="9"/>
      <c r="S1994" s="5">
        <v>1</v>
      </c>
      <c r="T19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табеле]])*S1994,0)</f>
        <v>5666.6666666666661</v>
      </c>
      <c r="U1994" s="5">
        <f>IF(Таблица1[[#This Row],[ТТН]]&gt;0,Таблица1[[#This Row],[Ставка за ТТН]]*Таблица1[[#This Row],[ТТН]],0)</f>
        <v>0</v>
      </c>
    </row>
    <row r="1995" spans="1:21" x14ac:dyDescent="0.25">
      <c r="A1995" t="s">
        <v>84</v>
      </c>
      <c r="B1995" s="24">
        <v>11</v>
      </c>
      <c r="C1995" t="s">
        <v>160</v>
      </c>
      <c r="D1995" t="s">
        <v>12</v>
      </c>
      <c r="E1995" t="s">
        <v>215</v>
      </c>
      <c r="F1995" t="s">
        <v>68</v>
      </c>
      <c r="H1995" t="s">
        <v>10</v>
      </c>
      <c r="I1995" t="s">
        <v>219</v>
      </c>
      <c r="J1995">
        <v>11</v>
      </c>
      <c r="L1995">
        <v>11</v>
      </c>
      <c r="N1995">
        <f>Таблица1[[#This Row],[Часов на заказчика  в работе]]+Таблица1[[#This Row],[Часов на заказчика  дежурство]]</f>
        <v>11</v>
      </c>
      <c r="O19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5" s="9">
        <v>170000</v>
      </c>
      <c r="R1995" s="9"/>
      <c r="S1995" s="5">
        <v>1</v>
      </c>
      <c r="T19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табеле]])*S1995,0)</f>
        <v>5666.6666666666661</v>
      </c>
      <c r="U1995" s="5">
        <f>IF(Таблица1[[#This Row],[ТТН]]&gt;0,Таблица1[[#This Row],[Ставка за ТТН]]*Таблица1[[#This Row],[ТТН]],0)</f>
        <v>0</v>
      </c>
    </row>
    <row r="1996" spans="1:21" x14ac:dyDescent="0.25">
      <c r="A1996" t="s">
        <v>84</v>
      </c>
      <c r="B1996" s="24">
        <v>12</v>
      </c>
      <c r="C1996" t="s">
        <v>160</v>
      </c>
      <c r="D1996" t="s">
        <v>12</v>
      </c>
      <c r="E1996" t="s">
        <v>215</v>
      </c>
      <c r="F1996" t="s">
        <v>68</v>
      </c>
      <c r="H1996" t="s">
        <v>10</v>
      </c>
      <c r="I1996" t="s">
        <v>219</v>
      </c>
      <c r="J1996">
        <v>18</v>
      </c>
      <c r="L1996">
        <v>18</v>
      </c>
      <c r="N1996">
        <f>Таблица1[[#This Row],[Часов на заказчика  в работе]]+Таблица1[[#This Row],[Часов на заказчика  дежурство]]</f>
        <v>18</v>
      </c>
      <c r="O19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6" s="9">
        <v>170000</v>
      </c>
      <c r="R1996" s="9"/>
      <c r="S1996" s="5">
        <v>1</v>
      </c>
      <c r="T19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табеле]])*S1996,0)</f>
        <v>9272.7272727272721</v>
      </c>
      <c r="U1996" s="5">
        <f>IF(Таблица1[[#This Row],[ТТН]]&gt;0,Таблица1[[#This Row],[Ставка за ТТН]]*Таблица1[[#This Row],[ТТН]],0)</f>
        <v>0</v>
      </c>
    </row>
    <row r="1997" spans="1:21" x14ac:dyDescent="0.25">
      <c r="A1997" t="s">
        <v>84</v>
      </c>
      <c r="B1997" s="24">
        <v>13</v>
      </c>
      <c r="C1997" t="s">
        <v>160</v>
      </c>
      <c r="D1997" t="s">
        <v>12</v>
      </c>
      <c r="E1997" t="s">
        <v>215</v>
      </c>
      <c r="F1997" t="s">
        <v>68</v>
      </c>
      <c r="H1997" t="s">
        <v>10</v>
      </c>
      <c r="I1997" t="s">
        <v>219</v>
      </c>
      <c r="J1997">
        <v>16</v>
      </c>
      <c r="L1997">
        <v>16</v>
      </c>
      <c r="N1997">
        <f>Таблица1[[#This Row],[Часов на заказчика  в работе]]+Таблица1[[#This Row],[Часов на заказчика  дежурство]]</f>
        <v>16</v>
      </c>
      <c r="O19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7" s="9">
        <v>170000</v>
      </c>
      <c r="R1997" s="9"/>
      <c r="S1997" s="5">
        <v>1</v>
      </c>
      <c r="T19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табеле]])*S1997,0)</f>
        <v>8242.424242424242</v>
      </c>
      <c r="U1997" s="5">
        <f>IF(Таблица1[[#This Row],[ТТН]]&gt;0,Таблица1[[#This Row],[Ставка за ТТН]]*Таблица1[[#This Row],[ТТН]],0)</f>
        <v>0</v>
      </c>
    </row>
    <row r="1998" spans="1:21" x14ac:dyDescent="0.25">
      <c r="A1998" t="s">
        <v>84</v>
      </c>
      <c r="B1998" s="24">
        <v>14</v>
      </c>
      <c r="C1998" t="s">
        <v>160</v>
      </c>
      <c r="D1998" t="s">
        <v>12</v>
      </c>
      <c r="E1998" t="s">
        <v>215</v>
      </c>
      <c r="F1998" t="s">
        <v>68</v>
      </c>
      <c r="H1998" t="s">
        <v>10</v>
      </c>
      <c r="I1998" t="s">
        <v>219</v>
      </c>
      <c r="J1998">
        <v>11</v>
      </c>
      <c r="L1998">
        <v>11</v>
      </c>
      <c r="N1998">
        <f>Таблица1[[#This Row],[Часов на заказчика  в работе]]+Таблица1[[#This Row],[Часов на заказчика  дежурство]]</f>
        <v>11</v>
      </c>
      <c r="O19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8" s="9">
        <v>170000</v>
      </c>
      <c r="R1998" s="9"/>
      <c r="S1998" s="5">
        <v>1</v>
      </c>
      <c r="T19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табеле]])*S1998,0)</f>
        <v>5666.6666666666661</v>
      </c>
      <c r="U1998" s="5">
        <f>IF(Таблица1[[#This Row],[ТТН]]&gt;0,Таблица1[[#This Row],[Ставка за ТТН]]*Таблица1[[#This Row],[ТТН]],0)</f>
        <v>0</v>
      </c>
    </row>
    <row r="1999" spans="1:21" x14ac:dyDescent="0.25">
      <c r="A1999" t="s">
        <v>84</v>
      </c>
      <c r="B1999" s="24">
        <v>15</v>
      </c>
      <c r="C1999" t="s">
        <v>160</v>
      </c>
      <c r="D1999" t="s">
        <v>12</v>
      </c>
      <c r="E1999" t="s">
        <v>215</v>
      </c>
      <c r="F1999" t="s">
        <v>68</v>
      </c>
      <c r="H1999" t="s">
        <v>10</v>
      </c>
      <c r="I1999" t="s">
        <v>219</v>
      </c>
      <c r="J1999">
        <v>11</v>
      </c>
      <c r="L1999">
        <v>11</v>
      </c>
      <c r="N1999">
        <f>Таблица1[[#This Row],[Часов на заказчика  в работе]]+Таблица1[[#This Row],[Часов на заказчика  дежурство]]</f>
        <v>11</v>
      </c>
      <c r="O19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1999" s="9">
        <v>170000</v>
      </c>
      <c r="R1999" s="9"/>
      <c r="S1999" s="5">
        <v>1</v>
      </c>
      <c r="T19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табеле]])*S1999,0)</f>
        <v>5666.6666666666661</v>
      </c>
      <c r="U1999" s="5">
        <f>IF(Таблица1[[#This Row],[ТТН]]&gt;0,Таблица1[[#This Row],[Ставка за ТТН]]*Таблица1[[#This Row],[ТТН]],0)</f>
        <v>0</v>
      </c>
    </row>
    <row r="2000" spans="1:21" x14ac:dyDescent="0.25">
      <c r="A2000" t="s">
        <v>84</v>
      </c>
      <c r="B2000" s="24">
        <v>16</v>
      </c>
      <c r="C2000" t="s">
        <v>160</v>
      </c>
      <c r="D2000" t="s">
        <v>12</v>
      </c>
      <c r="E2000" t="s">
        <v>215</v>
      </c>
      <c r="F2000" t="s">
        <v>68</v>
      </c>
      <c r="H2000" t="s">
        <v>10</v>
      </c>
      <c r="I2000" t="s">
        <v>219</v>
      </c>
      <c r="J2000">
        <v>11</v>
      </c>
      <c r="L2000">
        <v>11</v>
      </c>
      <c r="N2000">
        <f>Таблица1[[#This Row],[Часов на заказчика  в работе]]+Таблица1[[#This Row],[Часов на заказчика  дежурство]]</f>
        <v>11</v>
      </c>
      <c r="O20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0" s="9">
        <v>170000</v>
      </c>
      <c r="R2000" s="9"/>
      <c r="S2000" s="5">
        <v>1</v>
      </c>
      <c r="T20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табеле]])*S2000,0)</f>
        <v>5666.6666666666661</v>
      </c>
      <c r="U2000" s="5">
        <f>IF(Таблица1[[#This Row],[ТТН]]&gt;0,Таблица1[[#This Row],[Ставка за ТТН]]*Таблица1[[#This Row],[ТТН]],0)</f>
        <v>0</v>
      </c>
    </row>
    <row r="2001" spans="1:21" x14ac:dyDescent="0.25">
      <c r="A2001" t="s">
        <v>84</v>
      </c>
      <c r="B2001" s="24">
        <v>17</v>
      </c>
      <c r="C2001" t="s">
        <v>160</v>
      </c>
      <c r="D2001" t="s">
        <v>12</v>
      </c>
      <c r="E2001" t="s">
        <v>215</v>
      </c>
      <c r="F2001" t="s">
        <v>68</v>
      </c>
      <c r="H2001" t="s">
        <v>10</v>
      </c>
      <c r="I2001" t="s">
        <v>219</v>
      </c>
      <c r="J2001">
        <v>11</v>
      </c>
      <c r="L2001">
        <v>11</v>
      </c>
      <c r="N2001">
        <f>Таблица1[[#This Row],[Часов на заказчика  в работе]]+Таблица1[[#This Row],[Часов на заказчика  дежурство]]</f>
        <v>11</v>
      </c>
      <c r="O20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1" s="9">
        <v>170000</v>
      </c>
      <c r="R2001" s="9"/>
      <c r="S2001" s="5">
        <v>1</v>
      </c>
      <c r="T20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табеле]])*S2001,0)</f>
        <v>5666.6666666666661</v>
      </c>
      <c r="U2001" s="5">
        <f>IF(Таблица1[[#This Row],[ТТН]]&gt;0,Таблица1[[#This Row],[Ставка за ТТН]]*Таблица1[[#This Row],[ТТН]],0)</f>
        <v>0</v>
      </c>
    </row>
    <row r="2002" spans="1:21" x14ac:dyDescent="0.25">
      <c r="A2002" t="s">
        <v>84</v>
      </c>
      <c r="B2002" s="24">
        <v>18</v>
      </c>
      <c r="C2002" t="s">
        <v>160</v>
      </c>
      <c r="D2002" t="s">
        <v>12</v>
      </c>
      <c r="E2002" t="s">
        <v>215</v>
      </c>
      <c r="F2002" t="s">
        <v>68</v>
      </c>
      <c r="H2002" t="s">
        <v>10</v>
      </c>
      <c r="I2002" t="s">
        <v>219</v>
      </c>
      <c r="J2002">
        <v>11</v>
      </c>
      <c r="L2002">
        <v>11</v>
      </c>
      <c r="N2002">
        <f>Таблица1[[#This Row],[Часов на заказчика  в работе]]+Таблица1[[#This Row],[Часов на заказчика  дежурство]]</f>
        <v>11</v>
      </c>
      <c r="O20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2" s="9">
        <v>170000</v>
      </c>
      <c r="R2002" s="9"/>
      <c r="S2002" s="5">
        <v>1</v>
      </c>
      <c r="T20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табеле]])*S2002,0)</f>
        <v>5666.6666666666661</v>
      </c>
      <c r="U2002" s="5">
        <f>IF(Таблица1[[#This Row],[ТТН]]&gt;0,Таблица1[[#This Row],[Ставка за ТТН]]*Таблица1[[#This Row],[ТТН]],0)</f>
        <v>0</v>
      </c>
    </row>
    <row r="2003" spans="1:21" x14ac:dyDescent="0.25">
      <c r="A2003" t="s">
        <v>84</v>
      </c>
      <c r="B2003" s="24">
        <v>19</v>
      </c>
      <c r="C2003" t="s">
        <v>160</v>
      </c>
      <c r="D2003" t="s">
        <v>12</v>
      </c>
      <c r="E2003" t="s">
        <v>215</v>
      </c>
      <c r="F2003" t="s">
        <v>68</v>
      </c>
      <c r="H2003" t="s">
        <v>10</v>
      </c>
      <c r="I2003" t="s">
        <v>219</v>
      </c>
      <c r="J2003">
        <v>22</v>
      </c>
      <c r="L2003">
        <v>22</v>
      </c>
      <c r="N2003">
        <f>Таблица1[[#This Row],[Часов на заказчика  в работе]]+Таблица1[[#This Row],[Часов на заказчика  дежурство]]</f>
        <v>22</v>
      </c>
      <c r="O20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3" s="9">
        <v>170000</v>
      </c>
      <c r="R2003" s="9"/>
      <c r="S2003" s="5">
        <v>1</v>
      </c>
      <c r="T20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табеле]])*S2003,0)</f>
        <v>11333.333333333332</v>
      </c>
      <c r="U2003" s="5">
        <f>IF(Таблица1[[#This Row],[ТТН]]&gt;0,Таблица1[[#This Row],[Ставка за ТТН]]*Таблица1[[#This Row],[ТТН]],0)</f>
        <v>0</v>
      </c>
    </row>
    <row r="2004" spans="1:21" x14ac:dyDescent="0.25">
      <c r="A2004" t="s">
        <v>84</v>
      </c>
      <c r="B2004" s="24">
        <v>20</v>
      </c>
      <c r="C2004" t="s">
        <v>160</v>
      </c>
      <c r="D2004" t="s">
        <v>12</v>
      </c>
      <c r="E2004" t="s">
        <v>215</v>
      </c>
      <c r="F2004" t="s">
        <v>68</v>
      </c>
      <c r="H2004" t="s">
        <v>10</v>
      </c>
      <c r="I2004" t="s">
        <v>219</v>
      </c>
      <c r="J2004">
        <v>22</v>
      </c>
      <c r="L2004">
        <v>22</v>
      </c>
      <c r="N2004">
        <f>Таблица1[[#This Row],[Часов на заказчика  в работе]]+Таблица1[[#This Row],[Часов на заказчика  дежурство]]</f>
        <v>22</v>
      </c>
      <c r="O20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4" s="9">
        <v>170000</v>
      </c>
      <c r="R2004" s="9"/>
      <c r="S2004" s="5">
        <v>1</v>
      </c>
      <c r="T20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табеле]])*S2004,0)</f>
        <v>11333.333333333332</v>
      </c>
      <c r="U2004" s="5">
        <f>IF(Таблица1[[#This Row],[ТТН]]&gt;0,Таблица1[[#This Row],[Ставка за ТТН]]*Таблица1[[#This Row],[ТТН]],0)</f>
        <v>0</v>
      </c>
    </row>
    <row r="2005" spans="1:21" x14ac:dyDescent="0.25">
      <c r="A2005" t="s">
        <v>84</v>
      </c>
      <c r="B2005" s="24">
        <v>21</v>
      </c>
      <c r="C2005" t="s">
        <v>160</v>
      </c>
      <c r="D2005" t="s">
        <v>12</v>
      </c>
      <c r="E2005" t="s">
        <v>215</v>
      </c>
      <c r="F2005" t="s">
        <v>68</v>
      </c>
      <c r="H2005" t="s">
        <v>10</v>
      </c>
      <c r="I2005" t="s">
        <v>219</v>
      </c>
      <c r="J2005">
        <v>11</v>
      </c>
      <c r="L2005">
        <v>11</v>
      </c>
      <c r="N2005">
        <f>Таблица1[[#This Row],[Часов на заказчика  в работе]]+Таблица1[[#This Row],[Часов на заказчика  дежурство]]</f>
        <v>11</v>
      </c>
      <c r="O20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5" s="9">
        <v>170000</v>
      </c>
      <c r="R2005" s="9"/>
      <c r="S2005" s="5">
        <v>1</v>
      </c>
      <c r="T20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табеле]])*S2005,0)</f>
        <v>5666.6666666666661</v>
      </c>
      <c r="U2005" s="5">
        <f>IF(Таблица1[[#This Row],[ТТН]]&gt;0,Таблица1[[#This Row],[Ставка за ТТН]]*Таблица1[[#This Row],[ТТН]],0)</f>
        <v>0</v>
      </c>
    </row>
    <row r="2006" spans="1:21" x14ac:dyDescent="0.25">
      <c r="A2006" t="s">
        <v>84</v>
      </c>
      <c r="B2006" s="24">
        <v>22</v>
      </c>
      <c r="C2006" t="s">
        <v>160</v>
      </c>
      <c r="D2006" t="s">
        <v>12</v>
      </c>
      <c r="E2006" t="s">
        <v>215</v>
      </c>
      <c r="F2006" t="s">
        <v>68</v>
      </c>
      <c r="H2006" t="s">
        <v>10</v>
      </c>
      <c r="I2006" t="s">
        <v>219</v>
      </c>
      <c r="J2006">
        <v>11</v>
      </c>
      <c r="L2006">
        <v>11</v>
      </c>
      <c r="N2006">
        <f>Таблица1[[#This Row],[Часов на заказчика  в работе]]+Таблица1[[#This Row],[Часов на заказчика  дежурство]]</f>
        <v>11</v>
      </c>
      <c r="O20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6" s="9">
        <v>170000</v>
      </c>
      <c r="R2006" s="9"/>
      <c r="S2006" s="5">
        <v>1</v>
      </c>
      <c r="T20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табеле]])*S2006,0)</f>
        <v>5666.6666666666661</v>
      </c>
      <c r="U2006" s="5">
        <f>IF(Таблица1[[#This Row],[ТТН]]&gt;0,Таблица1[[#This Row],[Ставка за ТТН]]*Таблица1[[#This Row],[ТТН]],0)</f>
        <v>0</v>
      </c>
    </row>
    <row r="2007" spans="1:21" x14ac:dyDescent="0.25">
      <c r="A2007" t="s">
        <v>84</v>
      </c>
      <c r="B2007" s="24">
        <v>23</v>
      </c>
      <c r="C2007" t="s">
        <v>160</v>
      </c>
      <c r="D2007" t="s">
        <v>12</v>
      </c>
      <c r="E2007" t="s">
        <v>215</v>
      </c>
      <c r="F2007" t="s">
        <v>68</v>
      </c>
      <c r="H2007" t="s">
        <v>10</v>
      </c>
      <c r="I2007" t="s">
        <v>219</v>
      </c>
      <c r="J2007">
        <v>11</v>
      </c>
      <c r="L2007">
        <v>11</v>
      </c>
      <c r="N2007">
        <f>Таблица1[[#This Row],[Часов на заказчика  в работе]]+Таблица1[[#This Row],[Часов на заказчика  дежурство]]</f>
        <v>11</v>
      </c>
      <c r="O20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7" s="9">
        <v>170000</v>
      </c>
      <c r="R2007" s="9"/>
      <c r="S2007" s="5">
        <v>1</v>
      </c>
      <c r="T20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табеле]])*S2007,0)</f>
        <v>5666.6666666666661</v>
      </c>
      <c r="U2007" s="5">
        <f>IF(Таблица1[[#This Row],[ТТН]]&gt;0,Таблица1[[#This Row],[Ставка за ТТН]]*Таблица1[[#This Row],[ТТН]],0)</f>
        <v>0</v>
      </c>
    </row>
    <row r="2008" spans="1:21" x14ac:dyDescent="0.25">
      <c r="A2008" t="s">
        <v>84</v>
      </c>
      <c r="B2008" s="24">
        <v>24</v>
      </c>
      <c r="C2008" t="s">
        <v>160</v>
      </c>
      <c r="D2008" t="s">
        <v>12</v>
      </c>
      <c r="E2008" t="s">
        <v>215</v>
      </c>
      <c r="F2008" t="s">
        <v>68</v>
      </c>
      <c r="H2008" t="s">
        <v>10</v>
      </c>
      <c r="I2008" t="s">
        <v>219</v>
      </c>
      <c r="J2008">
        <v>11</v>
      </c>
      <c r="L2008">
        <v>11</v>
      </c>
      <c r="N2008">
        <f>Таблица1[[#This Row],[Часов на заказчика  в работе]]+Таблица1[[#This Row],[Часов на заказчика  дежурство]]</f>
        <v>11</v>
      </c>
      <c r="O20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8" s="9">
        <v>170000</v>
      </c>
      <c r="R2008" s="9"/>
      <c r="S2008" s="5">
        <v>1</v>
      </c>
      <c r="T20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табеле]])*S2008,0)</f>
        <v>5666.6666666666661</v>
      </c>
      <c r="U2008" s="5">
        <f>IF(Таблица1[[#This Row],[ТТН]]&gt;0,Таблица1[[#This Row],[Ставка за ТТН]]*Таблица1[[#This Row],[ТТН]],0)</f>
        <v>0</v>
      </c>
    </row>
    <row r="2009" spans="1:21" x14ac:dyDescent="0.25">
      <c r="A2009" t="s">
        <v>84</v>
      </c>
      <c r="B2009" s="24">
        <v>25</v>
      </c>
      <c r="C2009" t="s">
        <v>160</v>
      </c>
      <c r="D2009" t="s">
        <v>12</v>
      </c>
      <c r="E2009" t="s">
        <v>215</v>
      </c>
      <c r="F2009" t="s">
        <v>68</v>
      </c>
      <c r="H2009" t="s">
        <v>10</v>
      </c>
      <c r="I2009" t="s">
        <v>219</v>
      </c>
      <c r="J2009">
        <v>11</v>
      </c>
      <c r="L2009">
        <v>11</v>
      </c>
      <c r="N2009">
        <f>Таблица1[[#This Row],[Часов на заказчика  в работе]]+Таблица1[[#This Row],[Часов на заказчика  дежурство]]</f>
        <v>11</v>
      </c>
      <c r="O20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09" s="9">
        <v>170000</v>
      </c>
      <c r="R2009" s="9"/>
      <c r="S2009" s="5">
        <v>1</v>
      </c>
      <c r="T20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табеле]])*S2009,0)</f>
        <v>5666.6666666666661</v>
      </c>
      <c r="U2009" s="5">
        <f>IF(Таблица1[[#This Row],[ТТН]]&gt;0,Таблица1[[#This Row],[Ставка за ТТН]]*Таблица1[[#This Row],[ТТН]],0)</f>
        <v>0</v>
      </c>
    </row>
    <row r="2010" spans="1:21" x14ac:dyDescent="0.25">
      <c r="A2010" t="s">
        <v>84</v>
      </c>
      <c r="B2010" s="24">
        <v>26</v>
      </c>
      <c r="C2010" t="s">
        <v>160</v>
      </c>
      <c r="D2010" t="s">
        <v>12</v>
      </c>
      <c r="E2010" t="s">
        <v>215</v>
      </c>
      <c r="F2010" t="s">
        <v>68</v>
      </c>
      <c r="H2010" t="s">
        <v>10</v>
      </c>
      <c r="I2010" t="s">
        <v>219</v>
      </c>
      <c r="J2010">
        <v>22</v>
      </c>
      <c r="L2010">
        <v>22</v>
      </c>
      <c r="N2010">
        <f>Таблица1[[#This Row],[Часов на заказчика  в работе]]+Таблица1[[#This Row],[Часов на заказчика  дежурство]]</f>
        <v>22</v>
      </c>
      <c r="O20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0" s="9">
        <v>170000</v>
      </c>
      <c r="R2010" s="9"/>
      <c r="S2010" s="5">
        <v>1</v>
      </c>
      <c r="T20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табеле]])*S2010,0)</f>
        <v>11333.333333333332</v>
      </c>
      <c r="U2010" s="5">
        <f>IF(Таблица1[[#This Row],[ТТН]]&gt;0,Таблица1[[#This Row],[Ставка за ТТН]]*Таблица1[[#This Row],[ТТН]],0)</f>
        <v>0</v>
      </c>
    </row>
    <row r="2011" spans="1:21" x14ac:dyDescent="0.25">
      <c r="A2011" t="s">
        <v>84</v>
      </c>
      <c r="B2011" s="24">
        <v>27</v>
      </c>
      <c r="C2011" t="s">
        <v>160</v>
      </c>
      <c r="D2011" t="s">
        <v>12</v>
      </c>
      <c r="E2011" t="s">
        <v>215</v>
      </c>
      <c r="F2011" t="s">
        <v>68</v>
      </c>
      <c r="H2011" t="s">
        <v>10</v>
      </c>
      <c r="I2011" t="s">
        <v>219</v>
      </c>
      <c r="J2011">
        <v>11</v>
      </c>
      <c r="L2011">
        <v>11</v>
      </c>
      <c r="N2011">
        <f>Таблица1[[#This Row],[Часов на заказчика  в работе]]+Таблица1[[#This Row],[Часов на заказчика  дежурство]]</f>
        <v>11</v>
      </c>
      <c r="O20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1" s="9">
        <v>170000</v>
      </c>
      <c r="R2011" s="9"/>
      <c r="S2011" s="5">
        <v>1</v>
      </c>
      <c r="T20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табеле]])*S2011,0)</f>
        <v>5666.6666666666661</v>
      </c>
      <c r="U2011" s="5">
        <f>IF(Таблица1[[#This Row],[ТТН]]&gt;0,Таблица1[[#This Row],[Ставка за ТТН]]*Таблица1[[#This Row],[ТТН]],0)</f>
        <v>0</v>
      </c>
    </row>
    <row r="2012" spans="1:21" x14ac:dyDescent="0.25">
      <c r="A2012" t="s">
        <v>84</v>
      </c>
      <c r="B2012" s="24">
        <v>28</v>
      </c>
      <c r="C2012" t="s">
        <v>160</v>
      </c>
      <c r="D2012" t="s">
        <v>12</v>
      </c>
      <c r="E2012" t="s">
        <v>215</v>
      </c>
      <c r="F2012" t="s">
        <v>68</v>
      </c>
      <c r="H2012" t="s">
        <v>10</v>
      </c>
      <c r="I2012" t="s">
        <v>219</v>
      </c>
      <c r="J2012">
        <v>11</v>
      </c>
      <c r="L2012">
        <v>11</v>
      </c>
      <c r="N2012">
        <f>Таблица1[[#This Row],[Часов на заказчика  в работе]]+Таблица1[[#This Row],[Часов на заказчика  дежурство]]</f>
        <v>11</v>
      </c>
      <c r="O20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2" s="9">
        <v>170000</v>
      </c>
      <c r="R2012" s="9"/>
      <c r="S2012" s="5">
        <v>1</v>
      </c>
      <c r="T20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табеле]])*S2012,0)</f>
        <v>5666.6666666666661</v>
      </c>
      <c r="U2012" s="5">
        <f>IF(Таблица1[[#This Row],[ТТН]]&gt;0,Таблица1[[#This Row],[Ставка за ТТН]]*Таблица1[[#This Row],[ТТН]],0)</f>
        <v>0</v>
      </c>
    </row>
    <row r="2013" spans="1:21" x14ac:dyDescent="0.25">
      <c r="A2013" t="s">
        <v>84</v>
      </c>
      <c r="B2013" s="24">
        <v>29</v>
      </c>
      <c r="C2013" t="s">
        <v>160</v>
      </c>
      <c r="D2013" t="s">
        <v>12</v>
      </c>
      <c r="E2013" t="s">
        <v>215</v>
      </c>
      <c r="F2013" t="s">
        <v>68</v>
      </c>
      <c r="H2013" t="s">
        <v>10</v>
      </c>
      <c r="I2013" t="s">
        <v>219</v>
      </c>
      <c r="J2013">
        <v>22</v>
      </c>
      <c r="L2013">
        <v>22</v>
      </c>
      <c r="N2013">
        <f>Таблица1[[#This Row],[Часов на заказчика  в работе]]+Таблица1[[#This Row],[Часов на заказчика  дежурство]]</f>
        <v>22</v>
      </c>
      <c r="O20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3" s="9">
        <v>170000</v>
      </c>
      <c r="R2013" s="9"/>
      <c r="S2013" s="5">
        <v>1</v>
      </c>
      <c r="T20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табеле]])*S2013,0)</f>
        <v>11333.333333333332</v>
      </c>
      <c r="U2013" s="5">
        <f>IF(Таблица1[[#This Row],[ТТН]]&gt;0,Таблица1[[#This Row],[Ставка за ТТН]]*Таблица1[[#This Row],[ТТН]],0)</f>
        <v>0</v>
      </c>
    </row>
    <row r="2014" spans="1:21" x14ac:dyDescent="0.25">
      <c r="A2014" t="s">
        <v>84</v>
      </c>
      <c r="B2014" s="24">
        <v>30</v>
      </c>
      <c r="C2014" t="s">
        <v>138</v>
      </c>
      <c r="D2014" t="s">
        <v>12</v>
      </c>
      <c r="E2014" t="s">
        <v>215</v>
      </c>
      <c r="F2014" t="s">
        <v>68</v>
      </c>
      <c r="H2014" t="s">
        <v>23</v>
      </c>
      <c r="I2014" t="s">
        <v>217</v>
      </c>
      <c r="J2014">
        <v>11</v>
      </c>
      <c r="L2014">
        <v>11</v>
      </c>
      <c r="N2014">
        <f>Таблица1[[#This Row],[Часов на заказчика  в работе]]+Таблица1[[#This Row],[Часов на заказчика  дежурство]]</f>
        <v>11</v>
      </c>
      <c r="O20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4" s="9">
        <v>170000</v>
      </c>
      <c r="R2014" s="9"/>
      <c r="S2014" s="5">
        <v>1</v>
      </c>
      <c r="T20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табеле]])*S2014,0)</f>
        <v>5666.6666666666661</v>
      </c>
      <c r="U2014" s="5">
        <f>IF(Таблица1[[#This Row],[ТТН]]&gt;0,Таблица1[[#This Row],[Ставка за ТТН]]*Таблица1[[#This Row],[ТТН]],0)</f>
        <v>0</v>
      </c>
    </row>
    <row r="2015" spans="1:21" x14ac:dyDescent="0.25">
      <c r="A2015" t="s">
        <v>84</v>
      </c>
      <c r="B2015" s="24">
        <v>1</v>
      </c>
      <c r="C2015" t="s">
        <v>138</v>
      </c>
      <c r="D2015" t="s">
        <v>35</v>
      </c>
      <c r="E2015" t="s">
        <v>215</v>
      </c>
      <c r="F2015" t="s">
        <v>36</v>
      </c>
      <c r="H2015" t="s">
        <v>44</v>
      </c>
      <c r="I2015" t="s">
        <v>217</v>
      </c>
      <c r="J2015">
        <v>1</v>
      </c>
      <c r="N2015">
        <f>Таблица1[[#This Row],[Часов на заказчика  в работе]]+Таблица1[[#This Row],[Часов на заказчика  дежурство]]</f>
        <v>0</v>
      </c>
      <c r="O20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5" s="9">
        <v>200000</v>
      </c>
      <c r="R2015" s="9"/>
      <c r="S2015" s="5">
        <v>1</v>
      </c>
      <c r="T20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табеле]])*S2015,0)</f>
        <v>0</v>
      </c>
      <c r="U2015" s="5">
        <f>IF(Таблица1[[#This Row],[ТТН]]&gt;0,Таблица1[[#This Row],[Ставка за ТТН]]*Таблица1[[#This Row],[ТТН]],0)</f>
        <v>0</v>
      </c>
    </row>
    <row r="2016" spans="1:21" x14ac:dyDescent="0.25">
      <c r="A2016" t="s">
        <v>84</v>
      </c>
      <c r="B2016" s="24">
        <v>2</v>
      </c>
      <c r="C2016" t="s">
        <v>138</v>
      </c>
      <c r="D2016" t="s">
        <v>35</v>
      </c>
      <c r="E2016" t="s">
        <v>215</v>
      </c>
      <c r="F2016" t="s">
        <v>36</v>
      </c>
      <c r="H2016" t="s">
        <v>44</v>
      </c>
      <c r="I2016" t="s">
        <v>217</v>
      </c>
      <c r="J2016">
        <v>1</v>
      </c>
      <c r="N2016">
        <f>Таблица1[[#This Row],[Часов на заказчика  в работе]]+Таблица1[[#This Row],[Часов на заказчика  дежурство]]</f>
        <v>0</v>
      </c>
      <c r="O20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6" s="9">
        <v>200000</v>
      </c>
      <c r="R2016" s="9"/>
      <c r="S2016" s="5">
        <v>1</v>
      </c>
      <c r="T20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табеле]])*S2016,0)</f>
        <v>0</v>
      </c>
      <c r="U2016" s="5">
        <f>IF(Таблица1[[#This Row],[ТТН]]&gt;0,Таблица1[[#This Row],[Ставка за ТТН]]*Таблица1[[#This Row],[ТТН]],0)</f>
        <v>0</v>
      </c>
    </row>
    <row r="2017" spans="1:21" x14ac:dyDescent="0.25">
      <c r="A2017" t="s">
        <v>84</v>
      </c>
      <c r="B2017" s="24">
        <v>3</v>
      </c>
      <c r="C2017" t="s">
        <v>138</v>
      </c>
      <c r="D2017" t="s">
        <v>35</v>
      </c>
      <c r="E2017" t="s">
        <v>215</v>
      </c>
      <c r="F2017" t="s">
        <v>36</v>
      </c>
      <c r="H2017" t="s">
        <v>44</v>
      </c>
      <c r="I2017" t="s">
        <v>217</v>
      </c>
      <c r="J2017">
        <v>1</v>
      </c>
      <c r="N2017">
        <f>Таблица1[[#This Row],[Часов на заказчика  в работе]]+Таблица1[[#This Row],[Часов на заказчика  дежурство]]</f>
        <v>0</v>
      </c>
      <c r="O20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7" s="9">
        <v>200000</v>
      </c>
      <c r="R2017" s="9"/>
      <c r="S2017" s="5">
        <v>1</v>
      </c>
      <c r="T20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табеле]])*S2017,0)</f>
        <v>0</v>
      </c>
      <c r="U2017" s="5">
        <f>IF(Таблица1[[#This Row],[ТТН]]&gt;0,Таблица1[[#This Row],[Ставка за ТТН]]*Таблица1[[#This Row],[ТТН]],0)</f>
        <v>0</v>
      </c>
    </row>
    <row r="2018" spans="1:21" x14ac:dyDescent="0.25">
      <c r="A2018" t="s">
        <v>84</v>
      </c>
      <c r="B2018" s="24">
        <v>4</v>
      </c>
      <c r="C2018" t="s">
        <v>138</v>
      </c>
      <c r="D2018" t="s">
        <v>35</v>
      </c>
      <c r="E2018" t="s">
        <v>215</v>
      </c>
      <c r="F2018" t="s">
        <v>36</v>
      </c>
      <c r="H2018" t="s">
        <v>44</v>
      </c>
      <c r="I2018" t="s">
        <v>217</v>
      </c>
      <c r="J2018">
        <v>1</v>
      </c>
      <c r="N2018">
        <f>Таблица1[[#This Row],[Часов на заказчика  в работе]]+Таблица1[[#This Row],[Часов на заказчика  дежурство]]</f>
        <v>0</v>
      </c>
      <c r="O20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8" s="9">
        <v>200000</v>
      </c>
      <c r="R2018" s="9"/>
      <c r="S2018" s="5">
        <v>1</v>
      </c>
      <c r="T20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табеле]])*S2018,0)</f>
        <v>0</v>
      </c>
      <c r="U2018" s="5">
        <f>IF(Таблица1[[#This Row],[ТТН]]&gt;0,Таблица1[[#This Row],[Ставка за ТТН]]*Таблица1[[#This Row],[ТТН]],0)</f>
        <v>0</v>
      </c>
    </row>
    <row r="2019" spans="1:21" x14ac:dyDescent="0.25">
      <c r="A2019" t="s">
        <v>84</v>
      </c>
      <c r="B2019" s="24">
        <v>5</v>
      </c>
      <c r="C2019" t="s">
        <v>138</v>
      </c>
      <c r="D2019" t="s">
        <v>35</v>
      </c>
      <c r="E2019" t="s">
        <v>215</v>
      </c>
      <c r="F2019" t="s">
        <v>36</v>
      </c>
      <c r="H2019" t="s">
        <v>44</v>
      </c>
      <c r="I2019" t="s">
        <v>217</v>
      </c>
      <c r="J2019">
        <v>1</v>
      </c>
      <c r="N2019">
        <f>Таблица1[[#This Row],[Часов на заказчика  в работе]]+Таблица1[[#This Row],[Часов на заказчика  дежурство]]</f>
        <v>0</v>
      </c>
      <c r="O20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19" s="9">
        <v>200000</v>
      </c>
      <c r="R2019" s="9"/>
      <c r="S2019" s="5">
        <v>1</v>
      </c>
      <c r="T20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табеле]])*S2019,0)</f>
        <v>0</v>
      </c>
      <c r="U2019" s="5">
        <f>IF(Таблица1[[#This Row],[ТТН]]&gt;0,Таблица1[[#This Row],[Ставка за ТТН]]*Таблица1[[#This Row],[ТТН]],0)</f>
        <v>0</v>
      </c>
    </row>
    <row r="2020" spans="1:21" x14ac:dyDescent="0.25">
      <c r="A2020" t="s">
        <v>84</v>
      </c>
      <c r="B2020" s="24">
        <v>6</v>
      </c>
      <c r="C2020" t="s">
        <v>138</v>
      </c>
      <c r="D2020" t="s">
        <v>35</v>
      </c>
      <c r="E2020" t="s">
        <v>215</v>
      </c>
      <c r="F2020" t="s">
        <v>36</v>
      </c>
      <c r="H2020" t="s">
        <v>44</v>
      </c>
      <c r="I2020" t="s">
        <v>217</v>
      </c>
      <c r="J2020">
        <v>1</v>
      </c>
      <c r="N2020">
        <f>Таблица1[[#This Row],[Часов на заказчика  в работе]]+Таблица1[[#This Row],[Часов на заказчика  дежурство]]</f>
        <v>0</v>
      </c>
      <c r="O20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0" s="9">
        <v>200000</v>
      </c>
      <c r="R2020" s="9"/>
      <c r="S2020" s="5">
        <v>1</v>
      </c>
      <c r="T20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табеле]])*S2020,0)</f>
        <v>0</v>
      </c>
      <c r="U2020" s="5">
        <f>IF(Таблица1[[#This Row],[ТТН]]&gt;0,Таблица1[[#This Row],[Ставка за ТТН]]*Таблица1[[#This Row],[ТТН]],0)</f>
        <v>0</v>
      </c>
    </row>
    <row r="2021" spans="1:21" x14ac:dyDescent="0.25">
      <c r="A2021" t="s">
        <v>84</v>
      </c>
      <c r="B2021" s="24">
        <v>7</v>
      </c>
      <c r="C2021" t="s">
        <v>138</v>
      </c>
      <c r="D2021" t="s">
        <v>35</v>
      </c>
      <c r="E2021" t="s">
        <v>215</v>
      </c>
      <c r="F2021" t="s">
        <v>36</v>
      </c>
      <c r="H2021" t="s">
        <v>44</v>
      </c>
      <c r="I2021" t="s">
        <v>217</v>
      </c>
      <c r="J2021">
        <v>1</v>
      </c>
      <c r="N2021">
        <f>Таблица1[[#This Row],[Часов на заказчика  в работе]]+Таблица1[[#This Row],[Часов на заказчика  дежурство]]</f>
        <v>0</v>
      </c>
      <c r="O20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1" s="9">
        <v>200000</v>
      </c>
      <c r="R2021" s="9"/>
      <c r="S2021" s="5">
        <v>1</v>
      </c>
      <c r="T20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табеле]])*S2021,0)</f>
        <v>0</v>
      </c>
      <c r="U2021" s="5">
        <f>IF(Таблица1[[#This Row],[ТТН]]&gt;0,Таблица1[[#This Row],[Ставка за ТТН]]*Таблица1[[#This Row],[ТТН]],0)</f>
        <v>0</v>
      </c>
    </row>
    <row r="2022" spans="1:21" x14ac:dyDescent="0.25">
      <c r="A2022" t="s">
        <v>84</v>
      </c>
      <c r="B2022" s="24">
        <v>8</v>
      </c>
      <c r="C2022" t="s">
        <v>138</v>
      </c>
      <c r="D2022" t="s">
        <v>35</v>
      </c>
      <c r="E2022" t="s">
        <v>215</v>
      </c>
      <c r="F2022" t="s">
        <v>36</v>
      </c>
      <c r="H2022" t="s">
        <v>44</v>
      </c>
      <c r="I2022" t="s">
        <v>217</v>
      </c>
      <c r="J2022">
        <v>1</v>
      </c>
      <c r="N2022">
        <f>Таблица1[[#This Row],[Часов на заказчика  в работе]]+Таблица1[[#This Row],[Часов на заказчика  дежурство]]</f>
        <v>0</v>
      </c>
      <c r="O20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2" s="9">
        <v>200000</v>
      </c>
      <c r="R2022" s="9"/>
      <c r="S2022" s="5">
        <v>1</v>
      </c>
      <c r="T20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табеле]])*S2022,0)</f>
        <v>0</v>
      </c>
      <c r="U2022" s="5">
        <f>IF(Таблица1[[#This Row],[ТТН]]&gt;0,Таблица1[[#This Row],[Ставка за ТТН]]*Таблица1[[#This Row],[ТТН]],0)</f>
        <v>0</v>
      </c>
    </row>
    <row r="2023" spans="1:21" x14ac:dyDescent="0.25">
      <c r="A2023" t="s">
        <v>84</v>
      </c>
      <c r="B2023" s="24">
        <v>9</v>
      </c>
      <c r="C2023" t="s">
        <v>138</v>
      </c>
      <c r="D2023" t="s">
        <v>35</v>
      </c>
      <c r="E2023" t="s">
        <v>215</v>
      </c>
      <c r="F2023" t="s">
        <v>36</v>
      </c>
      <c r="H2023" t="s">
        <v>24</v>
      </c>
      <c r="I2023" t="s">
        <v>217</v>
      </c>
      <c r="J2023">
        <v>8</v>
      </c>
      <c r="N2023">
        <f>Таблица1[[#This Row],[Часов на заказчика  в работе]]+Таблица1[[#This Row],[Часов на заказчика  дежурство]]</f>
        <v>0</v>
      </c>
      <c r="O20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3" s="9">
        <v>200000</v>
      </c>
      <c r="R2023" s="9"/>
      <c r="S2023" s="5">
        <v>1</v>
      </c>
      <c r="T20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табеле]])*S2023,0)</f>
        <v>0</v>
      </c>
      <c r="U2023" s="5">
        <f>IF(Таблица1[[#This Row],[ТТН]]&gt;0,Таблица1[[#This Row],[Ставка за ТТН]]*Таблица1[[#This Row],[ТТН]],0)</f>
        <v>0</v>
      </c>
    </row>
    <row r="2024" spans="1:21" x14ac:dyDescent="0.25">
      <c r="A2024" t="s">
        <v>84</v>
      </c>
      <c r="B2024" s="24">
        <v>10</v>
      </c>
      <c r="C2024" t="s">
        <v>138</v>
      </c>
      <c r="D2024" t="s">
        <v>35</v>
      </c>
      <c r="E2024" t="s">
        <v>215</v>
      </c>
      <c r="F2024" t="s">
        <v>36</v>
      </c>
      <c r="H2024" t="s">
        <v>24</v>
      </c>
      <c r="I2024" t="s">
        <v>217</v>
      </c>
      <c r="J2024">
        <v>8</v>
      </c>
      <c r="N2024">
        <f>Таблица1[[#This Row],[Часов на заказчика  в работе]]+Таблица1[[#This Row],[Часов на заказчика  дежурство]]</f>
        <v>0</v>
      </c>
      <c r="O20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4" s="9">
        <v>200000</v>
      </c>
      <c r="R2024" s="9"/>
      <c r="S2024" s="5">
        <v>1</v>
      </c>
      <c r="T20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табеле]])*S2024,0)</f>
        <v>0</v>
      </c>
      <c r="U2024" s="5">
        <f>IF(Таблица1[[#This Row],[ТТН]]&gt;0,Таблица1[[#This Row],[Ставка за ТТН]]*Таблица1[[#This Row],[ТТН]],0)</f>
        <v>0</v>
      </c>
    </row>
    <row r="2025" spans="1:21" x14ac:dyDescent="0.25">
      <c r="A2025" t="s">
        <v>84</v>
      </c>
      <c r="B2025" s="24">
        <v>11</v>
      </c>
      <c r="C2025" t="s">
        <v>138</v>
      </c>
      <c r="D2025" t="s">
        <v>35</v>
      </c>
      <c r="E2025" t="s">
        <v>215</v>
      </c>
      <c r="F2025" t="s">
        <v>36</v>
      </c>
      <c r="H2025" t="s">
        <v>23</v>
      </c>
      <c r="I2025" t="s">
        <v>217</v>
      </c>
      <c r="J2025">
        <v>11</v>
      </c>
      <c r="N2025">
        <f>Таблица1[[#This Row],[Часов на заказчика  в работе]]+Таблица1[[#This Row],[Часов на заказчика  дежурство]]</f>
        <v>0</v>
      </c>
      <c r="O20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5" s="9">
        <v>200000</v>
      </c>
      <c r="R2025" s="9"/>
      <c r="S2025" s="5">
        <v>1</v>
      </c>
      <c r="T20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табеле]])*S2025,0)</f>
        <v>6666.6666666666661</v>
      </c>
      <c r="U2025" s="5">
        <f>IF(Таблица1[[#This Row],[ТТН]]&gt;0,Таблица1[[#This Row],[Ставка за ТТН]]*Таблица1[[#This Row],[ТТН]],0)</f>
        <v>0</v>
      </c>
    </row>
    <row r="2026" spans="1:21" x14ac:dyDescent="0.25">
      <c r="A2026" t="s">
        <v>84</v>
      </c>
      <c r="B2026" s="24">
        <v>12</v>
      </c>
      <c r="C2026" t="s">
        <v>138</v>
      </c>
      <c r="D2026" t="s">
        <v>35</v>
      </c>
      <c r="E2026" t="s">
        <v>215</v>
      </c>
      <c r="F2026" t="s">
        <v>36</v>
      </c>
      <c r="H2026" t="s">
        <v>10</v>
      </c>
      <c r="I2026" t="s">
        <v>219</v>
      </c>
      <c r="J2026">
        <v>11</v>
      </c>
      <c r="L2026">
        <v>11</v>
      </c>
      <c r="N2026">
        <f>Таблица1[[#This Row],[Часов на заказчика  в работе]]+Таблица1[[#This Row],[Часов на заказчика  дежурство]]</f>
        <v>11</v>
      </c>
      <c r="O20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6" s="9">
        <v>200000</v>
      </c>
      <c r="R2026" s="9"/>
      <c r="S2026" s="5">
        <v>1</v>
      </c>
      <c r="T20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табеле]])*S2026,0)</f>
        <v>6666.6666666666661</v>
      </c>
      <c r="U2026" s="5">
        <f>IF(Таблица1[[#This Row],[ТТН]]&gt;0,Таблица1[[#This Row],[Ставка за ТТН]]*Таблица1[[#This Row],[ТТН]],0)</f>
        <v>0</v>
      </c>
    </row>
    <row r="2027" spans="1:21" x14ac:dyDescent="0.25">
      <c r="A2027" t="s">
        <v>84</v>
      </c>
      <c r="B2027" s="24">
        <v>13</v>
      </c>
      <c r="C2027" t="s">
        <v>138</v>
      </c>
      <c r="D2027" t="s">
        <v>35</v>
      </c>
      <c r="E2027" t="s">
        <v>215</v>
      </c>
      <c r="F2027" t="s">
        <v>36</v>
      </c>
      <c r="H2027" t="s">
        <v>10</v>
      </c>
      <c r="I2027" t="s">
        <v>219</v>
      </c>
      <c r="J2027">
        <v>11</v>
      </c>
      <c r="L2027">
        <v>11</v>
      </c>
      <c r="N2027">
        <f>Таблица1[[#This Row],[Часов на заказчика  в работе]]+Таблица1[[#This Row],[Часов на заказчика  дежурство]]</f>
        <v>11</v>
      </c>
      <c r="O20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7" s="9">
        <v>200000</v>
      </c>
      <c r="R2027" s="9"/>
      <c r="S2027" s="5">
        <v>1</v>
      </c>
      <c r="T20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табеле]])*S2027,0)</f>
        <v>6666.6666666666661</v>
      </c>
      <c r="U2027" s="5">
        <f>IF(Таблица1[[#This Row],[ТТН]]&gt;0,Таблица1[[#This Row],[Ставка за ТТН]]*Таблица1[[#This Row],[ТТН]],0)</f>
        <v>0</v>
      </c>
    </row>
    <row r="2028" spans="1:21" x14ac:dyDescent="0.25">
      <c r="A2028" t="s">
        <v>84</v>
      </c>
      <c r="B2028" s="24">
        <v>14</v>
      </c>
      <c r="C2028" t="s">
        <v>138</v>
      </c>
      <c r="D2028" t="s">
        <v>35</v>
      </c>
      <c r="E2028" t="s">
        <v>215</v>
      </c>
      <c r="F2028" t="s">
        <v>36</v>
      </c>
      <c r="H2028" t="s">
        <v>10</v>
      </c>
      <c r="I2028" t="s">
        <v>219</v>
      </c>
      <c r="J2028">
        <v>11</v>
      </c>
      <c r="L2028">
        <v>11</v>
      </c>
      <c r="N2028">
        <f>Таблица1[[#This Row],[Часов на заказчика  в работе]]+Таблица1[[#This Row],[Часов на заказчика  дежурство]]</f>
        <v>11</v>
      </c>
      <c r="O20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8" s="9">
        <v>200000</v>
      </c>
      <c r="R2028" s="9"/>
      <c r="S2028" s="5">
        <v>1</v>
      </c>
      <c r="T20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табеле]])*S2028,0)</f>
        <v>6666.6666666666661</v>
      </c>
      <c r="U2028" s="5">
        <f>IF(Таблица1[[#This Row],[ТТН]]&gt;0,Таблица1[[#This Row],[Ставка за ТТН]]*Таблица1[[#This Row],[ТТН]],0)</f>
        <v>0</v>
      </c>
    </row>
    <row r="2029" spans="1:21" x14ac:dyDescent="0.25">
      <c r="A2029" t="s">
        <v>84</v>
      </c>
      <c r="B2029" s="24">
        <v>15</v>
      </c>
      <c r="C2029" t="s">
        <v>138</v>
      </c>
      <c r="D2029" t="s">
        <v>35</v>
      </c>
      <c r="E2029" t="s">
        <v>215</v>
      </c>
      <c r="F2029" t="s">
        <v>36</v>
      </c>
      <c r="H2029" t="s">
        <v>10</v>
      </c>
      <c r="I2029" t="s">
        <v>219</v>
      </c>
      <c r="J2029">
        <v>11</v>
      </c>
      <c r="L2029">
        <v>11</v>
      </c>
      <c r="N2029">
        <f>Таблица1[[#This Row],[Часов на заказчика  в работе]]+Таблица1[[#This Row],[Часов на заказчика  дежурство]]</f>
        <v>11</v>
      </c>
      <c r="O20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29" s="9">
        <v>200000</v>
      </c>
      <c r="R2029" s="9"/>
      <c r="S2029" s="5">
        <v>1</v>
      </c>
      <c r="T20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табеле]])*S2029,0)</f>
        <v>6666.6666666666661</v>
      </c>
      <c r="U2029" s="5">
        <f>IF(Таблица1[[#This Row],[ТТН]]&gt;0,Таблица1[[#This Row],[Ставка за ТТН]]*Таблица1[[#This Row],[ТТН]],0)</f>
        <v>0</v>
      </c>
    </row>
    <row r="2030" spans="1:21" x14ac:dyDescent="0.25">
      <c r="A2030" t="s">
        <v>84</v>
      </c>
      <c r="B2030" s="24">
        <v>16</v>
      </c>
      <c r="C2030" t="s">
        <v>138</v>
      </c>
      <c r="D2030" t="s">
        <v>35</v>
      </c>
      <c r="E2030" t="s">
        <v>215</v>
      </c>
      <c r="F2030" t="s">
        <v>36</v>
      </c>
      <c r="H2030" t="s">
        <v>10</v>
      </c>
      <c r="I2030" t="s">
        <v>219</v>
      </c>
      <c r="J2030">
        <v>11</v>
      </c>
      <c r="L2030">
        <v>11</v>
      </c>
      <c r="N2030">
        <f>Таблица1[[#This Row],[Часов на заказчика  в работе]]+Таблица1[[#This Row],[Часов на заказчика  дежурство]]</f>
        <v>11</v>
      </c>
      <c r="O20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0" s="9">
        <v>200000</v>
      </c>
      <c r="R2030" s="9"/>
      <c r="S2030" s="5">
        <v>1</v>
      </c>
      <c r="T20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табеле]])*S2030,0)</f>
        <v>6666.6666666666661</v>
      </c>
      <c r="U2030" s="5">
        <f>IF(Таблица1[[#This Row],[ТТН]]&gt;0,Таблица1[[#This Row],[Ставка за ТТН]]*Таблица1[[#This Row],[ТТН]],0)</f>
        <v>0</v>
      </c>
    </row>
    <row r="2031" spans="1:21" x14ac:dyDescent="0.25">
      <c r="A2031" t="s">
        <v>84</v>
      </c>
      <c r="B2031" s="24">
        <v>17</v>
      </c>
      <c r="C2031" t="s">
        <v>138</v>
      </c>
      <c r="D2031" t="s">
        <v>35</v>
      </c>
      <c r="E2031" t="s">
        <v>215</v>
      </c>
      <c r="F2031" t="s">
        <v>36</v>
      </c>
      <c r="H2031" t="s">
        <v>10</v>
      </c>
      <c r="I2031" t="s">
        <v>219</v>
      </c>
      <c r="J2031">
        <v>11</v>
      </c>
      <c r="L2031">
        <v>11</v>
      </c>
      <c r="N2031">
        <f>Таблица1[[#This Row],[Часов на заказчика  в работе]]+Таблица1[[#This Row],[Часов на заказчика  дежурство]]</f>
        <v>11</v>
      </c>
      <c r="O20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1" s="9">
        <v>200000</v>
      </c>
      <c r="R2031" s="9"/>
      <c r="S2031" s="5">
        <v>1</v>
      </c>
      <c r="T20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табеле]])*S2031,0)</f>
        <v>6666.6666666666661</v>
      </c>
      <c r="U2031" s="5">
        <f>IF(Таблица1[[#This Row],[ТТН]]&gt;0,Таблица1[[#This Row],[Ставка за ТТН]]*Таблица1[[#This Row],[ТТН]],0)</f>
        <v>0</v>
      </c>
    </row>
    <row r="2032" spans="1:21" x14ac:dyDescent="0.25">
      <c r="A2032" t="s">
        <v>84</v>
      </c>
      <c r="B2032" s="24">
        <v>18</v>
      </c>
      <c r="C2032" t="s">
        <v>138</v>
      </c>
      <c r="D2032" t="s">
        <v>35</v>
      </c>
      <c r="E2032" t="s">
        <v>215</v>
      </c>
      <c r="F2032" t="s">
        <v>36</v>
      </c>
      <c r="H2032" t="s">
        <v>10</v>
      </c>
      <c r="I2032" t="s">
        <v>219</v>
      </c>
      <c r="J2032">
        <v>11</v>
      </c>
      <c r="L2032">
        <v>11</v>
      </c>
      <c r="N2032">
        <f>Таблица1[[#This Row],[Часов на заказчика  в работе]]+Таблица1[[#This Row],[Часов на заказчика  дежурство]]</f>
        <v>11</v>
      </c>
      <c r="O20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2" s="9">
        <v>200000</v>
      </c>
      <c r="R2032" s="9"/>
      <c r="S2032" s="5">
        <v>1</v>
      </c>
      <c r="T20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табеле]])*S2032,0)</f>
        <v>6666.6666666666661</v>
      </c>
      <c r="U2032" s="5">
        <f>IF(Таблица1[[#This Row],[ТТН]]&gt;0,Таблица1[[#This Row],[Ставка за ТТН]]*Таблица1[[#This Row],[ТТН]],0)</f>
        <v>0</v>
      </c>
    </row>
    <row r="2033" spans="1:21" x14ac:dyDescent="0.25">
      <c r="A2033" t="s">
        <v>84</v>
      </c>
      <c r="B2033" s="24">
        <v>19</v>
      </c>
      <c r="C2033" t="s">
        <v>138</v>
      </c>
      <c r="D2033" t="s">
        <v>35</v>
      </c>
      <c r="E2033" t="s">
        <v>215</v>
      </c>
      <c r="F2033" t="s">
        <v>36</v>
      </c>
      <c r="H2033" t="s">
        <v>10</v>
      </c>
      <c r="I2033" t="s">
        <v>219</v>
      </c>
      <c r="J2033">
        <v>11</v>
      </c>
      <c r="L2033">
        <v>11</v>
      </c>
      <c r="N2033">
        <f>Таблица1[[#This Row],[Часов на заказчика  в работе]]+Таблица1[[#This Row],[Часов на заказчика  дежурство]]</f>
        <v>11</v>
      </c>
      <c r="O20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3" s="9">
        <v>200000</v>
      </c>
      <c r="R2033" s="9"/>
      <c r="S2033" s="5">
        <v>1</v>
      </c>
      <c r="T20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табеле]])*S2033,0)</f>
        <v>6666.6666666666661</v>
      </c>
      <c r="U2033" s="5">
        <f>IF(Таблица1[[#This Row],[ТТН]]&gt;0,Таблица1[[#This Row],[Ставка за ТТН]]*Таблица1[[#This Row],[ТТН]],0)</f>
        <v>0</v>
      </c>
    </row>
    <row r="2034" spans="1:21" x14ac:dyDescent="0.25">
      <c r="A2034" t="s">
        <v>84</v>
      </c>
      <c r="B2034" s="24">
        <v>20</v>
      </c>
      <c r="C2034" t="s">
        <v>138</v>
      </c>
      <c r="D2034" t="s">
        <v>35</v>
      </c>
      <c r="E2034" t="s">
        <v>215</v>
      </c>
      <c r="F2034" t="s">
        <v>36</v>
      </c>
      <c r="H2034" t="s">
        <v>10</v>
      </c>
      <c r="I2034" t="s">
        <v>219</v>
      </c>
      <c r="J2034">
        <v>11</v>
      </c>
      <c r="L2034">
        <v>11</v>
      </c>
      <c r="N2034">
        <f>Таблица1[[#This Row],[Часов на заказчика  в работе]]+Таблица1[[#This Row],[Часов на заказчика  дежурство]]</f>
        <v>11</v>
      </c>
      <c r="O20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4" s="9">
        <v>200000</v>
      </c>
      <c r="R2034" s="9"/>
      <c r="S2034" s="5">
        <v>1</v>
      </c>
      <c r="T20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табеле]])*S2034,0)</f>
        <v>6666.6666666666661</v>
      </c>
      <c r="U2034" s="5">
        <f>IF(Таблица1[[#This Row],[ТТН]]&gt;0,Таблица1[[#This Row],[Ставка за ТТН]]*Таблица1[[#This Row],[ТТН]],0)</f>
        <v>0</v>
      </c>
    </row>
    <row r="2035" spans="1:21" x14ac:dyDescent="0.25">
      <c r="A2035" t="s">
        <v>84</v>
      </c>
      <c r="B2035" s="24">
        <v>21</v>
      </c>
      <c r="C2035" t="s">
        <v>138</v>
      </c>
      <c r="D2035" t="s">
        <v>35</v>
      </c>
      <c r="E2035" t="s">
        <v>215</v>
      </c>
      <c r="F2035" t="s">
        <v>36</v>
      </c>
      <c r="H2035" t="s">
        <v>10</v>
      </c>
      <c r="I2035" t="s">
        <v>219</v>
      </c>
      <c r="J2035">
        <v>11</v>
      </c>
      <c r="L2035">
        <v>11</v>
      </c>
      <c r="N2035">
        <f>Таблица1[[#This Row],[Часов на заказчика  в работе]]+Таблица1[[#This Row],[Часов на заказчика  дежурство]]</f>
        <v>11</v>
      </c>
      <c r="O20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5" s="9">
        <v>200000</v>
      </c>
      <c r="R2035" s="9"/>
      <c r="S2035" s="5">
        <v>1</v>
      </c>
      <c r="T20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табеле]])*S2035,0)</f>
        <v>6666.6666666666661</v>
      </c>
      <c r="U2035" s="5">
        <f>IF(Таблица1[[#This Row],[ТТН]]&gt;0,Таблица1[[#This Row],[Ставка за ТТН]]*Таблица1[[#This Row],[ТТН]],0)</f>
        <v>0</v>
      </c>
    </row>
    <row r="2036" spans="1:21" x14ac:dyDescent="0.25">
      <c r="A2036" t="s">
        <v>84</v>
      </c>
      <c r="B2036" s="24">
        <v>22</v>
      </c>
      <c r="C2036" t="s">
        <v>138</v>
      </c>
      <c r="D2036" t="s">
        <v>35</v>
      </c>
      <c r="E2036" t="s">
        <v>215</v>
      </c>
      <c r="F2036" t="s">
        <v>36</v>
      </c>
      <c r="H2036" t="s">
        <v>10</v>
      </c>
      <c r="I2036" t="s">
        <v>219</v>
      </c>
      <c r="J2036">
        <v>11</v>
      </c>
      <c r="L2036">
        <v>11</v>
      </c>
      <c r="N2036">
        <f>Таблица1[[#This Row],[Часов на заказчика  в работе]]+Таблица1[[#This Row],[Часов на заказчика  дежурство]]</f>
        <v>11</v>
      </c>
      <c r="O20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6" s="9">
        <v>200000</v>
      </c>
      <c r="R2036" s="9"/>
      <c r="S2036" s="5">
        <v>1</v>
      </c>
      <c r="T20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табеле]])*S2036,0)</f>
        <v>6666.6666666666661</v>
      </c>
      <c r="U2036" s="5">
        <f>IF(Таблица1[[#This Row],[ТТН]]&gt;0,Таблица1[[#This Row],[Ставка за ТТН]]*Таблица1[[#This Row],[ТТН]],0)</f>
        <v>0</v>
      </c>
    </row>
    <row r="2037" spans="1:21" x14ac:dyDescent="0.25">
      <c r="A2037" t="s">
        <v>84</v>
      </c>
      <c r="B2037" s="24">
        <v>23</v>
      </c>
      <c r="C2037" t="s">
        <v>138</v>
      </c>
      <c r="D2037" t="s">
        <v>35</v>
      </c>
      <c r="E2037" t="s">
        <v>215</v>
      </c>
      <c r="F2037" t="s">
        <v>36</v>
      </c>
      <c r="H2037" t="s">
        <v>10</v>
      </c>
      <c r="I2037" t="s">
        <v>219</v>
      </c>
      <c r="J2037">
        <v>11</v>
      </c>
      <c r="L2037">
        <v>11</v>
      </c>
      <c r="N2037">
        <f>Таблица1[[#This Row],[Часов на заказчика  в работе]]+Таблица1[[#This Row],[Часов на заказчика  дежурство]]</f>
        <v>11</v>
      </c>
      <c r="O20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7" s="9">
        <v>200000</v>
      </c>
      <c r="R2037" s="9"/>
      <c r="S2037" s="5">
        <v>1</v>
      </c>
      <c r="T20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табеле]])*S2037,0)</f>
        <v>6666.6666666666661</v>
      </c>
      <c r="U2037" s="5">
        <f>IF(Таблица1[[#This Row],[ТТН]]&gt;0,Таблица1[[#This Row],[Ставка за ТТН]]*Таблица1[[#This Row],[ТТН]],0)</f>
        <v>0</v>
      </c>
    </row>
    <row r="2038" spans="1:21" x14ac:dyDescent="0.25">
      <c r="A2038" t="s">
        <v>84</v>
      </c>
      <c r="B2038" s="24">
        <v>24</v>
      </c>
      <c r="C2038" t="s">
        <v>138</v>
      </c>
      <c r="D2038" t="s">
        <v>35</v>
      </c>
      <c r="E2038" t="s">
        <v>215</v>
      </c>
      <c r="F2038" t="s">
        <v>36</v>
      </c>
      <c r="H2038" t="s">
        <v>10</v>
      </c>
      <c r="I2038" t="s">
        <v>219</v>
      </c>
      <c r="J2038">
        <v>11</v>
      </c>
      <c r="L2038">
        <v>11</v>
      </c>
      <c r="N2038">
        <f>Таблица1[[#This Row],[Часов на заказчика  в работе]]+Таблица1[[#This Row],[Часов на заказчика  дежурство]]</f>
        <v>11</v>
      </c>
      <c r="O20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8" s="9">
        <v>200000</v>
      </c>
      <c r="R2038" s="9"/>
      <c r="S2038" s="5">
        <v>1</v>
      </c>
      <c r="T20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табеле]])*S2038,0)</f>
        <v>6666.6666666666661</v>
      </c>
      <c r="U2038" s="5">
        <f>IF(Таблица1[[#This Row],[ТТН]]&gt;0,Таблица1[[#This Row],[Ставка за ТТН]]*Таблица1[[#This Row],[ТТН]],0)</f>
        <v>0</v>
      </c>
    </row>
    <row r="2039" spans="1:21" x14ac:dyDescent="0.25">
      <c r="A2039" t="s">
        <v>84</v>
      </c>
      <c r="B2039" s="24">
        <v>25</v>
      </c>
      <c r="C2039" t="s">
        <v>138</v>
      </c>
      <c r="D2039" t="s">
        <v>35</v>
      </c>
      <c r="E2039" t="s">
        <v>215</v>
      </c>
      <c r="F2039" t="s">
        <v>36</v>
      </c>
      <c r="H2039" t="s">
        <v>10</v>
      </c>
      <c r="I2039" t="s">
        <v>219</v>
      </c>
      <c r="J2039">
        <v>11</v>
      </c>
      <c r="L2039">
        <v>11</v>
      </c>
      <c r="N2039">
        <f>Таблица1[[#This Row],[Часов на заказчика  в работе]]+Таблица1[[#This Row],[Часов на заказчика  дежурство]]</f>
        <v>11</v>
      </c>
      <c r="O20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39" s="9">
        <v>200000</v>
      </c>
      <c r="R2039" s="9"/>
      <c r="S2039" s="5">
        <v>1</v>
      </c>
      <c r="T20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табеле]])*S2039,0)</f>
        <v>6666.6666666666661</v>
      </c>
      <c r="U2039" s="5">
        <f>IF(Таблица1[[#This Row],[ТТН]]&gt;0,Таблица1[[#This Row],[Ставка за ТТН]]*Таблица1[[#This Row],[ТТН]],0)</f>
        <v>0</v>
      </c>
    </row>
    <row r="2040" spans="1:21" x14ac:dyDescent="0.25">
      <c r="A2040" t="s">
        <v>84</v>
      </c>
      <c r="B2040" s="24">
        <v>26</v>
      </c>
      <c r="C2040" t="s">
        <v>138</v>
      </c>
      <c r="D2040" t="s">
        <v>35</v>
      </c>
      <c r="E2040" t="s">
        <v>215</v>
      </c>
      <c r="F2040" t="s">
        <v>36</v>
      </c>
      <c r="H2040" t="s">
        <v>10</v>
      </c>
      <c r="I2040" t="s">
        <v>219</v>
      </c>
      <c r="J2040">
        <v>11</v>
      </c>
      <c r="L2040">
        <v>11</v>
      </c>
      <c r="N2040">
        <f>Таблица1[[#This Row],[Часов на заказчика  в работе]]+Таблица1[[#This Row],[Часов на заказчика  дежурство]]</f>
        <v>11</v>
      </c>
      <c r="O20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0" s="9">
        <v>200000</v>
      </c>
      <c r="R2040" s="9"/>
      <c r="S2040" s="5">
        <v>1</v>
      </c>
      <c r="T20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табеле]])*S2040,0)</f>
        <v>6666.6666666666661</v>
      </c>
      <c r="U2040" s="5">
        <f>IF(Таблица1[[#This Row],[ТТН]]&gt;0,Таблица1[[#This Row],[Ставка за ТТН]]*Таблица1[[#This Row],[ТТН]],0)</f>
        <v>0</v>
      </c>
    </row>
    <row r="2041" spans="1:21" x14ac:dyDescent="0.25">
      <c r="A2041" t="s">
        <v>84</v>
      </c>
      <c r="B2041" s="24">
        <v>27</v>
      </c>
      <c r="C2041" t="s">
        <v>138</v>
      </c>
      <c r="D2041" t="s">
        <v>35</v>
      </c>
      <c r="E2041" t="s">
        <v>215</v>
      </c>
      <c r="F2041" t="s">
        <v>36</v>
      </c>
      <c r="H2041" t="s">
        <v>10</v>
      </c>
      <c r="I2041" t="s">
        <v>219</v>
      </c>
      <c r="J2041">
        <v>11</v>
      </c>
      <c r="L2041">
        <v>11</v>
      </c>
      <c r="N2041">
        <f>Таблица1[[#This Row],[Часов на заказчика  в работе]]+Таблица1[[#This Row],[Часов на заказчика  дежурство]]</f>
        <v>11</v>
      </c>
      <c r="O20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1" s="9">
        <v>200000</v>
      </c>
      <c r="R2041" s="9"/>
      <c r="S2041" s="5">
        <v>1</v>
      </c>
      <c r="T20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табеле]])*S2041,0)</f>
        <v>6666.6666666666661</v>
      </c>
      <c r="U2041" s="5">
        <f>IF(Таблица1[[#This Row],[ТТН]]&gt;0,Таблица1[[#This Row],[Ставка за ТТН]]*Таблица1[[#This Row],[ТТН]],0)</f>
        <v>0</v>
      </c>
    </row>
    <row r="2042" spans="1:21" x14ac:dyDescent="0.25">
      <c r="A2042" t="s">
        <v>84</v>
      </c>
      <c r="B2042" s="24">
        <v>28</v>
      </c>
      <c r="C2042" t="s">
        <v>138</v>
      </c>
      <c r="D2042" t="s">
        <v>35</v>
      </c>
      <c r="E2042" t="s">
        <v>215</v>
      </c>
      <c r="F2042" t="s">
        <v>36</v>
      </c>
      <c r="H2042" t="s">
        <v>10</v>
      </c>
      <c r="I2042" t="s">
        <v>219</v>
      </c>
      <c r="J2042">
        <v>11</v>
      </c>
      <c r="L2042">
        <v>11</v>
      </c>
      <c r="N2042">
        <f>Таблица1[[#This Row],[Часов на заказчика  в работе]]+Таблица1[[#This Row],[Часов на заказчика  дежурство]]</f>
        <v>11</v>
      </c>
      <c r="O20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2" s="9">
        <v>200000</v>
      </c>
      <c r="R2042" s="9"/>
      <c r="S2042" s="5">
        <v>1</v>
      </c>
      <c r="T20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табеле]])*S2042,0)</f>
        <v>6666.6666666666661</v>
      </c>
      <c r="U2042" s="5">
        <f>IF(Таблица1[[#This Row],[ТТН]]&gt;0,Таблица1[[#This Row],[Ставка за ТТН]]*Таблица1[[#This Row],[ТТН]],0)</f>
        <v>0</v>
      </c>
    </row>
    <row r="2043" spans="1:21" x14ac:dyDescent="0.25">
      <c r="A2043" t="s">
        <v>84</v>
      </c>
      <c r="B2043" s="24">
        <v>29</v>
      </c>
      <c r="C2043" t="s">
        <v>138</v>
      </c>
      <c r="D2043" t="s">
        <v>35</v>
      </c>
      <c r="E2043" t="s">
        <v>215</v>
      </c>
      <c r="F2043" t="s">
        <v>36</v>
      </c>
      <c r="H2043" t="s">
        <v>10</v>
      </c>
      <c r="I2043" t="s">
        <v>219</v>
      </c>
      <c r="J2043">
        <v>11</v>
      </c>
      <c r="L2043">
        <v>11</v>
      </c>
      <c r="N2043">
        <f>Таблица1[[#This Row],[Часов на заказчика  в работе]]+Таблица1[[#This Row],[Часов на заказчика  дежурство]]</f>
        <v>11</v>
      </c>
      <c r="O20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3" s="9">
        <v>200000</v>
      </c>
      <c r="R2043" s="9"/>
      <c r="S2043" s="5">
        <v>1</v>
      </c>
      <c r="T20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табеле]])*S2043,0)</f>
        <v>6666.6666666666661</v>
      </c>
      <c r="U2043" s="5">
        <f>IF(Таблица1[[#This Row],[ТТН]]&gt;0,Таблица1[[#This Row],[Ставка за ТТН]]*Таблица1[[#This Row],[ТТН]],0)</f>
        <v>0</v>
      </c>
    </row>
    <row r="2044" spans="1:21" x14ac:dyDescent="0.25">
      <c r="A2044" t="s">
        <v>84</v>
      </c>
      <c r="B2044" s="24">
        <v>30</v>
      </c>
      <c r="C2044" t="s">
        <v>161</v>
      </c>
      <c r="D2044" t="s">
        <v>35</v>
      </c>
      <c r="E2044" t="s">
        <v>215</v>
      </c>
      <c r="F2044" t="s">
        <v>36</v>
      </c>
      <c r="H2044" t="s">
        <v>10</v>
      </c>
      <c r="I2044" t="s">
        <v>219</v>
      </c>
      <c r="J2044">
        <v>11</v>
      </c>
      <c r="L2044">
        <v>11</v>
      </c>
      <c r="N2044">
        <f>Таблица1[[#This Row],[Часов на заказчика  в работе]]+Таблица1[[#This Row],[Часов на заказчика  дежурство]]</f>
        <v>11</v>
      </c>
      <c r="O20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4" s="9">
        <v>200000</v>
      </c>
      <c r="R2044" s="9"/>
      <c r="S2044" s="5">
        <v>1</v>
      </c>
      <c r="T20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табеле]])*S2044,0)</f>
        <v>6666.6666666666661</v>
      </c>
      <c r="U2044" s="5">
        <f>IF(Таблица1[[#This Row],[ТТН]]&gt;0,Таблица1[[#This Row],[Ставка за ТТН]]*Таблица1[[#This Row],[ТТН]],0)</f>
        <v>0</v>
      </c>
    </row>
    <row r="2045" spans="1:21" x14ac:dyDescent="0.25">
      <c r="A2045" t="s">
        <v>84</v>
      </c>
      <c r="B2045" s="24">
        <v>1</v>
      </c>
      <c r="C2045" t="s">
        <v>161</v>
      </c>
      <c r="D2045" t="s">
        <v>71</v>
      </c>
      <c r="E2045" t="s">
        <v>215</v>
      </c>
      <c r="F2045" t="s">
        <v>71</v>
      </c>
      <c r="H2045" t="s">
        <v>10</v>
      </c>
      <c r="I2045" t="s">
        <v>217</v>
      </c>
      <c r="J2045">
        <v>19</v>
      </c>
      <c r="N2045">
        <f>Таблица1[[#This Row],[Часов на заказчика  в работе]]+Таблица1[[#This Row],[Часов на заказчика  дежурство]]</f>
        <v>0</v>
      </c>
      <c r="O20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5" s="9"/>
      <c r="R2045" s="9"/>
      <c r="S2045" s="5"/>
      <c r="T20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табеле]])*S2045,0)</f>
        <v>0</v>
      </c>
      <c r="U2045" s="5">
        <f>IF(Таблица1[[#This Row],[ТТН]]&gt;0,Таблица1[[#This Row],[Ставка за ТТН]]*Таблица1[[#This Row],[ТТН]],0)</f>
        <v>0</v>
      </c>
    </row>
    <row r="2046" spans="1:21" x14ac:dyDescent="0.25">
      <c r="A2046" t="s">
        <v>84</v>
      </c>
      <c r="B2046" s="24">
        <v>2</v>
      </c>
      <c r="C2046" t="s">
        <v>161</v>
      </c>
      <c r="D2046" t="s">
        <v>71</v>
      </c>
      <c r="E2046" t="s">
        <v>215</v>
      </c>
      <c r="F2046" t="s">
        <v>71</v>
      </c>
      <c r="H2046" t="s">
        <v>10</v>
      </c>
      <c r="I2046" t="s">
        <v>217</v>
      </c>
      <c r="J2046">
        <v>11</v>
      </c>
      <c r="N2046">
        <f>Таблица1[[#This Row],[Часов на заказчика  в работе]]+Таблица1[[#This Row],[Часов на заказчика  дежурство]]</f>
        <v>0</v>
      </c>
      <c r="O20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6" s="9"/>
      <c r="R2046" s="9"/>
      <c r="S2046" s="5"/>
      <c r="T20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табеле]])*S2046,0)</f>
        <v>0</v>
      </c>
      <c r="U2046" s="5">
        <f>IF(Таблица1[[#This Row],[ТТН]]&gt;0,Таблица1[[#This Row],[Ставка за ТТН]]*Таблица1[[#This Row],[ТТН]],0)</f>
        <v>0</v>
      </c>
    </row>
    <row r="2047" spans="1:21" x14ac:dyDescent="0.25">
      <c r="A2047" t="s">
        <v>84</v>
      </c>
      <c r="B2047" s="24">
        <v>3</v>
      </c>
      <c r="C2047" t="s">
        <v>161</v>
      </c>
      <c r="D2047" t="s">
        <v>71</v>
      </c>
      <c r="E2047" t="s">
        <v>215</v>
      </c>
      <c r="F2047" t="s">
        <v>71</v>
      </c>
      <c r="H2047" t="s">
        <v>10</v>
      </c>
      <c r="I2047" t="s">
        <v>217</v>
      </c>
      <c r="J2047">
        <v>11</v>
      </c>
      <c r="N2047">
        <f>Таблица1[[#This Row],[Часов на заказчика  в работе]]+Таблица1[[#This Row],[Часов на заказчика  дежурство]]</f>
        <v>0</v>
      </c>
      <c r="O20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7" s="9"/>
      <c r="R2047" s="9"/>
      <c r="S2047" s="5"/>
      <c r="T20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табеле]])*S2047,0)</f>
        <v>0</v>
      </c>
      <c r="U2047" s="5">
        <f>IF(Таблица1[[#This Row],[ТТН]]&gt;0,Таблица1[[#This Row],[Ставка за ТТН]]*Таблица1[[#This Row],[ТТН]],0)</f>
        <v>0</v>
      </c>
    </row>
    <row r="2048" spans="1:21" x14ac:dyDescent="0.25">
      <c r="A2048" t="s">
        <v>84</v>
      </c>
      <c r="B2048" s="24">
        <v>4</v>
      </c>
      <c r="C2048" t="s">
        <v>161</v>
      </c>
      <c r="D2048" t="s">
        <v>71</v>
      </c>
      <c r="E2048" t="s">
        <v>215</v>
      </c>
      <c r="F2048" t="s">
        <v>71</v>
      </c>
      <c r="H2048" t="s">
        <v>10</v>
      </c>
      <c r="I2048" t="s">
        <v>217</v>
      </c>
      <c r="J2048">
        <v>11</v>
      </c>
      <c r="N2048">
        <f>Таблица1[[#This Row],[Часов на заказчика  в работе]]+Таблица1[[#This Row],[Часов на заказчика  дежурство]]</f>
        <v>0</v>
      </c>
      <c r="O20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8" s="9"/>
      <c r="R2048" s="9"/>
      <c r="S2048" s="5"/>
      <c r="T20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табеле]])*S2048,0)</f>
        <v>0</v>
      </c>
      <c r="U2048" s="5">
        <f>IF(Таблица1[[#This Row],[ТТН]]&gt;0,Таблица1[[#This Row],[Ставка за ТТН]]*Таблица1[[#This Row],[ТТН]],0)</f>
        <v>0</v>
      </c>
    </row>
    <row r="2049" spans="1:21" x14ac:dyDescent="0.25">
      <c r="A2049" t="s">
        <v>84</v>
      </c>
      <c r="B2049" s="24">
        <v>5</v>
      </c>
      <c r="C2049" t="s">
        <v>161</v>
      </c>
      <c r="D2049" t="s">
        <v>71</v>
      </c>
      <c r="E2049" t="s">
        <v>215</v>
      </c>
      <c r="F2049" t="s">
        <v>71</v>
      </c>
      <c r="H2049" t="s">
        <v>10</v>
      </c>
      <c r="I2049" t="s">
        <v>217</v>
      </c>
      <c r="J2049">
        <v>11</v>
      </c>
      <c r="N2049">
        <f>Таблица1[[#This Row],[Часов на заказчика  в работе]]+Таблица1[[#This Row],[Часов на заказчика  дежурство]]</f>
        <v>0</v>
      </c>
      <c r="O20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49" s="9"/>
      <c r="R2049" s="9"/>
      <c r="S2049" s="5"/>
      <c r="T20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табеле]])*S2049,0)</f>
        <v>0</v>
      </c>
      <c r="U2049" s="5">
        <f>IF(Таблица1[[#This Row],[ТТН]]&gt;0,Таблица1[[#This Row],[Ставка за ТТН]]*Таблица1[[#This Row],[ТТН]],0)</f>
        <v>0</v>
      </c>
    </row>
    <row r="2050" spans="1:21" x14ac:dyDescent="0.25">
      <c r="A2050" t="s">
        <v>84</v>
      </c>
      <c r="B2050" s="24">
        <v>6</v>
      </c>
      <c r="C2050" t="s">
        <v>161</v>
      </c>
      <c r="D2050" t="s">
        <v>71</v>
      </c>
      <c r="E2050" t="s">
        <v>215</v>
      </c>
      <c r="F2050" t="s">
        <v>71</v>
      </c>
      <c r="H2050" t="s">
        <v>10</v>
      </c>
      <c r="I2050" t="s">
        <v>217</v>
      </c>
      <c r="J2050">
        <v>11</v>
      </c>
      <c r="N2050">
        <f>Таблица1[[#This Row],[Часов на заказчика  в работе]]+Таблица1[[#This Row],[Часов на заказчика  дежурство]]</f>
        <v>0</v>
      </c>
      <c r="O20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0" s="9"/>
      <c r="R2050" s="9"/>
      <c r="S2050" s="5"/>
      <c r="T20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табеле]])*S2050,0)</f>
        <v>0</v>
      </c>
      <c r="U2050" s="5">
        <f>IF(Таблица1[[#This Row],[ТТН]]&gt;0,Таблица1[[#This Row],[Ставка за ТТН]]*Таблица1[[#This Row],[ТТН]],0)</f>
        <v>0</v>
      </c>
    </row>
    <row r="2051" spans="1:21" x14ac:dyDescent="0.25">
      <c r="A2051" t="s">
        <v>84</v>
      </c>
      <c r="B2051" s="24">
        <v>7</v>
      </c>
      <c r="C2051" t="s">
        <v>161</v>
      </c>
      <c r="D2051" t="s">
        <v>71</v>
      </c>
      <c r="E2051" t="s">
        <v>215</v>
      </c>
      <c r="F2051" t="s">
        <v>71</v>
      </c>
      <c r="H2051" t="s">
        <v>10</v>
      </c>
      <c r="I2051" t="s">
        <v>217</v>
      </c>
      <c r="J2051">
        <v>11</v>
      </c>
      <c r="N2051">
        <f>Таблица1[[#This Row],[Часов на заказчика  в работе]]+Таблица1[[#This Row],[Часов на заказчика  дежурство]]</f>
        <v>0</v>
      </c>
      <c r="O20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1" s="9"/>
      <c r="R2051" s="9"/>
      <c r="S2051" s="5"/>
      <c r="T20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табеле]])*S2051,0)</f>
        <v>0</v>
      </c>
      <c r="U2051" s="5">
        <f>IF(Таблица1[[#This Row],[ТТН]]&gt;0,Таблица1[[#This Row],[Ставка за ТТН]]*Таблица1[[#This Row],[ТТН]],0)</f>
        <v>0</v>
      </c>
    </row>
    <row r="2052" spans="1:21" x14ac:dyDescent="0.25">
      <c r="A2052" t="s">
        <v>84</v>
      </c>
      <c r="B2052" s="24">
        <v>8</v>
      </c>
      <c r="C2052" t="s">
        <v>161</v>
      </c>
      <c r="D2052" t="s">
        <v>71</v>
      </c>
      <c r="E2052" t="s">
        <v>215</v>
      </c>
      <c r="F2052" t="s">
        <v>71</v>
      </c>
      <c r="H2052" t="s">
        <v>10</v>
      </c>
      <c r="I2052" t="s">
        <v>217</v>
      </c>
      <c r="J2052">
        <v>11</v>
      </c>
      <c r="N2052">
        <f>Таблица1[[#This Row],[Часов на заказчика  в работе]]+Таблица1[[#This Row],[Часов на заказчика  дежурство]]</f>
        <v>0</v>
      </c>
      <c r="O20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2" s="9"/>
      <c r="R2052" s="9"/>
      <c r="S2052" s="5"/>
      <c r="T20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табеле]])*S2052,0)</f>
        <v>0</v>
      </c>
      <c r="U2052" s="5">
        <f>IF(Таблица1[[#This Row],[ТТН]]&gt;0,Таблица1[[#This Row],[Ставка за ТТН]]*Таблица1[[#This Row],[ТТН]],0)</f>
        <v>0</v>
      </c>
    </row>
    <row r="2053" spans="1:21" x14ac:dyDescent="0.25">
      <c r="A2053" t="s">
        <v>84</v>
      </c>
      <c r="B2053" s="24">
        <v>9</v>
      </c>
      <c r="C2053" t="s">
        <v>161</v>
      </c>
      <c r="D2053" t="s">
        <v>71</v>
      </c>
      <c r="E2053" t="s">
        <v>215</v>
      </c>
      <c r="F2053" t="s">
        <v>71</v>
      </c>
      <c r="H2053" t="s">
        <v>10</v>
      </c>
      <c r="I2053" t="s">
        <v>217</v>
      </c>
      <c r="J2053">
        <v>11</v>
      </c>
      <c r="N2053">
        <f>Таблица1[[#This Row],[Часов на заказчика  в работе]]+Таблица1[[#This Row],[Часов на заказчика  дежурство]]</f>
        <v>0</v>
      </c>
      <c r="O20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3" s="9"/>
      <c r="R2053" s="9"/>
      <c r="S2053" s="5"/>
      <c r="T20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табеле]])*S2053,0)</f>
        <v>0</v>
      </c>
      <c r="U2053" s="5">
        <f>IF(Таблица1[[#This Row],[ТТН]]&gt;0,Таблица1[[#This Row],[Ставка за ТТН]]*Таблица1[[#This Row],[ТТН]],0)</f>
        <v>0</v>
      </c>
    </row>
    <row r="2054" spans="1:21" x14ac:dyDescent="0.25">
      <c r="A2054" t="s">
        <v>84</v>
      </c>
      <c r="B2054" s="24">
        <v>10</v>
      </c>
      <c r="C2054" t="s">
        <v>161</v>
      </c>
      <c r="D2054" t="s">
        <v>71</v>
      </c>
      <c r="E2054" t="s">
        <v>215</v>
      </c>
      <c r="F2054" t="s">
        <v>71</v>
      </c>
      <c r="H2054" t="s">
        <v>10</v>
      </c>
      <c r="I2054" t="s">
        <v>217</v>
      </c>
      <c r="J2054">
        <v>11</v>
      </c>
      <c r="N2054">
        <f>Таблица1[[#This Row],[Часов на заказчика  в работе]]+Таблица1[[#This Row],[Часов на заказчика  дежурство]]</f>
        <v>0</v>
      </c>
      <c r="O20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4" s="9"/>
      <c r="R2054" s="9"/>
      <c r="S2054" s="5"/>
      <c r="T20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табеле]])*S2054,0)</f>
        <v>0</v>
      </c>
      <c r="U2054" s="5">
        <f>IF(Таблица1[[#This Row],[ТТН]]&gt;0,Таблица1[[#This Row],[Ставка за ТТН]]*Таблица1[[#This Row],[ТТН]],0)</f>
        <v>0</v>
      </c>
    </row>
    <row r="2055" spans="1:21" x14ac:dyDescent="0.25">
      <c r="A2055" t="s">
        <v>84</v>
      </c>
      <c r="B2055" s="24">
        <v>11</v>
      </c>
      <c r="C2055" t="s">
        <v>161</v>
      </c>
      <c r="D2055" t="s">
        <v>71</v>
      </c>
      <c r="E2055" t="s">
        <v>215</v>
      </c>
      <c r="F2055" t="s">
        <v>71</v>
      </c>
      <c r="H2055" t="s">
        <v>10</v>
      </c>
      <c r="I2055" t="s">
        <v>217</v>
      </c>
      <c r="J2055">
        <v>11</v>
      </c>
      <c r="N2055">
        <f>Таблица1[[#This Row],[Часов на заказчика  в работе]]+Таблица1[[#This Row],[Часов на заказчика  дежурство]]</f>
        <v>0</v>
      </c>
      <c r="O20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5" s="9"/>
      <c r="R2055" s="9"/>
      <c r="S2055" s="5"/>
      <c r="T20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табеле]])*S2055,0)</f>
        <v>0</v>
      </c>
      <c r="U2055" s="5">
        <f>IF(Таблица1[[#This Row],[ТТН]]&gt;0,Таблица1[[#This Row],[Ставка за ТТН]]*Таблица1[[#This Row],[ТТН]],0)</f>
        <v>0</v>
      </c>
    </row>
    <row r="2056" spans="1:21" x14ac:dyDescent="0.25">
      <c r="A2056" t="s">
        <v>84</v>
      </c>
      <c r="B2056" s="24">
        <v>12</v>
      </c>
      <c r="C2056" t="s">
        <v>161</v>
      </c>
      <c r="D2056" t="s">
        <v>71</v>
      </c>
      <c r="E2056" t="s">
        <v>215</v>
      </c>
      <c r="F2056" t="s">
        <v>71</v>
      </c>
      <c r="H2056" t="s">
        <v>10</v>
      </c>
      <c r="I2056" t="s">
        <v>217</v>
      </c>
      <c r="J2056">
        <v>11</v>
      </c>
      <c r="N2056">
        <f>Таблица1[[#This Row],[Часов на заказчика  в работе]]+Таблица1[[#This Row],[Часов на заказчика  дежурство]]</f>
        <v>0</v>
      </c>
      <c r="O20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6" s="9"/>
      <c r="R2056" s="9"/>
      <c r="S2056" s="5"/>
      <c r="T20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табеле]])*S2056,0)</f>
        <v>0</v>
      </c>
      <c r="U2056" s="5">
        <f>IF(Таблица1[[#This Row],[ТТН]]&gt;0,Таблица1[[#This Row],[Ставка за ТТН]]*Таблица1[[#This Row],[ТТН]],0)</f>
        <v>0</v>
      </c>
    </row>
    <row r="2057" spans="1:21" x14ac:dyDescent="0.25">
      <c r="A2057" t="s">
        <v>84</v>
      </c>
      <c r="B2057" s="24">
        <v>13</v>
      </c>
      <c r="C2057" t="s">
        <v>161</v>
      </c>
      <c r="D2057" t="s">
        <v>71</v>
      </c>
      <c r="E2057" t="s">
        <v>215</v>
      </c>
      <c r="F2057" t="s">
        <v>71</v>
      </c>
      <c r="H2057" t="s">
        <v>10</v>
      </c>
      <c r="I2057" t="s">
        <v>217</v>
      </c>
      <c r="J2057">
        <v>11</v>
      </c>
      <c r="N2057">
        <f>Таблица1[[#This Row],[Часов на заказчика  в работе]]+Таблица1[[#This Row],[Часов на заказчика  дежурство]]</f>
        <v>0</v>
      </c>
      <c r="O20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7" s="9"/>
      <c r="R2057" s="9"/>
      <c r="S2057" s="5"/>
      <c r="T20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табеле]])*S2057,0)</f>
        <v>0</v>
      </c>
      <c r="U2057" s="5">
        <f>IF(Таблица1[[#This Row],[ТТН]]&gt;0,Таблица1[[#This Row],[Ставка за ТТН]]*Таблица1[[#This Row],[ТТН]],0)</f>
        <v>0</v>
      </c>
    </row>
    <row r="2058" spans="1:21" x14ac:dyDescent="0.25">
      <c r="A2058" t="s">
        <v>84</v>
      </c>
      <c r="B2058" s="24">
        <v>14</v>
      </c>
      <c r="C2058" t="s">
        <v>161</v>
      </c>
      <c r="D2058" t="s">
        <v>71</v>
      </c>
      <c r="E2058" t="s">
        <v>215</v>
      </c>
      <c r="F2058" t="s">
        <v>71</v>
      </c>
      <c r="H2058" t="s">
        <v>10</v>
      </c>
      <c r="I2058" t="s">
        <v>217</v>
      </c>
      <c r="J2058">
        <v>11</v>
      </c>
      <c r="N2058">
        <f>Таблица1[[#This Row],[Часов на заказчика  в работе]]+Таблица1[[#This Row],[Часов на заказчика  дежурство]]</f>
        <v>0</v>
      </c>
      <c r="O20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8" s="9"/>
      <c r="R2058" s="9"/>
      <c r="S2058" s="5"/>
      <c r="T20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табеле]])*S2058,0)</f>
        <v>0</v>
      </c>
      <c r="U2058" s="5">
        <f>IF(Таблица1[[#This Row],[ТТН]]&gt;0,Таблица1[[#This Row],[Ставка за ТТН]]*Таблица1[[#This Row],[ТТН]],0)</f>
        <v>0</v>
      </c>
    </row>
    <row r="2059" spans="1:21" x14ac:dyDescent="0.25">
      <c r="A2059" t="s">
        <v>84</v>
      </c>
      <c r="B2059" s="24">
        <v>15</v>
      </c>
      <c r="C2059" t="s">
        <v>161</v>
      </c>
      <c r="D2059" t="s">
        <v>71</v>
      </c>
      <c r="E2059" t="s">
        <v>215</v>
      </c>
      <c r="F2059" t="s">
        <v>71</v>
      </c>
      <c r="H2059" t="s">
        <v>10</v>
      </c>
      <c r="I2059" t="s">
        <v>217</v>
      </c>
      <c r="J2059">
        <v>11</v>
      </c>
      <c r="N2059">
        <f>Таблица1[[#This Row],[Часов на заказчика  в работе]]+Таблица1[[#This Row],[Часов на заказчика  дежурство]]</f>
        <v>0</v>
      </c>
      <c r="O20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59" s="9"/>
      <c r="R2059" s="9"/>
      <c r="S2059" s="5"/>
      <c r="T20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табеле]])*S2059,0)</f>
        <v>0</v>
      </c>
      <c r="U2059" s="5">
        <f>IF(Таблица1[[#This Row],[ТТН]]&gt;0,Таблица1[[#This Row],[Ставка за ТТН]]*Таблица1[[#This Row],[ТТН]],0)</f>
        <v>0</v>
      </c>
    </row>
    <row r="2060" spans="1:21" x14ac:dyDescent="0.25">
      <c r="A2060" t="s">
        <v>84</v>
      </c>
      <c r="B2060" s="24">
        <v>16</v>
      </c>
      <c r="C2060" t="s">
        <v>161</v>
      </c>
      <c r="D2060" t="s">
        <v>71</v>
      </c>
      <c r="E2060" t="s">
        <v>215</v>
      </c>
      <c r="F2060" t="s">
        <v>71</v>
      </c>
      <c r="H2060" t="s">
        <v>10</v>
      </c>
      <c r="I2060" t="s">
        <v>217</v>
      </c>
      <c r="J2060">
        <v>11</v>
      </c>
      <c r="N2060">
        <f>Таблица1[[#This Row],[Часов на заказчика  в работе]]+Таблица1[[#This Row],[Часов на заказчика  дежурство]]</f>
        <v>0</v>
      </c>
      <c r="O20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0" s="9"/>
      <c r="R2060" s="9"/>
      <c r="S2060" s="5"/>
      <c r="T20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табеле]])*S2060,0)</f>
        <v>0</v>
      </c>
      <c r="U2060" s="5">
        <f>IF(Таблица1[[#This Row],[ТТН]]&gt;0,Таблица1[[#This Row],[Ставка за ТТН]]*Таблица1[[#This Row],[ТТН]],0)</f>
        <v>0</v>
      </c>
    </row>
    <row r="2061" spans="1:21" x14ac:dyDescent="0.25">
      <c r="A2061" t="s">
        <v>84</v>
      </c>
      <c r="B2061" s="24">
        <v>17</v>
      </c>
      <c r="C2061" t="s">
        <v>161</v>
      </c>
      <c r="D2061" t="s">
        <v>71</v>
      </c>
      <c r="E2061" t="s">
        <v>215</v>
      </c>
      <c r="F2061" t="s">
        <v>71</v>
      </c>
      <c r="H2061" t="s">
        <v>10</v>
      </c>
      <c r="I2061" t="s">
        <v>217</v>
      </c>
      <c r="J2061">
        <v>11</v>
      </c>
      <c r="N2061">
        <f>Таблица1[[#This Row],[Часов на заказчика  в работе]]+Таблица1[[#This Row],[Часов на заказчика  дежурство]]</f>
        <v>0</v>
      </c>
      <c r="O20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1" s="9"/>
      <c r="R2061" s="9"/>
      <c r="S2061" s="5"/>
      <c r="T20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табеле]])*S2061,0)</f>
        <v>0</v>
      </c>
      <c r="U2061" s="5">
        <f>IF(Таблица1[[#This Row],[ТТН]]&gt;0,Таблица1[[#This Row],[Ставка за ТТН]]*Таблица1[[#This Row],[ТТН]],0)</f>
        <v>0</v>
      </c>
    </row>
    <row r="2062" spans="1:21" x14ac:dyDescent="0.25">
      <c r="A2062" t="s">
        <v>84</v>
      </c>
      <c r="B2062" s="24">
        <v>18</v>
      </c>
      <c r="C2062" t="s">
        <v>161</v>
      </c>
      <c r="D2062" t="s">
        <v>71</v>
      </c>
      <c r="E2062" t="s">
        <v>215</v>
      </c>
      <c r="F2062" t="s">
        <v>71</v>
      </c>
      <c r="H2062" t="s">
        <v>10</v>
      </c>
      <c r="I2062" t="s">
        <v>217</v>
      </c>
      <c r="J2062">
        <v>11</v>
      </c>
      <c r="N2062">
        <f>Таблица1[[#This Row],[Часов на заказчика  в работе]]+Таблица1[[#This Row],[Часов на заказчика  дежурство]]</f>
        <v>0</v>
      </c>
      <c r="O20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2" s="9"/>
      <c r="R2062" s="9"/>
      <c r="S2062" s="5"/>
      <c r="T20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табеле]])*S2062,0)</f>
        <v>0</v>
      </c>
      <c r="U2062" s="5">
        <f>IF(Таблица1[[#This Row],[ТТН]]&gt;0,Таблица1[[#This Row],[Ставка за ТТН]]*Таблица1[[#This Row],[ТТН]],0)</f>
        <v>0</v>
      </c>
    </row>
    <row r="2063" spans="1:21" x14ac:dyDescent="0.25">
      <c r="A2063" t="s">
        <v>84</v>
      </c>
      <c r="B2063" s="24">
        <v>19</v>
      </c>
      <c r="C2063" t="s">
        <v>161</v>
      </c>
      <c r="D2063" t="s">
        <v>71</v>
      </c>
      <c r="E2063" t="s">
        <v>215</v>
      </c>
      <c r="F2063" t="s">
        <v>71</v>
      </c>
      <c r="H2063" t="s">
        <v>10</v>
      </c>
      <c r="I2063" t="s">
        <v>217</v>
      </c>
      <c r="J2063">
        <v>11</v>
      </c>
      <c r="N2063">
        <f>Таблица1[[#This Row],[Часов на заказчика  в работе]]+Таблица1[[#This Row],[Часов на заказчика  дежурство]]</f>
        <v>0</v>
      </c>
      <c r="O20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3" s="9"/>
      <c r="R2063" s="9"/>
      <c r="S2063" s="5"/>
      <c r="T20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табеле]])*S2063,0)</f>
        <v>0</v>
      </c>
      <c r="U2063" s="5">
        <f>IF(Таблица1[[#This Row],[ТТН]]&gt;0,Таблица1[[#This Row],[Ставка за ТТН]]*Таблица1[[#This Row],[ТТН]],0)</f>
        <v>0</v>
      </c>
    </row>
    <row r="2064" spans="1:21" x14ac:dyDescent="0.25">
      <c r="A2064" t="s">
        <v>84</v>
      </c>
      <c r="B2064" s="24">
        <v>20</v>
      </c>
      <c r="C2064" t="s">
        <v>161</v>
      </c>
      <c r="D2064" t="s">
        <v>71</v>
      </c>
      <c r="E2064" t="s">
        <v>215</v>
      </c>
      <c r="F2064" t="s">
        <v>71</v>
      </c>
      <c r="H2064" t="s">
        <v>10</v>
      </c>
      <c r="I2064" t="s">
        <v>217</v>
      </c>
      <c r="J2064">
        <v>16</v>
      </c>
      <c r="N2064">
        <f>Таблица1[[#This Row],[Часов на заказчика  в работе]]+Таблица1[[#This Row],[Часов на заказчика  дежурство]]</f>
        <v>0</v>
      </c>
      <c r="O20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4" s="9"/>
      <c r="R2064" s="9"/>
      <c r="S2064" s="5"/>
      <c r="T20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табеле]])*S2064,0)</f>
        <v>0</v>
      </c>
      <c r="U2064" s="5">
        <f>IF(Таблица1[[#This Row],[ТТН]]&gt;0,Таблица1[[#This Row],[Ставка за ТТН]]*Таблица1[[#This Row],[ТТН]],0)</f>
        <v>0</v>
      </c>
    </row>
    <row r="2065" spans="1:21" x14ac:dyDescent="0.25">
      <c r="A2065" t="s">
        <v>84</v>
      </c>
      <c r="B2065" s="24">
        <v>21</v>
      </c>
      <c r="C2065" t="s">
        <v>161</v>
      </c>
      <c r="D2065" t="s">
        <v>71</v>
      </c>
      <c r="E2065" t="s">
        <v>215</v>
      </c>
      <c r="F2065" t="s">
        <v>71</v>
      </c>
      <c r="H2065" t="s">
        <v>10</v>
      </c>
      <c r="I2065" t="s">
        <v>217</v>
      </c>
      <c r="J2065">
        <v>11</v>
      </c>
      <c r="N2065">
        <f>Таблица1[[#This Row],[Часов на заказчика  в работе]]+Таблица1[[#This Row],[Часов на заказчика  дежурство]]</f>
        <v>0</v>
      </c>
      <c r="O20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5" s="9"/>
      <c r="R2065" s="9"/>
      <c r="S2065" s="5"/>
      <c r="T20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табеле]])*S2065,0)</f>
        <v>0</v>
      </c>
      <c r="U2065" s="5">
        <f>IF(Таблица1[[#This Row],[ТТН]]&gt;0,Таблица1[[#This Row],[Ставка за ТТН]]*Таблица1[[#This Row],[ТТН]],0)</f>
        <v>0</v>
      </c>
    </row>
    <row r="2066" spans="1:21" x14ac:dyDescent="0.25">
      <c r="A2066" t="s">
        <v>84</v>
      </c>
      <c r="B2066" s="24">
        <v>22</v>
      </c>
      <c r="C2066" t="s">
        <v>161</v>
      </c>
      <c r="D2066" t="s">
        <v>71</v>
      </c>
      <c r="E2066" t="s">
        <v>215</v>
      </c>
      <c r="F2066" t="s">
        <v>71</v>
      </c>
      <c r="H2066" t="s">
        <v>10</v>
      </c>
      <c r="I2066" t="s">
        <v>217</v>
      </c>
      <c r="J2066">
        <v>11</v>
      </c>
      <c r="N2066">
        <f>Таблица1[[#This Row],[Часов на заказчика  в работе]]+Таблица1[[#This Row],[Часов на заказчика  дежурство]]</f>
        <v>0</v>
      </c>
      <c r="O20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6" s="9"/>
      <c r="R2066" s="9"/>
      <c r="S2066" s="5"/>
      <c r="T20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табеле]])*S2066,0)</f>
        <v>0</v>
      </c>
      <c r="U2066" s="5">
        <f>IF(Таблица1[[#This Row],[ТТН]]&gt;0,Таблица1[[#This Row],[Ставка за ТТН]]*Таблица1[[#This Row],[ТТН]],0)</f>
        <v>0</v>
      </c>
    </row>
    <row r="2067" spans="1:21" x14ac:dyDescent="0.25">
      <c r="A2067" t="s">
        <v>84</v>
      </c>
      <c r="B2067" s="24">
        <v>23</v>
      </c>
      <c r="C2067" t="s">
        <v>161</v>
      </c>
      <c r="D2067" t="s">
        <v>71</v>
      </c>
      <c r="E2067" t="s">
        <v>215</v>
      </c>
      <c r="F2067" t="s">
        <v>71</v>
      </c>
      <c r="H2067" t="s">
        <v>10</v>
      </c>
      <c r="I2067" t="s">
        <v>217</v>
      </c>
      <c r="J2067">
        <v>11</v>
      </c>
      <c r="N2067">
        <f>Таблица1[[#This Row],[Часов на заказчика  в работе]]+Таблица1[[#This Row],[Часов на заказчика  дежурство]]</f>
        <v>0</v>
      </c>
      <c r="O20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7" s="9"/>
      <c r="R2067" s="9"/>
      <c r="S2067" s="5"/>
      <c r="T20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табеле]])*S2067,0)</f>
        <v>0</v>
      </c>
      <c r="U2067" s="5">
        <f>IF(Таблица1[[#This Row],[ТТН]]&gt;0,Таблица1[[#This Row],[Ставка за ТТН]]*Таблица1[[#This Row],[ТТН]],0)</f>
        <v>0</v>
      </c>
    </row>
    <row r="2068" spans="1:21" x14ac:dyDescent="0.25">
      <c r="A2068" t="s">
        <v>84</v>
      </c>
      <c r="B2068" s="24">
        <v>24</v>
      </c>
      <c r="C2068" t="s">
        <v>161</v>
      </c>
      <c r="D2068" t="s">
        <v>71</v>
      </c>
      <c r="E2068" t="s">
        <v>215</v>
      </c>
      <c r="F2068" t="s">
        <v>71</v>
      </c>
      <c r="H2068" t="s">
        <v>10</v>
      </c>
      <c r="I2068" t="s">
        <v>217</v>
      </c>
      <c r="J2068">
        <v>11</v>
      </c>
      <c r="N2068">
        <f>Таблица1[[#This Row],[Часов на заказчика  в работе]]+Таблица1[[#This Row],[Часов на заказчика  дежурство]]</f>
        <v>0</v>
      </c>
      <c r="O20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8" s="9"/>
      <c r="R2068" s="9"/>
      <c r="S2068" s="5"/>
      <c r="T20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табеле]])*S2068,0)</f>
        <v>0</v>
      </c>
      <c r="U2068" s="5">
        <f>IF(Таблица1[[#This Row],[ТТН]]&gt;0,Таблица1[[#This Row],[Ставка за ТТН]]*Таблица1[[#This Row],[ТТН]],0)</f>
        <v>0</v>
      </c>
    </row>
    <row r="2069" spans="1:21" x14ac:dyDescent="0.25">
      <c r="A2069" t="s">
        <v>84</v>
      </c>
      <c r="B2069" s="24">
        <v>25</v>
      </c>
      <c r="C2069" t="s">
        <v>161</v>
      </c>
      <c r="D2069" t="s">
        <v>71</v>
      </c>
      <c r="E2069" t="s">
        <v>215</v>
      </c>
      <c r="F2069" t="s">
        <v>71</v>
      </c>
      <c r="H2069" t="s">
        <v>10</v>
      </c>
      <c r="I2069" t="s">
        <v>217</v>
      </c>
      <c r="J2069">
        <v>11</v>
      </c>
      <c r="N2069">
        <f>Таблица1[[#This Row],[Часов на заказчика  в работе]]+Таблица1[[#This Row],[Часов на заказчика  дежурство]]</f>
        <v>0</v>
      </c>
      <c r="O20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69" s="9"/>
      <c r="R2069" s="9"/>
      <c r="S2069" s="5"/>
      <c r="T20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табеле]])*S2069,0)</f>
        <v>0</v>
      </c>
      <c r="U2069" s="5">
        <f>IF(Таблица1[[#This Row],[ТТН]]&gt;0,Таблица1[[#This Row],[Ставка за ТТН]]*Таблица1[[#This Row],[ТТН]],0)</f>
        <v>0</v>
      </c>
    </row>
    <row r="2070" spans="1:21" x14ac:dyDescent="0.25">
      <c r="A2070" t="s">
        <v>84</v>
      </c>
      <c r="B2070" s="24">
        <v>26</v>
      </c>
      <c r="C2070" t="s">
        <v>161</v>
      </c>
      <c r="D2070" t="s">
        <v>71</v>
      </c>
      <c r="E2070" t="s">
        <v>215</v>
      </c>
      <c r="F2070" t="s">
        <v>71</v>
      </c>
      <c r="H2070" t="s">
        <v>10</v>
      </c>
      <c r="I2070" t="s">
        <v>217</v>
      </c>
      <c r="J2070">
        <v>11</v>
      </c>
      <c r="N2070">
        <f>Таблица1[[#This Row],[Часов на заказчика  в работе]]+Таблица1[[#This Row],[Часов на заказчика  дежурство]]</f>
        <v>0</v>
      </c>
      <c r="O20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0" s="9"/>
      <c r="R2070" s="9"/>
      <c r="S2070" s="5"/>
      <c r="T20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табеле]])*S2070,0)</f>
        <v>0</v>
      </c>
      <c r="U2070" s="5">
        <f>IF(Таблица1[[#This Row],[ТТН]]&gt;0,Таблица1[[#This Row],[Ставка за ТТН]]*Таблица1[[#This Row],[ТТН]],0)</f>
        <v>0</v>
      </c>
    </row>
    <row r="2071" spans="1:21" x14ac:dyDescent="0.25">
      <c r="A2071" t="s">
        <v>84</v>
      </c>
      <c r="B2071" s="24">
        <v>27</v>
      </c>
      <c r="C2071" t="s">
        <v>161</v>
      </c>
      <c r="D2071" t="s">
        <v>71</v>
      </c>
      <c r="E2071" t="s">
        <v>215</v>
      </c>
      <c r="F2071" t="s">
        <v>71</v>
      </c>
      <c r="H2071" t="s">
        <v>10</v>
      </c>
      <c r="I2071" t="s">
        <v>217</v>
      </c>
      <c r="J2071">
        <v>11</v>
      </c>
      <c r="N2071">
        <f>Таблица1[[#This Row],[Часов на заказчика  в работе]]+Таблица1[[#This Row],[Часов на заказчика  дежурство]]</f>
        <v>0</v>
      </c>
      <c r="O20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1" s="9"/>
      <c r="R2071" s="9"/>
      <c r="S2071" s="5"/>
      <c r="T20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табеле]])*S2071,0)</f>
        <v>0</v>
      </c>
      <c r="U2071" s="5">
        <f>IF(Таблица1[[#This Row],[ТТН]]&gt;0,Таблица1[[#This Row],[Ставка за ТТН]]*Таблица1[[#This Row],[ТТН]],0)</f>
        <v>0</v>
      </c>
    </row>
    <row r="2072" spans="1:21" x14ac:dyDescent="0.25">
      <c r="A2072" t="s">
        <v>84</v>
      </c>
      <c r="B2072" s="24">
        <v>28</v>
      </c>
      <c r="C2072" t="s">
        <v>161</v>
      </c>
      <c r="D2072" t="s">
        <v>71</v>
      </c>
      <c r="E2072" t="s">
        <v>215</v>
      </c>
      <c r="F2072" t="s">
        <v>71</v>
      </c>
      <c r="H2072" t="s">
        <v>24</v>
      </c>
      <c r="I2072" t="s">
        <v>217</v>
      </c>
      <c r="J2072">
        <v>8</v>
      </c>
      <c r="N2072">
        <f>Таблица1[[#This Row],[Часов на заказчика  в работе]]+Таблица1[[#This Row],[Часов на заказчика  дежурство]]</f>
        <v>0</v>
      </c>
      <c r="O20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2" s="9"/>
      <c r="R2072" s="9"/>
      <c r="S2072" s="5"/>
      <c r="T20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табеле]])*S2072,0)</f>
        <v>0</v>
      </c>
      <c r="U2072" s="5">
        <f>IF(Таблица1[[#This Row],[ТТН]]&gt;0,Таблица1[[#This Row],[Ставка за ТТН]]*Таблица1[[#This Row],[ТТН]],0)</f>
        <v>0</v>
      </c>
    </row>
    <row r="2073" spans="1:21" x14ac:dyDescent="0.25">
      <c r="A2073" t="s">
        <v>84</v>
      </c>
      <c r="B2073" s="24">
        <v>29</v>
      </c>
      <c r="C2073" t="s">
        <v>161</v>
      </c>
      <c r="D2073" t="s">
        <v>71</v>
      </c>
      <c r="E2073" t="s">
        <v>215</v>
      </c>
      <c r="F2073" t="s">
        <v>71</v>
      </c>
      <c r="H2073" t="s">
        <v>24</v>
      </c>
      <c r="I2073" t="s">
        <v>217</v>
      </c>
      <c r="J2073">
        <v>8</v>
      </c>
      <c r="N2073">
        <f>Таблица1[[#This Row],[Часов на заказчика  в работе]]+Таблица1[[#This Row],[Часов на заказчика  дежурство]]</f>
        <v>0</v>
      </c>
      <c r="O20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3" s="9"/>
      <c r="R2073" s="9"/>
      <c r="S2073" s="5"/>
      <c r="T20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табеле]])*S2073,0)</f>
        <v>0</v>
      </c>
      <c r="U2073" s="5">
        <f>IF(Таблица1[[#This Row],[ТТН]]&gt;0,Таблица1[[#This Row],[Ставка за ТТН]]*Таблица1[[#This Row],[ТТН]],0)</f>
        <v>0</v>
      </c>
    </row>
    <row r="2074" spans="1:21" x14ac:dyDescent="0.25">
      <c r="A2074" t="s">
        <v>84</v>
      </c>
      <c r="B2074" s="24">
        <v>30</v>
      </c>
      <c r="C2074" t="s">
        <v>162</v>
      </c>
      <c r="D2074" t="s">
        <v>71</v>
      </c>
      <c r="E2074" t="s">
        <v>215</v>
      </c>
      <c r="F2074" t="s">
        <v>71</v>
      </c>
      <c r="H2074" t="s">
        <v>24</v>
      </c>
      <c r="I2074" t="s">
        <v>217</v>
      </c>
      <c r="J2074">
        <v>8</v>
      </c>
      <c r="N2074">
        <f>Таблица1[[#This Row],[Часов на заказчика  в работе]]+Таблица1[[#This Row],[Часов на заказчика  дежурство]]</f>
        <v>0</v>
      </c>
      <c r="O20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4" s="9"/>
      <c r="R2074" s="9"/>
      <c r="S2074" s="5"/>
      <c r="T20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табеле]])*S2074,0)</f>
        <v>0</v>
      </c>
      <c r="U2074" s="5">
        <f>IF(Таблица1[[#This Row],[ТТН]]&gt;0,Таблица1[[#This Row],[Ставка за ТТН]]*Таблица1[[#This Row],[ТТН]],0)</f>
        <v>0</v>
      </c>
    </row>
    <row r="2075" spans="1:21" x14ac:dyDescent="0.25">
      <c r="A2075" t="s">
        <v>84</v>
      </c>
      <c r="B2075" s="24">
        <v>1</v>
      </c>
      <c r="C2075" t="s">
        <v>162</v>
      </c>
      <c r="D2075" t="s">
        <v>12</v>
      </c>
      <c r="E2075" t="s">
        <v>215</v>
      </c>
      <c r="F2075" t="s">
        <v>66</v>
      </c>
      <c r="H2075" t="s">
        <v>10</v>
      </c>
      <c r="I2075" t="s">
        <v>219</v>
      </c>
      <c r="J2075">
        <v>11</v>
      </c>
      <c r="N2075">
        <f>Таблица1[[#This Row],[Часов на заказчика  в работе]]+Таблица1[[#This Row],[Часов на заказчика  дежурство]]</f>
        <v>0</v>
      </c>
      <c r="O20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5" s="9">
        <v>162000</v>
      </c>
      <c r="R2075" s="9"/>
      <c r="S2075" s="5">
        <v>1</v>
      </c>
      <c r="T20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табеле]])*S2075,0)</f>
        <v>5400</v>
      </c>
      <c r="U2075" s="5">
        <f>IF(Таблица1[[#This Row],[ТТН]]&gt;0,Таблица1[[#This Row],[Ставка за ТТН]]*Таблица1[[#This Row],[ТТН]],0)</f>
        <v>0</v>
      </c>
    </row>
    <row r="2076" spans="1:21" x14ac:dyDescent="0.25">
      <c r="A2076" t="s">
        <v>84</v>
      </c>
      <c r="B2076" s="24">
        <v>2</v>
      </c>
      <c r="C2076" t="s">
        <v>162</v>
      </c>
      <c r="D2076" t="s">
        <v>12</v>
      </c>
      <c r="E2076" t="s">
        <v>215</v>
      </c>
      <c r="F2076" t="s">
        <v>66</v>
      </c>
      <c r="H2076" t="s">
        <v>10</v>
      </c>
      <c r="I2076" t="s">
        <v>219</v>
      </c>
      <c r="J2076">
        <v>22</v>
      </c>
      <c r="K2076">
        <v>1</v>
      </c>
      <c r="N2076">
        <f>Таблица1[[#This Row],[Часов на заказчика  в работе]]+Таблица1[[#This Row],[Часов на заказчика  дежурство]]</f>
        <v>0</v>
      </c>
      <c r="O20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6" s="9">
        <v>162000</v>
      </c>
      <c r="R2076" s="9">
        <v>2000</v>
      </c>
      <c r="S2076" s="5">
        <v>1</v>
      </c>
      <c r="T20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табеле]])*S2076,0)</f>
        <v>10800</v>
      </c>
      <c r="U2076" s="5">
        <f>IF(Таблица1[[#This Row],[ТТН]]&gt;0,Таблица1[[#This Row],[Ставка за ТТН]]*Таблица1[[#This Row],[ТТН]],0)</f>
        <v>2000</v>
      </c>
    </row>
    <row r="2077" spans="1:21" x14ac:dyDescent="0.25">
      <c r="A2077" t="s">
        <v>84</v>
      </c>
      <c r="B2077" s="24">
        <v>3</v>
      </c>
      <c r="C2077" t="s">
        <v>162</v>
      </c>
      <c r="D2077" t="s">
        <v>12</v>
      </c>
      <c r="E2077" t="s">
        <v>215</v>
      </c>
      <c r="F2077" t="s">
        <v>66</v>
      </c>
      <c r="H2077" t="s">
        <v>10</v>
      </c>
      <c r="I2077" t="s">
        <v>219</v>
      </c>
      <c r="J2077">
        <v>11</v>
      </c>
      <c r="K2077">
        <v>1</v>
      </c>
      <c r="N2077">
        <f>Таблица1[[#This Row],[Часов на заказчика  в работе]]+Таблица1[[#This Row],[Часов на заказчика  дежурство]]</f>
        <v>0</v>
      </c>
      <c r="O20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7" s="9">
        <v>162000</v>
      </c>
      <c r="R2077" s="9">
        <v>2000</v>
      </c>
      <c r="S2077" s="5">
        <v>1</v>
      </c>
      <c r="T20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табеле]])*S2077,0)</f>
        <v>5400</v>
      </c>
      <c r="U2077" s="5">
        <f>IF(Таблица1[[#This Row],[ТТН]]&gt;0,Таблица1[[#This Row],[Ставка за ТТН]]*Таблица1[[#This Row],[ТТН]],0)</f>
        <v>2000</v>
      </c>
    </row>
    <row r="2078" spans="1:21" x14ac:dyDescent="0.25">
      <c r="A2078" t="s">
        <v>84</v>
      </c>
      <c r="B2078" s="24">
        <v>4</v>
      </c>
      <c r="C2078" t="s">
        <v>162</v>
      </c>
      <c r="D2078" t="s">
        <v>12</v>
      </c>
      <c r="E2078" t="s">
        <v>215</v>
      </c>
      <c r="F2078" t="s">
        <v>66</v>
      </c>
      <c r="H2078" t="s">
        <v>10</v>
      </c>
      <c r="I2078" t="s">
        <v>219</v>
      </c>
      <c r="J2078">
        <v>22</v>
      </c>
      <c r="K2078">
        <v>1</v>
      </c>
      <c r="N2078">
        <f>Таблица1[[#This Row],[Часов на заказчика  в работе]]+Таблица1[[#This Row],[Часов на заказчика  дежурство]]</f>
        <v>0</v>
      </c>
      <c r="O20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8" s="9">
        <v>162000</v>
      </c>
      <c r="R2078" s="9">
        <v>2000</v>
      </c>
      <c r="S2078" s="5">
        <v>1</v>
      </c>
      <c r="T20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табеле]])*S2078,0)</f>
        <v>10800</v>
      </c>
      <c r="U2078" s="5">
        <f>IF(Таблица1[[#This Row],[ТТН]]&gt;0,Таблица1[[#This Row],[Ставка за ТТН]]*Таблица1[[#This Row],[ТТН]],0)</f>
        <v>2000</v>
      </c>
    </row>
    <row r="2079" spans="1:21" x14ac:dyDescent="0.25">
      <c r="A2079" t="s">
        <v>84</v>
      </c>
      <c r="B2079" s="24">
        <v>5</v>
      </c>
      <c r="C2079" t="s">
        <v>162</v>
      </c>
      <c r="D2079" t="s">
        <v>12</v>
      </c>
      <c r="E2079" t="s">
        <v>215</v>
      </c>
      <c r="F2079" t="s">
        <v>66</v>
      </c>
      <c r="H2079" t="s">
        <v>10</v>
      </c>
      <c r="I2079" t="s">
        <v>219</v>
      </c>
      <c r="J2079">
        <v>11</v>
      </c>
      <c r="N2079">
        <f>Таблица1[[#This Row],[Часов на заказчика  в работе]]+Таблица1[[#This Row],[Часов на заказчика  дежурство]]</f>
        <v>0</v>
      </c>
      <c r="O20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79" s="9">
        <v>162000</v>
      </c>
      <c r="R2079" s="9"/>
      <c r="S2079" s="5">
        <v>1</v>
      </c>
      <c r="T20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табеле]])*S2079,0)</f>
        <v>5400</v>
      </c>
      <c r="U2079" s="5">
        <f>IF(Таблица1[[#This Row],[ТТН]]&gt;0,Таблица1[[#This Row],[Ставка за ТТН]]*Таблица1[[#This Row],[ТТН]],0)</f>
        <v>0</v>
      </c>
    </row>
    <row r="2080" spans="1:21" x14ac:dyDescent="0.25">
      <c r="A2080" t="s">
        <v>84</v>
      </c>
      <c r="B2080" s="24">
        <v>6</v>
      </c>
      <c r="C2080" t="s">
        <v>162</v>
      </c>
      <c r="D2080" t="s">
        <v>12</v>
      </c>
      <c r="E2080" t="s">
        <v>215</v>
      </c>
      <c r="F2080" t="s">
        <v>66</v>
      </c>
      <c r="H2080" t="s">
        <v>10</v>
      </c>
      <c r="I2080" t="s">
        <v>219</v>
      </c>
      <c r="J2080">
        <v>22</v>
      </c>
      <c r="K2080">
        <v>1</v>
      </c>
      <c r="N2080">
        <f>Таблица1[[#This Row],[Часов на заказчика  в работе]]+Таблица1[[#This Row],[Часов на заказчика  дежурство]]</f>
        <v>0</v>
      </c>
      <c r="O20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0" s="9">
        <v>162000</v>
      </c>
      <c r="R2080" s="9">
        <v>2000</v>
      </c>
      <c r="S2080" s="5">
        <v>1</v>
      </c>
      <c r="T20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табеле]])*S2080,0)</f>
        <v>10800</v>
      </c>
      <c r="U2080" s="5">
        <f>IF(Таблица1[[#This Row],[ТТН]]&gt;0,Таблица1[[#This Row],[Ставка за ТТН]]*Таблица1[[#This Row],[ТТН]],0)</f>
        <v>2000</v>
      </c>
    </row>
    <row r="2081" spans="1:22" x14ac:dyDescent="0.25">
      <c r="A2081" t="s">
        <v>84</v>
      </c>
      <c r="B2081" s="24">
        <v>7</v>
      </c>
      <c r="C2081" t="s">
        <v>162</v>
      </c>
      <c r="D2081" t="s">
        <v>12</v>
      </c>
      <c r="E2081" t="s">
        <v>215</v>
      </c>
      <c r="F2081" t="s">
        <v>66</v>
      </c>
      <c r="H2081" t="s">
        <v>10</v>
      </c>
      <c r="I2081" t="s">
        <v>219</v>
      </c>
      <c r="J2081">
        <v>11</v>
      </c>
      <c r="N2081">
        <f>Таблица1[[#This Row],[Часов на заказчика  в работе]]+Таблица1[[#This Row],[Часов на заказчика  дежурство]]</f>
        <v>0</v>
      </c>
      <c r="O20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1" s="9">
        <v>162000</v>
      </c>
      <c r="R2081" s="9"/>
      <c r="S2081" s="5">
        <v>1</v>
      </c>
      <c r="T20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табеле]])*S2081,0)</f>
        <v>5400</v>
      </c>
      <c r="U2081" s="5">
        <f>IF(Таблица1[[#This Row],[ТТН]]&gt;0,Таблица1[[#This Row],[Ставка за ТТН]]*Таблица1[[#This Row],[ТТН]],0)</f>
        <v>0</v>
      </c>
    </row>
    <row r="2082" spans="1:22" x14ac:dyDescent="0.25">
      <c r="A2082" t="s">
        <v>84</v>
      </c>
      <c r="B2082" s="24">
        <v>8</v>
      </c>
      <c r="C2082" t="s">
        <v>162</v>
      </c>
      <c r="D2082" t="s">
        <v>12</v>
      </c>
      <c r="E2082" t="s">
        <v>215</v>
      </c>
      <c r="F2082" t="s">
        <v>66</v>
      </c>
      <c r="H2082" t="s">
        <v>10</v>
      </c>
      <c r="I2082" t="s">
        <v>219</v>
      </c>
      <c r="J2082">
        <v>22</v>
      </c>
      <c r="K2082">
        <v>2</v>
      </c>
      <c r="N2082">
        <f>Таблица1[[#This Row],[Часов на заказчика  в работе]]+Таблица1[[#This Row],[Часов на заказчика  дежурство]]</f>
        <v>0</v>
      </c>
      <c r="O20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2" s="9">
        <v>162000</v>
      </c>
      <c r="R2082" s="9">
        <v>2000</v>
      </c>
      <c r="S2082" s="5">
        <v>1</v>
      </c>
      <c r="T20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табеле]])*S2082,0)</f>
        <v>10800</v>
      </c>
      <c r="U2082" s="5">
        <f>IF(Таблица1[[#This Row],[ТТН]]&gt;0,Таблица1[[#This Row],[Ставка за ТТН]]*Таблица1[[#This Row],[ТТН]],0)</f>
        <v>4000</v>
      </c>
    </row>
    <row r="2083" spans="1:22" x14ac:dyDescent="0.25">
      <c r="A2083" t="s">
        <v>84</v>
      </c>
      <c r="B2083" s="24">
        <v>9</v>
      </c>
      <c r="C2083" t="s">
        <v>162</v>
      </c>
      <c r="D2083" t="s">
        <v>12</v>
      </c>
      <c r="E2083" t="s">
        <v>215</v>
      </c>
      <c r="F2083" t="s">
        <v>66</v>
      </c>
      <c r="H2083" t="s">
        <v>10</v>
      </c>
      <c r="I2083" t="s">
        <v>219</v>
      </c>
      <c r="J2083">
        <v>22</v>
      </c>
      <c r="K2083">
        <v>1</v>
      </c>
      <c r="N2083">
        <f>Таблица1[[#This Row],[Часов на заказчика  в работе]]+Таблица1[[#This Row],[Часов на заказчика  дежурство]]</f>
        <v>0</v>
      </c>
      <c r="O20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3" s="9">
        <v>162000</v>
      </c>
      <c r="R2083" s="9">
        <v>2000</v>
      </c>
      <c r="S2083" s="5">
        <v>1</v>
      </c>
      <c r="T20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табеле]])*S2083,0)</f>
        <v>10800</v>
      </c>
      <c r="U2083" s="5">
        <f>IF(Таблица1[[#This Row],[ТТН]]&gt;0,Таблица1[[#This Row],[Ставка за ТТН]]*Таблица1[[#This Row],[ТТН]],0)</f>
        <v>2000</v>
      </c>
    </row>
    <row r="2084" spans="1:22" x14ac:dyDescent="0.25">
      <c r="A2084" t="s">
        <v>84</v>
      </c>
      <c r="B2084" s="24">
        <v>10</v>
      </c>
      <c r="C2084" t="s">
        <v>162</v>
      </c>
      <c r="D2084" t="s">
        <v>12</v>
      </c>
      <c r="E2084" t="s">
        <v>215</v>
      </c>
      <c r="F2084" t="s">
        <v>66</v>
      </c>
      <c r="H2084" t="s">
        <v>10</v>
      </c>
      <c r="I2084" t="s">
        <v>219</v>
      </c>
      <c r="J2084">
        <v>22</v>
      </c>
      <c r="K2084">
        <v>1</v>
      </c>
      <c r="N2084">
        <f>Таблица1[[#This Row],[Часов на заказчика  в работе]]+Таблица1[[#This Row],[Часов на заказчика  дежурство]]</f>
        <v>0</v>
      </c>
      <c r="O20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4" s="9">
        <v>162000</v>
      </c>
      <c r="R2084" s="9">
        <v>2000</v>
      </c>
      <c r="S2084" s="5">
        <v>1</v>
      </c>
      <c r="T20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табеле]])*S2084,0)</f>
        <v>10800</v>
      </c>
      <c r="U2084" s="5">
        <f>IF(Таблица1[[#This Row],[ТТН]]&gt;0,Таблица1[[#This Row],[Ставка за ТТН]]*Таблица1[[#This Row],[ТТН]],0)</f>
        <v>2000</v>
      </c>
    </row>
    <row r="2085" spans="1:22" x14ac:dyDescent="0.25">
      <c r="A2085" t="s">
        <v>84</v>
      </c>
      <c r="B2085" s="24">
        <v>11</v>
      </c>
      <c r="C2085" t="s">
        <v>162</v>
      </c>
      <c r="D2085" t="s">
        <v>12</v>
      </c>
      <c r="E2085" t="s">
        <v>215</v>
      </c>
      <c r="F2085" t="s">
        <v>66</v>
      </c>
      <c r="H2085" t="s">
        <v>10</v>
      </c>
      <c r="I2085" t="s">
        <v>219</v>
      </c>
      <c r="J2085">
        <v>22</v>
      </c>
      <c r="K2085">
        <v>1</v>
      </c>
      <c r="N2085">
        <f>Таблица1[[#This Row],[Часов на заказчика  в работе]]+Таблица1[[#This Row],[Часов на заказчика  дежурство]]</f>
        <v>0</v>
      </c>
      <c r="O20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5" s="9">
        <v>162000</v>
      </c>
      <c r="R2085" s="9">
        <v>2000</v>
      </c>
      <c r="S2085" s="5">
        <v>1</v>
      </c>
      <c r="T20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табеле]])*S2085,0)</f>
        <v>10800</v>
      </c>
      <c r="U2085" s="5">
        <f>IF(Таблица1[[#This Row],[ТТН]]&gt;0,Таблица1[[#This Row],[Ставка за ТТН]]*Таблица1[[#This Row],[ТТН]],0)</f>
        <v>2000</v>
      </c>
    </row>
    <row r="2086" spans="1:22" x14ac:dyDescent="0.25">
      <c r="A2086" t="s">
        <v>84</v>
      </c>
      <c r="B2086" s="24">
        <v>12</v>
      </c>
      <c r="C2086" t="s">
        <v>162</v>
      </c>
      <c r="D2086" t="s">
        <v>12</v>
      </c>
      <c r="E2086" t="s">
        <v>215</v>
      </c>
      <c r="F2086" t="s">
        <v>66</v>
      </c>
      <c r="H2086" t="s">
        <v>10</v>
      </c>
      <c r="I2086" t="s">
        <v>219</v>
      </c>
      <c r="J2086">
        <v>11</v>
      </c>
      <c r="N2086">
        <f>Таблица1[[#This Row],[Часов на заказчика  в работе]]+Таблица1[[#This Row],[Часов на заказчика  дежурство]]</f>
        <v>0</v>
      </c>
      <c r="O20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6" s="9">
        <v>162000</v>
      </c>
      <c r="R2086" s="9"/>
      <c r="S2086" s="5">
        <v>1</v>
      </c>
      <c r="T20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табеле]])*S2086,0)</f>
        <v>5400</v>
      </c>
      <c r="U2086" s="5">
        <f>IF(Таблица1[[#This Row],[ТТН]]&gt;0,Таблица1[[#This Row],[Ставка за ТТН]]*Таблица1[[#This Row],[ТТН]],0)</f>
        <v>0</v>
      </c>
    </row>
    <row r="2087" spans="1:22" x14ac:dyDescent="0.25">
      <c r="A2087" t="s">
        <v>84</v>
      </c>
      <c r="B2087" s="24">
        <v>13</v>
      </c>
      <c r="C2087" t="s">
        <v>162</v>
      </c>
      <c r="D2087" t="s">
        <v>12</v>
      </c>
      <c r="E2087" t="s">
        <v>215</v>
      </c>
      <c r="F2087" t="s">
        <v>66</v>
      </c>
      <c r="H2087" t="s">
        <v>10</v>
      </c>
      <c r="I2087" t="s">
        <v>219</v>
      </c>
      <c r="J2087">
        <v>11</v>
      </c>
      <c r="N2087">
        <f>Таблица1[[#This Row],[Часов на заказчика  в работе]]+Таблица1[[#This Row],[Часов на заказчика  дежурство]]</f>
        <v>0</v>
      </c>
      <c r="O20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7" s="9">
        <v>162000</v>
      </c>
      <c r="R2087" s="9"/>
      <c r="S2087" s="5">
        <v>1</v>
      </c>
      <c r="T20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табеле]])*S2087,0)</f>
        <v>5400</v>
      </c>
      <c r="U2087" s="5">
        <f>IF(Таблица1[[#This Row],[ТТН]]&gt;0,Таблица1[[#This Row],[Ставка за ТТН]]*Таблица1[[#This Row],[ТТН]],0)</f>
        <v>0</v>
      </c>
    </row>
    <row r="2088" spans="1:22" x14ac:dyDescent="0.25">
      <c r="A2088" t="s">
        <v>84</v>
      </c>
      <c r="B2088" s="24">
        <v>14</v>
      </c>
      <c r="C2088" t="s">
        <v>162</v>
      </c>
      <c r="D2088" t="s">
        <v>12</v>
      </c>
      <c r="E2088" t="s">
        <v>215</v>
      </c>
      <c r="F2088" t="s">
        <v>66</v>
      </c>
      <c r="H2088" t="s">
        <v>10</v>
      </c>
      <c r="I2088" t="s">
        <v>219</v>
      </c>
      <c r="J2088">
        <v>22</v>
      </c>
      <c r="K2088">
        <v>1</v>
      </c>
      <c r="N2088">
        <f>Таблица1[[#This Row],[Часов на заказчика  в работе]]+Таблица1[[#This Row],[Часов на заказчика  дежурство]]</f>
        <v>0</v>
      </c>
      <c r="O20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8" s="9">
        <v>162000</v>
      </c>
      <c r="R2088" s="9">
        <v>2000</v>
      </c>
      <c r="S2088" s="5">
        <v>1</v>
      </c>
      <c r="T20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табеле]])*S2088,0)</f>
        <v>10800</v>
      </c>
      <c r="U2088" s="5">
        <f>IF(Таблица1[[#This Row],[ТТН]]&gt;0,Таблица1[[#This Row],[Ставка за ТТН]]*Таблица1[[#This Row],[ТТН]],0)</f>
        <v>2000</v>
      </c>
    </row>
    <row r="2089" spans="1:22" x14ac:dyDescent="0.25">
      <c r="A2089" t="s">
        <v>84</v>
      </c>
      <c r="B2089" s="24">
        <v>15</v>
      </c>
      <c r="C2089" t="s">
        <v>162</v>
      </c>
      <c r="D2089" t="s">
        <v>12</v>
      </c>
      <c r="E2089" t="s">
        <v>215</v>
      </c>
      <c r="F2089" t="s">
        <v>66</v>
      </c>
      <c r="H2089" t="s">
        <v>10</v>
      </c>
      <c r="I2089" t="s">
        <v>219</v>
      </c>
      <c r="J2089">
        <v>11</v>
      </c>
      <c r="N2089">
        <f>Таблица1[[#This Row],[Часов на заказчика  в работе]]+Таблица1[[#This Row],[Часов на заказчика  дежурство]]</f>
        <v>0</v>
      </c>
      <c r="O20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89" s="9">
        <v>162000</v>
      </c>
      <c r="R2089" s="9"/>
      <c r="S2089" s="5">
        <v>1</v>
      </c>
      <c r="T20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табеле]])*S2089,0)</f>
        <v>5400</v>
      </c>
      <c r="U2089" s="5">
        <f>IF(Таблица1[[#This Row],[ТТН]]&gt;0,Таблица1[[#This Row],[Ставка за ТТН]]*Таблица1[[#This Row],[ТТН]],0)</f>
        <v>0</v>
      </c>
    </row>
    <row r="2090" spans="1:22" x14ac:dyDescent="0.25">
      <c r="A2090" t="s">
        <v>84</v>
      </c>
      <c r="B2090" s="24">
        <v>16</v>
      </c>
      <c r="C2090" t="s">
        <v>162</v>
      </c>
      <c r="D2090" t="s">
        <v>12</v>
      </c>
      <c r="E2090" t="s">
        <v>215</v>
      </c>
      <c r="F2090" t="s">
        <v>66</v>
      </c>
      <c r="H2090" t="s">
        <v>10</v>
      </c>
      <c r="I2090" t="s">
        <v>219</v>
      </c>
      <c r="J2090">
        <v>22</v>
      </c>
      <c r="K2090">
        <v>1</v>
      </c>
      <c r="N2090">
        <f>Таблица1[[#This Row],[Часов на заказчика  в работе]]+Таблица1[[#This Row],[Часов на заказчика  дежурство]]</f>
        <v>0</v>
      </c>
      <c r="O20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0" s="9">
        <v>162000</v>
      </c>
      <c r="R2090" s="9">
        <v>2000</v>
      </c>
      <c r="S2090" s="5">
        <v>1</v>
      </c>
      <c r="T20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табеле]])*S2090,0)</f>
        <v>10800</v>
      </c>
      <c r="U2090" s="5">
        <f>IF(Таблица1[[#This Row],[ТТН]]&gt;0,Таблица1[[#This Row],[Ставка за ТТН]]*Таблица1[[#This Row],[ТТН]],0)</f>
        <v>2000</v>
      </c>
    </row>
    <row r="2091" spans="1:22" x14ac:dyDescent="0.25">
      <c r="A2091" t="s">
        <v>84</v>
      </c>
      <c r="B2091" s="24">
        <v>17</v>
      </c>
      <c r="C2091" t="s">
        <v>162</v>
      </c>
      <c r="D2091" t="s">
        <v>12</v>
      </c>
      <c r="E2091" t="s">
        <v>215</v>
      </c>
      <c r="F2091" t="s">
        <v>66</v>
      </c>
      <c r="H2091" t="s">
        <v>10</v>
      </c>
      <c r="I2091" t="s">
        <v>219</v>
      </c>
      <c r="J2091">
        <v>11</v>
      </c>
      <c r="N2091">
        <f>Таблица1[[#This Row],[Часов на заказчика  в работе]]+Таблица1[[#This Row],[Часов на заказчика  дежурство]]</f>
        <v>0</v>
      </c>
      <c r="O20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1" s="9">
        <v>162000</v>
      </c>
      <c r="R2091" s="9"/>
      <c r="S2091" s="5">
        <v>1</v>
      </c>
      <c r="T20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табеле]])*S2091,0)</f>
        <v>5400</v>
      </c>
      <c r="U2091" s="5">
        <f>IF(Таблица1[[#This Row],[ТТН]]&gt;0,Таблица1[[#This Row],[Ставка за ТТН]]*Таблица1[[#This Row],[ТТН]],0)</f>
        <v>0</v>
      </c>
    </row>
    <row r="2092" spans="1:22" x14ac:dyDescent="0.25">
      <c r="A2092" t="s">
        <v>84</v>
      </c>
      <c r="B2092" s="24">
        <v>18</v>
      </c>
      <c r="C2092" t="s">
        <v>162</v>
      </c>
      <c r="D2092" t="s">
        <v>12</v>
      </c>
      <c r="E2092" t="s">
        <v>215</v>
      </c>
      <c r="F2092" t="s">
        <v>66</v>
      </c>
      <c r="H2092" t="s">
        <v>10</v>
      </c>
      <c r="I2092" t="s">
        <v>219</v>
      </c>
      <c r="J2092">
        <v>11</v>
      </c>
      <c r="K2092">
        <v>1</v>
      </c>
      <c r="N2092">
        <f>Таблица1[[#This Row],[Часов на заказчика  в работе]]+Таблица1[[#This Row],[Часов на заказчика  дежурство]]</f>
        <v>0</v>
      </c>
      <c r="O20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2" s="9">
        <v>162000</v>
      </c>
      <c r="R2092" s="9">
        <v>5000</v>
      </c>
      <c r="S2092" s="5">
        <v>1</v>
      </c>
      <c r="T20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табеле]])*S2092,0)</f>
        <v>5400</v>
      </c>
      <c r="U2092" s="5">
        <f>IF(Таблица1[[#This Row],[ТТН]]&gt;0,Таблица1[[#This Row],[Ставка за ТТН]]*Таблица1[[#This Row],[ТТН]],0)</f>
        <v>5000</v>
      </c>
      <c r="V2092" t="s">
        <v>95</v>
      </c>
    </row>
    <row r="2093" spans="1:22" x14ac:dyDescent="0.25">
      <c r="A2093" t="s">
        <v>84</v>
      </c>
      <c r="B2093" s="24">
        <v>19</v>
      </c>
      <c r="C2093" t="s">
        <v>162</v>
      </c>
      <c r="D2093" t="s">
        <v>12</v>
      </c>
      <c r="E2093" t="s">
        <v>215</v>
      </c>
      <c r="F2093" t="s">
        <v>66</v>
      </c>
      <c r="H2093" t="s">
        <v>10</v>
      </c>
      <c r="I2093" t="s">
        <v>219</v>
      </c>
      <c r="J2093">
        <v>22</v>
      </c>
      <c r="N2093">
        <f>Таблица1[[#This Row],[Часов на заказчика  в работе]]+Таблица1[[#This Row],[Часов на заказчика  дежурство]]</f>
        <v>0</v>
      </c>
      <c r="O20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3" s="9">
        <v>162000</v>
      </c>
      <c r="R2093" s="9"/>
      <c r="S2093" s="5">
        <v>1</v>
      </c>
      <c r="T20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табеле]])*S2093,0)</f>
        <v>10800</v>
      </c>
      <c r="U2093" s="5">
        <f>IF(Таблица1[[#This Row],[ТТН]]&gt;0,Таблица1[[#This Row],[Ставка за ТТН]]*Таблица1[[#This Row],[ТТН]],0)</f>
        <v>0</v>
      </c>
    </row>
    <row r="2094" spans="1:22" x14ac:dyDescent="0.25">
      <c r="A2094" t="s">
        <v>84</v>
      </c>
      <c r="B2094" s="24">
        <v>20</v>
      </c>
      <c r="C2094" t="s">
        <v>162</v>
      </c>
      <c r="D2094" t="s">
        <v>12</v>
      </c>
      <c r="E2094" t="s">
        <v>215</v>
      </c>
      <c r="F2094" t="s">
        <v>66</v>
      </c>
      <c r="H2094" t="s">
        <v>10</v>
      </c>
      <c r="I2094" t="s">
        <v>219</v>
      </c>
      <c r="J2094">
        <v>22</v>
      </c>
      <c r="N2094">
        <f>Таблица1[[#This Row],[Часов на заказчика  в работе]]+Таблица1[[#This Row],[Часов на заказчика  дежурство]]</f>
        <v>0</v>
      </c>
      <c r="O20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4" s="9">
        <v>162000</v>
      </c>
      <c r="R2094" s="9"/>
      <c r="S2094" s="5">
        <v>1</v>
      </c>
      <c r="T20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табеле]])*S2094,0)</f>
        <v>10800</v>
      </c>
      <c r="U2094" s="5">
        <f>IF(Таблица1[[#This Row],[ТТН]]&gt;0,Таблица1[[#This Row],[Ставка за ТТН]]*Таблица1[[#This Row],[ТТН]],0)</f>
        <v>0</v>
      </c>
    </row>
    <row r="2095" spans="1:22" x14ac:dyDescent="0.25">
      <c r="A2095" t="s">
        <v>84</v>
      </c>
      <c r="B2095" s="24">
        <v>21</v>
      </c>
      <c r="C2095" t="s">
        <v>162</v>
      </c>
      <c r="D2095" t="s">
        <v>12</v>
      </c>
      <c r="E2095" t="s">
        <v>215</v>
      </c>
      <c r="F2095" t="s">
        <v>66</v>
      </c>
      <c r="H2095" t="s">
        <v>10</v>
      </c>
      <c r="I2095" t="s">
        <v>219</v>
      </c>
      <c r="J2095">
        <v>22</v>
      </c>
      <c r="N2095">
        <f>Таблица1[[#This Row],[Часов на заказчика  в работе]]+Таблица1[[#This Row],[Часов на заказчика  дежурство]]</f>
        <v>0</v>
      </c>
      <c r="O20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5" s="9">
        <v>162000</v>
      </c>
      <c r="R2095" s="9"/>
      <c r="S2095" s="5">
        <v>1</v>
      </c>
      <c r="T20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табеле]])*S2095,0)</f>
        <v>10800</v>
      </c>
      <c r="U2095" s="5">
        <f>IF(Таблица1[[#This Row],[ТТН]]&gt;0,Таблица1[[#This Row],[Ставка за ТТН]]*Таблица1[[#This Row],[ТТН]],0)</f>
        <v>0</v>
      </c>
    </row>
    <row r="2096" spans="1:22" x14ac:dyDescent="0.25">
      <c r="A2096" t="s">
        <v>84</v>
      </c>
      <c r="B2096" s="24">
        <v>22</v>
      </c>
      <c r="C2096" t="s">
        <v>162</v>
      </c>
      <c r="D2096" t="s">
        <v>12</v>
      </c>
      <c r="E2096" t="s">
        <v>215</v>
      </c>
      <c r="F2096" t="s">
        <v>66</v>
      </c>
      <c r="H2096" t="s">
        <v>10</v>
      </c>
      <c r="I2096" t="s">
        <v>219</v>
      </c>
      <c r="J2096">
        <v>22</v>
      </c>
      <c r="N2096">
        <f>Таблица1[[#This Row],[Часов на заказчика  в работе]]+Таблица1[[#This Row],[Часов на заказчика  дежурство]]</f>
        <v>0</v>
      </c>
      <c r="O20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6" s="9">
        <v>162000</v>
      </c>
      <c r="R2096" s="9"/>
      <c r="S2096" s="5">
        <v>1</v>
      </c>
      <c r="T20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табеле]])*S2096,0)</f>
        <v>10800</v>
      </c>
      <c r="U2096" s="5">
        <f>IF(Таблица1[[#This Row],[ТТН]]&gt;0,Таблица1[[#This Row],[Ставка за ТТН]]*Таблица1[[#This Row],[ТТН]],0)</f>
        <v>0</v>
      </c>
    </row>
    <row r="2097" spans="1:22" x14ac:dyDescent="0.25">
      <c r="A2097" t="s">
        <v>84</v>
      </c>
      <c r="B2097" s="24">
        <v>23</v>
      </c>
      <c r="C2097" t="s">
        <v>162</v>
      </c>
      <c r="D2097" t="s">
        <v>12</v>
      </c>
      <c r="E2097" t="s">
        <v>215</v>
      </c>
      <c r="F2097" t="s">
        <v>66</v>
      </c>
      <c r="H2097" t="s">
        <v>10</v>
      </c>
      <c r="I2097" t="s">
        <v>219</v>
      </c>
      <c r="J2097">
        <v>11</v>
      </c>
      <c r="K2097">
        <v>1</v>
      </c>
      <c r="N2097">
        <f>Таблица1[[#This Row],[Часов на заказчика  в работе]]+Таблица1[[#This Row],[Часов на заказчика  дежурство]]</f>
        <v>0</v>
      </c>
      <c r="O20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7" s="9">
        <v>162000</v>
      </c>
      <c r="R2097" s="9">
        <v>5000</v>
      </c>
      <c r="S2097" s="5">
        <v>1</v>
      </c>
      <c r="T20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табеле]])*S2097,0)</f>
        <v>5400</v>
      </c>
      <c r="U2097" s="5">
        <f>IF(Таблица1[[#This Row],[ТТН]]&gt;0,Таблица1[[#This Row],[Ставка за ТТН]]*Таблица1[[#This Row],[ТТН]],0)</f>
        <v>5000</v>
      </c>
      <c r="V2097" t="s">
        <v>95</v>
      </c>
    </row>
    <row r="2098" spans="1:22" x14ac:dyDescent="0.25">
      <c r="A2098" t="s">
        <v>84</v>
      </c>
      <c r="B2098" s="24">
        <v>24</v>
      </c>
      <c r="C2098" t="s">
        <v>162</v>
      </c>
      <c r="D2098" t="s">
        <v>12</v>
      </c>
      <c r="E2098" t="s">
        <v>215</v>
      </c>
      <c r="F2098" t="s">
        <v>66</v>
      </c>
      <c r="H2098" t="s">
        <v>10</v>
      </c>
      <c r="I2098" t="s">
        <v>219</v>
      </c>
      <c r="J2098">
        <v>22</v>
      </c>
      <c r="N2098">
        <f>Таблица1[[#This Row],[Часов на заказчика  в работе]]+Таблица1[[#This Row],[Часов на заказчика  дежурство]]</f>
        <v>0</v>
      </c>
      <c r="O20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8" s="9">
        <v>162000</v>
      </c>
      <c r="R2098" s="9"/>
      <c r="S2098" s="5">
        <v>1</v>
      </c>
      <c r="T20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табеле]])*S2098,0)</f>
        <v>10800</v>
      </c>
      <c r="U2098" s="5">
        <f>IF(Таблица1[[#This Row],[ТТН]]&gt;0,Таблица1[[#This Row],[Ставка за ТТН]]*Таблица1[[#This Row],[ТТН]],0)</f>
        <v>0</v>
      </c>
    </row>
    <row r="2099" spans="1:22" x14ac:dyDescent="0.25">
      <c r="A2099" t="s">
        <v>84</v>
      </c>
      <c r="B2099" s="24">
        <v>25</v>
      </c>
      <c r="C2099" t="s">
        <v>162</v>
      </c>
      <c r="D2099" t="s">
        <v>12</v>
      </c>
      <c r="E2099" t="s">
        <v>215</v>
      </c>
      <c r="F2099" t="s">
        <v>66</v>
      </c>
      <c r="H2099" t="s">
        <v>10</v>
      </c>
      <c r="I2099" t="s">
        <v>219</v>
      </c>
      <c r="J2099">
        <v>22</v>
      </c>
      <c r="N2099">
        <f>Таблица1[[#This Row],[Часов на заказчика  в работе]]+Таблица1[[#This Row],[Часов на заказчика  дежурство]]</f>
        <v>0</v>
      </c>
      <c r="O20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099" s="9">
        <v>162000</v>
      </c>
      <c r="R2099" s="9"/>
      <c r="S2099" s="5">
        <v>1</v>
      </c>
      <c r="T20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табеле]])*S2099,0)</f>
        <v>10800</v>
      </c>
      <c r="U2099" s="5">
        <f>IF(Таблица1[[#This Row],[ТТН]]&gt;0,Таблица1[[#This Row],[Ставка за ТТН]]*Таблица1[[#This Row],[ТТН]],0)</f>
        <v>0</v>
      </c>
    </row>
    <row r="2100" spans="1:22" x14ac:dyDescent="0.25">
      <c r="A2100" t="s">
        <v>84</v>
      </c>
      <c r="B2100" s="24">
        <v>26</v>
      </c>
      <c r="C2100" t="s">
        <v>162</v>
      </c>
      <c r="D2100" t="s">
        <v>12</v>
      </c>
      <c r="E2100" t="s">
        <v>215</v>
      </c>
      <c r="F2100" t="s">
        <v>66</v>
      </c>
      <c r="H2100" t="s">
        <v>10</v>
      </c>
      <c r="I2100" t="s">
        <v>219</v>
      </c>
      <c r="J2100">
        <v>22</v>
      </c>
      <c r="N2100">
        <f>Таблица1[[#This Row],[Часов на заказчика  в работе]]+Таблица1[[#This Row],[Часов на заказчика  дежурство]]</f>
        <v>0</v>
      </c>
      <c r="O21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0" s="9">
        <v>162000</v>
      </c>
      <c r="R2100" s="9"/>
      <c r="S2100" s="5">
        <v>1</v>
      </c>
      <c r="T21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табеле]])*S2100,0)</f>
        <v>10800</v>
      </c>
      <c r="U2100" s="5">
        <f>IF(Таблица1[[#This Row],[ТТН]]&gt;0,Таблица1[[#This Row],[Ставка за ТТН]]*Таблица1[[#This Row],[ТТН]],0)</f>
        <v>0</v>
      </c>
    </row>
    <row r="2101" spans="1:22" x14ac:dyDescent="0.25">
      <c r="A2101" t="s">
        <v>84</v>
      </c>
      <c r="B2101" s="24">
        <v>27</v>
      </c>
      <c r="C2101" t="s">
        <v>162</v>
      </c>
      <c r="D2101" t="s">
        <v>12</v>
      </c>
      <c r="E2101" t="s">
        <v>215</v>
      </c>
      <c r="F2101" t="s">
        <v>66</v>
      </c>
      <c r="H2101" t="s">
        <v>10</v>
      </c>
      <c r="I2101" t="s">
        <v>219</v>
      </c>
      <c r="J2101">
        <v>22</v>
      </c>
      <c r="K2101">
        <v>1</v>
      </c>
      <c r="N2101">
        <f>Таблица1[[#This Row],[Часов на заказчика  в работе]]+Таблица1[[#This Row],[Часов на заказчика  дежурство]]</f>
        <v>0</v>
      </c>
      <c r="O21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1" s="9">
        <v>162000</v>
      </c>
      <c r="R2101" s="9">
        <v>2000</v>
      </c>
      <c r="S2101" s="5">
        <v>1</v>
      </c>
      <c r="T21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табеле]])*S2101,0)</f>
        <v>10800</v>
      </c>
      <c r="U2101" s="5">
        <f>IF(Таблица1[[#This Row],[ТТН]]&gt;0,Таблица1[[#This Row],[Ставка за ТТН]]*Таблица1[[#This Row],[ТТН]],0)</f>
        <v>2000</v>
      </c>
    </row>
    <row r="2102" spans="1:22" x14ac:dyDescent="0.25">
      <c r="A2102" t="s">
        <v>84</v>
      </c>
      <c r="B2102" s="24">
        <v>28</v>
      </c>
      <c r="C2102" t="s">
        <v>162</v>
      </c>
      <c r="D2102" t="s">
        <v>12</v>
      </c>
      <c r="E2102" t="s">
        <v>215</v>
      </c>
      <c r="F2102" t="s">
        <v>66</v>
      </c>
      <c r="H2102" t="s">
        <v>10</v>
      </c>
      <c r="I2102" t="s">
        <v>219</v>
      </c>
      <c r="J2102">
        <v>11</v>
      </c>
      <c r="K2102">
        <v>1</v>
      </c>
      <c r="N2102">
        <f>Таблица1[[#This Row],[Часов на заказчика  в работе]]+Таблица1[[#This Row],[Часов на заказчика  дежурство]]</f>
        <v>0</v>
      </c>
      <c r="O21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2" s="9">
        <v>162000</v>
      </c>
      <c r="R2102" s="9">
        <v>2000</v>
      </c>
      <c r="S2102" s="5">
        <v>1</v>
      </c>
      <c r="T21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табеле]])*S2102,0)</f>
        <v>5400</v>
      </c>
      <c r="U2102" s="5">
        <f>IF(Таблица1[[#This Row],[ТТН]]&gt;0,Таблица1[[#This Row],[Ставка за ТТН]]*Таблица1[[#This Row],[ТТН]],0)</f>
        <v>2000</v>
      </c>
    </row>
    <row r="2103" spans="1:22" x14ac:dyDescent="0.25">
      <c r="A2103" t="s">
        <v>84</v>
      </c>
      <c r="B2103" s="24">
        <v>29</v>
      </c>
      <c r="C2103" t="s">
        <v>162</v>
      </c>
      <c r="D2103" t="s">
        <v>12</v>
      </c>
      <c r="E2103" t="s">
        <v>215</v>
      </c>
      <c r="F2103" t="s">
        <v>66</v>
      </c>
      <c r="H2103" t="s">
        <v>10</v>
      </c>
      <c r="I2103" t="s">
        <v>219</v>
      </c>
      <c r="J2103">
        <v>22</v>
      </c>
      <c r="K2103">
        <v>1</v>
      </c>
      <c r="N2103">
        <f>Таблица1[[#This Row],[Часов на заказчика  в работе]]+Таблица1[[#This Row],[Часов на заказчика  дежурство]]</f>
        <v>0</v>
      </c>
      <c r="O21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3" s="9">
        <v>162000</v>
      </c>
      <c r="R2103" s="9">
        <v>2000</v>
      </c>
      <c r="S2103" s="5">
        <v>1</v>
      </c>
      <c r="T21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табеле]])*S2103,0)</f>
        <v>10800</v>
      </c>
      <c r="U2103" s="5">
        <f>IF(Таблица1[[#This Row],[ТТН]]&gt;0,Таблица1[[#This Row],[Ставка за ТТН]]*Таблица1[[#This Row],[ТТН]],0)</f>
        <v>2000</v>
      </c>
    </row>
    <row r="2104" spans="1:22" x14ac:dyDescent="0.25">
      <c r="A2104" t="s">
        <v>84</v>
      </c>
      <c r="B2104" s="24">
        <v>30</v>
      </c>
      <c r="C2104" t="s">
        <v>163</v>
      </c>
      <c r="D2104" t="s">
        <v>12</v>
      </c>
      <c r="E2104" t="s">
        <v>215</v>
      </c>
      <c r="F2104" t="s">
        <v>66</v>
      </c>
      <c r="H2104" t="s">
        <v>10</v>
      </c>
      <c r="I2104" t="s">
        <v>219</v>
      </c>
      <c r="J2104">
        <v>22</v>
      </c>
      <c r="K2104">
        <v>2</v>
      </c>
      <c r="N2104">
        <f>Таблица1[[#This Row],[Часов на заказчика  в работе]]+Таблица1[[#This Row],[Часов на заказчика  дежурство]]</f>
        <v>0</v>
      </c>
      <c r="O21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4" s="9">
        <v>162000</v>
      </c>
      <c r="R2104" s="9">
        <v>2000</v>
      </c>
      <c r="S2104" s="5">
        <v>1</v>
      </c>
      <c r="T21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табеле]])*S2104,0)</f>
        <v>10800</v>
      </c>
      <c r="U2104" s="5">
        <f>IF(Таблица1[[#This Row],[ТТН]]&gt;0,Таблица1[[#This Row],[Ставка за ТТН]]*Таблица1[[#This Row],[ТТН]],0)</f>
        <v>4000</v>
      </c>
    </row>
    <row r="2105" spans="1:22" x14ac:dyDescent="0.25">
      <c r="A2105" t="s">
        <v>84</v>
      </c>
      <c r="B2105" s="24">
        <v>1</v>
      </c>
      <c r="C2105" t="s">
        <v>163</v>
      </c>
      <c r="D2105" t="s">
        <v>12</v>
      </c>
      <c r="E2105" t="s">
        <v>215</v>
      </c>
      <c r="F2105" t="s">
        <v>66</v>
      </c>
      <c r="H2105" t="s">
        <v>10</v>
      </c>
      <c r="I2105" t="s">
        <v>219</v>
      </c>
      <c r="J2105">
        <v>11</v>
      </c>
      <c r="N2105">
        <f>Таблица1[[#This Row],[Часов на заказчика  в работе]]+Таблица1[[#This Row],[Часов на заказчика  дежурство]]</f>
        <v>0</v>
      </c>
      <c r="O21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5" s="9">
        <v>162000</v>
      </c>
      <c r="R2105" s="9"/>
      <c r="S2105" s="5">
        <v>1</v>
      </c>
      <c r="T21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табеле]])*S2105,0)</f>
        <v>5400</v>
      </c>
      <c r="U2105" s="5">
        <f>IF(Таблица1[[#This Row],[ТТН]]&gt;0,Таблица1[[#This Row],[Ставка за ТТН]]*Таблица1[[#This Row],[ТТН]],0)</f>
        <v>0</v>
      </c>
    </row>
    <row r="2106" spans="1:22" x14ac:dyDescent="0.25">
      <c r="A2106" t="s">
        <v>84</v>
      </c>
      <c r="B2106" s="24">
        <v>2</v>
      </c>
      <c r="C2106" t="s">
        <v>163</v>
      </c>
      <c r="D2106" t="s">
        <v>12</v>
      </c>
      <c r="E2106" t="s">
        <v>215</v>
      </c>
      <c r="F2106" t="s">
        <v>66</v>
      </c>
      <c r="H2106" t="s">
        <v>10</v>
      </c>
      <c r="I2106" t="s">
        <v>219</v>
      </c>
      <c r="J2106">
        <v>22</v>
      </c>
      <c r="K2106">
        <v>1</v>
      </c>
      <c r="N2106">
        <f>Таблица1[[#This Row],[Часов на заказчика  в работе]]+Таблица1[[#This Row],[Часов на заказчика  дежурство]]</f>
        <v>0</v>
      </c>
      <c r="O21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6" s="9">
        <v>162000</v>
      </c>
      <c r="R2106" s="9">
        <v>2000</v>
      </c>
      <c r="S2106" s="5">
        <v>1</v>
      </c>
      <c r="T21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табеле]])*S2106,0)</f>
        <v>10800</v>
      </c>
      <c r="U2106" s="5">
        <f>IF(Таблица1[[#This Row],[ТТН]]&gt;0,Таблица1[[#This Row],[Ставка за ТТН]]*Таблица1[[#This Row],[ТТН]],0)</f>
        <v>2000</v>
      </c>
    </row>
    <row r="2107" spans="1:22" x14ac:dyDescent="0.25">
      <c r="A2107" t="s">
        <v>84</v>
      </c>
      <c r="B2107" s="24">
        <v>3</v>
      </c>
      <c r="C2107" t="s">
        <v>163</v>
      </c>
      <c r="D2107" t="s">
        <v>12</v>
      </c>
      <c r="E2107" t="s">
        <v>215</v>
      </c>
      <c r="F2107" t="s">
        <v>66</v>
      </c>
      <c r="H2107" t="s">
        <v>10</v>
      </c>
      <c r="I2107" t="s">
        <v>219</v>
      </c>
      <c r="J2107">
        <v>11</v>
      </c>
      <c r="K2107">
        <v>1</v>
      </c>
      <c r="N2107">
        <f>Таблица1[[#This Row],[Часов на заказчика  в работе]]+Таблица1[[#This Row],[Часов на заказчика  дежурство]]</f>
        <v>0</v>
      </c>
      <c r="O21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7" s="9">
        <v>162000</v>
      </c>
      <c r="R2107" s="9">
        <v>2000</v>
      </c>
      <c r="S2107" s="5">
        <v>1</v>
      </c>
      <c r="T21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табеле]])*S2107,0)</f>
        <v>5400</v>
      </c>
      <c r="U2107" s="5">
        <f>IF(Таблица1[[#This Row],[ТТН]]&gt;0,Таблица1[[#This Row],[Ставка за ТТН]]*Таблица1[[#This Row],[ТТН]],0)</f>
        <v>2000</v>
      </c>
    </row>
    <row r="2108" spans="1:22" x14ac:dyDescent="0.25">
      <c r="A2108" t="s">
        <v>84</v>
      </c>
      <c r="B2108" s="24">
        <v>4</v>
      </c>
      <c r="C2108" t="s">
        <v>163</v>
      </c>
      <c r="D2108" t="s">
        <v>12</v>
      </c>
      <c r="E2108" t="s">
        <v>215</v>
      </c>
      <c r="F2108" t="s">
        <v>66</v>
      </c>
      <c r="H2108" t="s">
        <v>10</v>
      </c>
      <c r="I2108" t="s">
        <v>219</v>
      </c>
      <c r="J2108">
        <v>22</v>
      </c>
      <c r="K2108">
        <v>1</v>
      </c>
      <c r="N2108">
        <f>Таблица1[[#This Row],[Часов на заказчика  в работе]]+Таблица1[[#This Row],[Часов на заказчика  дежурство]]</f>
        <v>0</v>
      </c>
      <c r="O21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8" s="9">
        <v>162000</v>
      </c>
      <c r="R2108" s="9">
        <v>2000</v>
      </c>
      <c r="S2108" s="5">
        <v>1</v>
      </c>
      <c r="T21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табеле]])*S2108,0)</f>
        <v>10800</v>
      </c>
      <c r="U2108" s="5">
        <f>IF(Таблица1[[#This Row],[ТТН]]&gt;0,Таблица1[[#This Row],[Ставка за ТТН]]*Таблица1[[#This Row],[ТТН]],0)</f>
        <v>2000</v>
      </c>
    </row>
    <row r="2109" spans="1:22" x14ac:dyDescent="0.25">
      <c r="A2109" t="s">
        <v>84</v>
      </c>
      <c r="B2109" s="24">
        <v>5</v>
      </c>
      <c r="C2109" t="s">
        <v>163</v>
      </c>
      <c r="D2109" t="s">
        <v>12</v>
      </c>
      <c r="E2109" t="s">
        <v>215</v>
      </c>
      <c r="F2109" t="s">
        <v>66</v>
      </c>
      <c r="H2109" t="s">
        <v>10</v>
      </c>
      <c r="I2109" t="s">
        <v>219</v>
      </c>
      <c r="J2109">
        <v>11</v>
      </c>
      <c r="N2109">
        <f>Таблица1[[#This Row],[Часов на заказчика  в работе]]+Таблица1[[#This Row],[Часов на заказчика  дежурство]]</f>
        <v>0</v>
      </c>
      <c r="O21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09" s="9">
        <v>162000</v>
      </c>
      <c r="R2109" s="9"/>
      <c r="S2109" s="5">
        <v>1</v>
      </c>
      <c r="T21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табеле]])*S2109,0)</f>
        <v>5400</v>
      </c>
      <c r="U2109" s="5">
        <f>IF(Таблица1[[#This Row],[ТТН]]&gt;0,Таблица1[[#This Row],[Ставка за ТТН]]*Таблица1[[#This Row],[ТТН]],0)</f>
        <v>0</v>
      </c>
    </row>
    <row r="2110" spans="1:22" x14ac:dyDescent="0.25">
      <c r="A2110" t="s">
        <v>84</v>
      </c>
      <c r="B2110" s="24">
        <v>6</v>
      </c>
      <c r="C2110" t="s">
        <v>163</v>
      </c>
      <c r="D2110" t="s">
        <v>12</v>
      </c>
      <c r="E2110" t="s">
        <v>215</v>
      </c>
      <c r="F2110" t="s">
        <v>66</v>
      </c>
      <c r="H2110" t="s">
        <v>10</v>
      </c>
      <c r="I2110" t="s">
        <v>219</v>
      </c>
      <c r="J2110">
        <v>11</v>
      </c>
      <c r="N2110">
        <f>Таблица1[[#This Row],[Часов на заказчика  в работе]]+Таблица1[[#This Row],[Часов на заказчика  дежурство]]</f>
        <v>0</v>
      </c>
      <c r="O21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0" s="9">
        <v>162000</v>
      </c>
      <c r="R2110" s="9"/>
      <c r="S2110" s="5">
        <v>1</v>
      </c>
      <c r="T21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табеле]])*S2110,0)</f>
        <v>5400</v>
      </c>
      <c r="U2110" s="5">
        <f>IF(Таблица1[[#This Row],[ТТН]]&gt;0,Таблица1[[#This Row],[Ставка за ТТН]]*Таблица1[[#This Row],[ТТН]],0)</f>
        <v>0</v>
      </c>
    </row>
    <row r="2111" spans="1:22" x14ac:dyDescent="0.25">
      <c r="A2111" t="s">
        <v>84</v>
      </c>
      <c r="B2111" s="24">
        <v>7</v>
      </c>
      <c r="C2111" t="s">
        <v>163</v>
      </c>
      <c r="D2111" t="s">
        <v>12</v>
      </c>
      <c r="E2111" t="s">
        <v>215</v>
      </c>
      <c r="F2111" t="s">
        <v>66</v>
      </c>
      <c r="H2111" t="s">
        <v>10</v>
      </c>
      <c r="I2111" t="s">
        <v>219</v>
      </c>
      <c r="J2111">
        <v>22</v>
      </c>
      <c r="K2111">
        <v>1</v>
      </c>
      <c r="N2111">
        <f>Таблица1[[#This Row],[Часов на заказчика  в работе]]+Таблица1[[#This Row],[Часов на заказчика  дежурство]]</f>
        <v>0</v>
      </c>
      <c r="O21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1" s="9">
        <v>162000</v>
      </c>
      <c r="R2111" s="9">
        <v>2000</v>
      </c>
      <c r="S2111" s="5">
        <v>1</v>
      </c>
      <c r="T21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табеле]])*S2111,0)</f>
        <v>10800</v>
      </c>
      <c r="U2111" s="5">
        <f>IF(Таблица1[[#This Row],[ТТН]]&gt;0,Таблица1[[#This Row],[Ставка за ТТН]]*Таблица1[[#This Row],[ТТН]],0)</f>
        <v>2000</v>
      </c>
    </row>
    <row r="2112" spans="1:22" x14ac:dyDescent="0.25">
      <c r="A2112" t="s">
        <v>84</v>
      </c>
      <c r="B2112" s="24">
        <v>8</v>
      </c>
      <c r="C2112" t="s">
        <v>163</v>
      </c>
      <c r="D2112" t="s">
        <v>12</v>
      </c>
      <c r="E2112" t="s">
        <v>215</v>
      </c>
      <c r="F2112" t="s">
        <v>66</v>
      </c>
      <c r="H2112" t="s">
        <v>10</v>
      </c>
      <c r="I2112" t="s">
        <v>219</v>
      </c>
      <c r="J2112">
        <v>11</v>
      </c>
      <c r="K2112">
        <v>1</v>
      </c>
      <c r="N2112">
        <f>Таблица1[[#This Row],[Часов на заказчика  в работе]]+Таблица1[[#This Row],[Часов на заказчика  дежурство]]</f>
        <v>0</v>
      </c>
      <c r="O21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2" s="9">
        <v>162000</v>
      </c>
      <c r="R2112" s="9">
        <v>2000</v>
      </c>
      <c r="S2112" s="5">
        <v>1</v>
      </c>
      <c r="T21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табеле]])*S2112,0)</f>
        <v>5400</v>
      </c>
      <c r="U2112" s="5">
        <f>IF(Таблица1[[#This Row],[ТТН]]&gt;0,Таблица1[[#This Row],[Ставка за ТТН]]*Таблица1[[#This Row],[ТТН]],0)</f>
        <v>2000</v>
      </c>
    </row>
    <row r="2113" spans="1:22" x14ac:dyDescent="0.25">
      <c r="A2113" t="s">
        <v>84</v>
      </c>
      <c r="B2113" s="24">
        <v>9</v>
      </c>
      <c r="C2113" t="s">
        <v>163</v>
      </c>
      <c r="D2113" t="s">
        <v>12</v>
      </c>
      <c r="E2113" t="s">
        <v>215</v>
      </c>
      <c r="F2113" t="s">
        <v>66</v>
      </c>
      <c r="H2113" t="s">
        <v>10</v>
      </c>
      <c r="I2113" t="s">
        <v>219</v>
      </c>
      <c r="J2113">
        <v>11</v>
      </c>
      <c r="N2113">
        <f>Таблица1[[#This Row],[Часов на заказчика  в работе]]+Таблица1[[#This Row],[Часов на заказчика  дежурство]]</f>
        <v>0</v>
      </c>
      <c r="O21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3" s="9">
        <v>162000</v>
      </c>
      <c r="R2113" s="9"/>
      <c r="S2113" s="5">
        <v>1</v>
      </c>
      <c r="T21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табеле]])*S2113,0)</f>
        <v>5400</v>
      </c>
      <c r="U2113" s="5">
        <f>IF(Таблица1[[#This Row],[ТТН]]&gt;0,Таблица1[[#This Row],[Ставка за ТТН]]*Таблица1[[#This Row],[ТТН]],0)</f>
        <v>0</v>
      </c>
    </row>
    <row r="2114" spans="1:22" x14ac:dyDescent="0.25">
      <c r="A2114" t="s">
        <v>84</v>
      </c>
      <c r="B2114" s="24">
        <v>10</v>
      </c>
      <c r="C2114" t="s">
        <v>163</v>
      </c>
      <c r="D2114" t="s">
        <v>12</v>
      </c>
      <c r="E2114" t="s">
        <v>215</v>
      </c>
      <c r="F2114" t="s">
        <v>66</v>
      </c>
      <c r="H2114" t="s">
        <v>10</v>
      </c>
      <c r="I2114" t="s">
        <v>219</v>
      </c>
      <c r="J2114">
        <v>11</v>
      </c>
      <c r="N2114">
        <f>Таблица1[[#This Row],[Часов на заказчика  в работе]]+Таблица1[[#This Row],[Часов на заказчика  дежурство]]</f>
        <v>0</v>
      </c>
      <c r="O21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4" s="9">
        <v>162000</v>
      </c>
      <c r="R2114" s="9"/>
      <c r="S2114" s="5">
        <v>1</v>
      </c>
      <c r="T21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табеле]])*S2114,0)</f>
        <v>5400</v>
      </c>
      <c r="U2114" s="5">
        <f>IF(Таблица1[[#This Row],[ТТН]]&gt;0,Таблица1[[#This Row],[Ставка за ТТН]]*Таблица1[[#This Row],[ТТН]],0)</f>
        <v>0</v>
      </c>
    </row>
    <row r="2115" spans="1:22" x14ac:dyDescent="0.25">
      <c r="A2115" t="s">
        <v>84</v>
      </c>
      <c r="B2115" s="24">
        <v>11</v>
      </c>
      <c r="C2115" t="s">
        <v>163</v>
      </c>
      <c r="D2115" t="s">
        <v>12</v>
      </c>
      <c r="E2115" t="s">
        <v>215</v>
      </c>
      <c r="F2115" t="s">
        <v>66</v>
      </c>
      <c r="H2115" t="s">
        <v>10</v>
      </c>
      <c r="I2115" t="s">
        <v>219</v>
      </c>
      <c r="J2115">
        <v>22</v>
      </c>
      <c r="K2115">
        <v>1</v>
      </c>
      <c r="N2115">
        <f>Таблица1[[#This Row],[Часов на заказчика  в работе]]+Таблица1[[#This Row],[Часов на заказчика  дежурство]]</f>
        <v>0</v>
      </c>
      <c r="O21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5" s="9">
        <v>162000</v>
      </c>
      <c r="R2115" s="9">
        <v>2000</v>
      </c>
      <c r="S2115" s="5">
        <v>1</v>
      </c>
      <c r="T21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табеле]])*S2115,0)</f>
        <v>10800</v>
      </c>
      <c r="U2115" s="5">
        <f>IF(Таблица1[[#This Row],[ТТН]]&gt;0,Таблица1[[#This Row],[Ставка за ТТН]]*Таблица1[[#This Row],[ТТН]],0)</f>
        <v>2000</v>
      </c>
    </row>
    <row r="2116" spans="1:22" x14ac:dyDescent="0.25">
      <c r="A2116" t="s">
        <v>84</v>
      </c>
      <c r="B2116" s="24">
        <v>12</v>
      </c>
      <c r="C2116" t="s">
        <v>163</v>
      </c>
      <c r="D2116" t="s">
        <v>12</v>
      </c>
      <c r="E2116" t="s">
        <v>215</v>
      </c>
      <c r="F2116" t="s">
        <v>66</v>
      </c>
      <c r="H2116" t="s">
        <v>10</v>
      </c>
      <c r="I2116" t="s">
        <v>219</v>
      </c>
      <c r="J2116">
        <v>22</v>
      </c>
      <c r="K2116">
        <v>1</v>
      </c>
      <c r="N2116">
        <f>Таблица1[[#This Row],[Часов на заказчика  в работе]]+Таблица1[[#This Row],[Часов на заказчика  дежурство]]</f>
        <v>0</v>
      </c>
      <c r="O21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6" s="9">
        <v>162000</v>
      </c>
      <c r="R2116" s="9">
        <v>2000</v>
      </c>
      <c r="S2116" s="5">
        <v>1</v>
      </c>
      <c r="T21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табеле]])*S2116,0)</f>
        <v>10800</v>
      </c>
      <c r="U2116" s="5">
        <f>IF(Таблица1[[#This Row],[ТТН]]&gt;0,Таблица1[[#This Row],[Ставка за ТТН]]*Таблица1[[#This Row],[ТТН]],0)</f>
        <v>2000</v>
      </c>
    </row>
    <row r="2117" spans="1:22" x14ac:dyDescent="0.25">
      <c r="A2117" t="s">
        <v>84</v>
      </c>
      <c r="B2117" s="24">
        <v>13</v>
      </c>
      <c r="C2117" t="s">
        <v>163</v>
      </c>
      <c r="D2117" t="s">
        <v>12</v>
      </c>
      <c r="E2117" t="s">
        <v>215</v>
      </c>
      <c r="F2117" t="s">
        <v>66</v>
      </c>
      <c r="H2117" t="s">
        <v>10</v>
      </c>
      <c r="I2117" t="s">
        <v>219</v>
      </c>
      <c r="J2117">
        <v>22</v>
      </c>
      <c r="K2117">
        <v>1</v>
      </c>
      <c r="N2117">
        <f>Таблица1[[#This Row],[Часов на заказчика  в работе]]+Таблица1[[#This Row],[Часов на заказчика  дежурство]]</f>
        <v>0</v>
      </c>
      <c r="O21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7" s="9">
        <v>162000</v>
      </c>
      <c r="R2117" s="9">
        <v>2000</v>
      </c>
      <c r="S2117" s="5">
        <v>1</v>
      </c>
      <c r="T21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табеле]])*S2117,0)</f>
        <v>10800</v>
      </c>
      <c r="U2117" s="5">
        <f>IF(Таблица1[[#This Row],[ТТН]]&gt;0,Таблица1[[#This Row],[Ставка за ТТН]]*Таблица1[[#This Row],[ТТН]],0)</f>
        <v>2000</v>
      </c>
    </row>
    <row r="2118" spans="1:22" x14ac:dyDescent="0.25">
      <c r="A2118" t="s">
        <v>84</v>
      </c>
      <c r="B2118" s="24">
        <v>14</v>
      </c>
      <c r="C2118" t="s">
        <v>163</v>
      </c>
      <c r="D2118" t="s">
        <v>12</v>
      </c>
      <c r="E2118" t="s">
        <v>215</v>
      </c>
      <c r="F2118" t="s">
        <v>66</v>
      </c>
      <c r="H2118" t="s">
        <v>10</v>
      </c>
      <c r="I2118" t="s">
        <v>219</v>
      </c>
      <c r="J2118">
        <v>11</v>
      </c>
      <c r="K2118">
        <v>1</v>
      </c>
      <c r="N2118">
        <f>Таблица1[[#This Row],[Часов на заказчика  в работе]]+Таблица1[[#This Row],[Часов на заказчика  дежурство]]</f>
        <v>0</v>
      </c>
      <c r="O21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8" s="9">
        <v>162000</v>
      </c>
      <c r="R2118" s="9">
        <v>2000</v>
      </c>
      <c r="S2118" s="5">
        <v>1</v>
      </c>
      <c r="T21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табеле]])*S2118,0)</f>
        <v>5400</v>
      </c>
      <c r="U2118" s="5">
        <f>IF(Таблица1[[#This Row],[ТТН]]&gt;0,Таблица1[[#This Row],[Ставка за ТТН]]*Таблица1[[#This Row],[ТТН]],0)</f>
        <v>2000</v>
      </c>
    </row>
    <row r="2119" spans="1:22" x14ac:dyDescent="0.25">
      <c r="A2119" t="s">
        <v>84</v>
      </c>
      <c r="B2119" s="24">
        <v>15</v>
      </c>
      <c r="C2119" t="s">
        <v>163</v>
      </c>
      <c r="D2119" t="s">
        <v>12</v>
      </c>
      <c r="E2119" t="s">
        <v>215</v>
      </c>
      <c r="F2119" t="s">
        <v>66</v>
      </c>
      <c r="H2119" t="s">
        <v>10</v>
      </c>
      <c r="I2119" t="s">
        <v>219</v>
      </c>
      <c r="J2119">
        <v>11</v>
      </c>
      <c r="N2119">
        <f>Таблица1[[#This Row],[Часов на заказчика  в работе]]+Таблица1[[#This Row],[Часов на заказчика  дежурство]]</f>
        <v>0</v>
      </c>
      <c r="O21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19" s="9">
        <v>162000</v>
      </c>
      <c r="R2119" s="9"/>
      <c r="S2119" s="5">
        <v>1</v>
      </c>
      <c r="T21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табеле]])*S2119,0)</f>
        <v>5400</v>
      </c>
      <c r="U2119" s="5">
        <f>IF(Таблица1[[#This Row],[ТТН]]&gt;0,Таблица1[[#This Row],[Ставка за ТТН]]*Таблица1[[#This Row],[ТТН]],0)</f>
        <v>0</v>
      </c>
    </row>
    <row r="2120" spans="1:22" x14ac:dyDescent="0.25">
      <c r="A2120" t="s">
        <v>84</v>
      </c>
      <c r="B2120" s="24">
        <v>16</v>
      </c>
      <c r="C2120" t="s">
        <v>163</v>
      </c>
      <c r="D2120" t="s">
        <v>12</v>
      </c>
      <c r="E2120" t="s">
        <v>215</v>
      </c>
      <c r="F2120" t="s">
        <v>66</v>
      </c>
      <c r="H2120" t="s">
        <v>10</v>
      </c>
      <c r="I2120" t="s">
        <v>219</v>
      </c>
      <c r="J2120">
        <v>11</v>
      </c>
      <c r="N2120">
        <f>Таблица1[[#This Row],[Часов на заказчика  в работе]]+Таблица1[[#This Row],[Часов на заказчика  дежурство]]</f>
        <v>0</v>
      </c>
      <c r="O21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0" s="9">
        <v>162000</v>
      </c>
      <c r="R2120" s="9"/>
      <c r="S2120" s="5">
        <v>1</v>
      </c>
      <c r="T21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табеле]])*S2120,0)</f>
        <v>5400</v>
      </c>
      <c r="U2120" s="5">
        <f>IF(Таблица1[[#This Row],[ТТН]]&gt;0,Таблица1[[#This Row],[Ставка за ТТН]]*Таблица1[[#This Row],[ТТН]],0)</f>
        <v>0</v>
      </c>
    </row>
    <row r="2121" spans="1:22" x14ac:dyDescent="0.25">
      <c r="A2121" t="s">
        <v>84</v>
      </c>
      <c r="B2121" s="24">
        <v>17</v>
      </c>
      <c r="C2121" t="s">
        <v>163</v>
      </c>
      <c r="D2121" t="s">
        <v>12</v>
      </c>
      <c r="E2121" t="s">
        <v>215</v>
      </c>
      <c r="F2121" t="s">
        <v>66</v>
      </c>
      <c r="H2121" t="s">
        <v>10</v>
      </c>
      <c r="I2121" t="s">
        <v>219</v>
      </c>
      <c r="J2121">
        <v>11</v>
      </c>
      <c r="N2121">
        <f>Таблица1[[#This Row],[Часов на заказчика  в работе]]+Таблица1[[#This Row],[Часов на заказчика  дежурство]]</f>
        <v>0</v>
      </c>
      <c r="O21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1" s="9">
        <v>162000</v>
      </c>
      <c r="R2121" s="9"/>
      <c r="S2121" s="5">
        <v>1</v>
      </c>
      <c r="T21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табеле]])*S2121,0)</f>
        <v>5400</v>
      </c>
      <c r="U2121" s="5">
        <f>IF(Таблица1[[#This Row],[ТТН]]&gt;0,Таблица1[[#This Row],[Ставка за ТТН]]*Таблица1[[#This Row],[ТТН]],0)</f>
        <v>0</v>
      </c>
    </row>
    <row r="2122" spans="1:22" x14ac:dyDescent="0.25">
      <c r="A2122" t="s">
        <v>84</v>
      </c>
      <c r="B2122" s="24">
        <v>18</v>
      </c>
      <c r="C2122" t="s">
        <v>163</v>
      </c>
      <c r="D2122" t="s">
        <v>12</v>
      </c>
      <c r="E2122" t="s">
        <v>215</v>
      </c>
      <c r="F2122" t="s">
        <v>66</v>
      </c>
      <c r="H2122" t="s">
        <v>10</v>
      </c>
      <c r="I2122" t="s">
        <v>219</v>
      </c>
      <c r="J2122">
        <v>11</v>
      </c>
      <c r="K2122">
        <v>1</v>
      </c>
      <c r="N2122">
        <f>Таблица1[[#This Row],[Часов на заказчика  в работе]]+Таблица1[[#This Row],[Часов на заказчика  дежурство]]</f>
        <v>0</v>
      </c>
      <c r="O21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2" s="9">
        <v>162000</v>
      </c>
      <c r="R2122" s="9">
        <v>5000</v>
      </c>
      <c r="S2122" s="5">
        <v>1</v>
      </c>
      <c r="T21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табеле]])*S2122,0)</f>
        <v>5400</v>
      </c>
      <c r="U2122" s="5">
        <f>IF(Таблица1[[#This Row],[ТТН]]&gt;0,Таблица1[[#This Row],[Ставка за ТТН]]*Таблица1[[#This Row],[ТТН]],0)</f>
        <v>5000</v>
      </c>
      <c r="V2122" t="s">
        <v>95</v>
      </c>
    </row>
    <row r="2123" spans="1:22" x14ac:dyDescent="0.25">
      <c r="A2123" t="s">
        <v>84</v>
      </c>
      <c r="B2123" s="24">
        <v>19</v>
      </c>
      <c r="C2123" t="s">
        <v>163</v>
      </c>
      <c r="D2123" t="s">
        <v>12</v>
      </c>
      <c r="E2123" t="s">
        <v>215</v>
      </c>
      <c r="F2123" t="s">
        <v>66</v>
      </c>
      <c r="H2123" t="s">
        <v>10</v>
      </c>
      <c r="I2123" t="s">
        <v>219</v>
      </c>
      <c r="J2123">
        <v>22</v>
      </c>
      <c r="N2123">
        <f>Таблица1[[#This Row],[Часов на заказчика  в работе]]+Таблица1[[#This Row],[Часов на заказчика  дежурство]]</f>
        <v>0</v>
      </c>
      <c r="O21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3" s="9">
        <v>162000</v>
      </c>
      <c r="R2123" s="9"/>
      <c r="S2123" s="5">
        <v>1</v>
      </c>
      <c r="T21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табеле]])*S2123,0)</f>
        <v>10800</v>
      </c>
      <c r="U2123" s="5">
        <f>IF(Таблица1[[#This Row],[ТТН]]&gt;0,Таблица1[[#This Row],[Ставка за ТТН]]*Таблица1[[#This Row],[ТТН]],0)</f>
        <v>0</v>
      </c>
    </row>
    <row r="2124" spans="1:22" x14ac:dyDescent="0.25">
      <c r="A2124" t="s">
        <v>84</v>
      </c>
      <c r="B2124" s="24">
        <v>20</v>
      </c>
      <c r="C2124" t="s">
        <v>163</v>
      </c>
      <c r="D2124" t="s">
        <v>12</v>
      </c>
      <c r="E2124" t="s">
        <v>215</v>
      </c>
      <c r="F2124" t="s">
        <v>66</v>
      </c>
      <c r="H2124" t="s">
        <v>10</v>
      </c>
      <c r="I2124" t="s">
        <v>219</v>
      </c>
      <c r="J2124">
        <v>22</v>
      </c>
      <c r="N2124">
        <f>Таблица1[[#This Row],[Часов на заказчика  в работе]]+Таблица1[[#This Row],[Часов на заказчика  дежурство]]</f>
        <v>0</v>
      </c>
      <c r="O21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4" s="9">
        <v>162000</v>
      </c>
      <c r="R2124" s="9"/>
      <c r="S2124" s="5">
        <v>1</v>
      </c>
      <c r="T21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табеле]])*S2124,0)</f>
        <v>10800</v>
      </c>
      <c r="U2124" s="5">
        <f>IF(Таблица1[[#This Row],[ТТН]]&gt;0,Таблица1[[#This Row],[Ставка за ТТН]]*Таблица1[[#This Row],[ТТН]],0)</f>
        <v>0</v>
      </c>
    </row>
    <row r="2125" spans="1:22" x14ac:dyDescent="0.25">
      <c r="A2125" t="s">
        <v>84</v>
      </c>
      <c r="B2125" s="24">
        <v>21</v>
      </c>
      <c r="C2125" t="s">
        <v>163</v>
      </c>
      <c r="D2125" t="s">
        <v>12</v>
      </c>
      <c r="E2125" t="s">
        <v>215</v>
      </c>
      <c r="F2125" t="s">
        <v>66</v>
      </c>
      <c r="H2125" t="s">
        <v>10</v>
      </c>
      <c r="I2125" t="s">
        <v>219</v>
      </c>
      <c r="J2125">
        <v>22</v>
      </c>
      <c r="N2125">
        <f>Таблица1[[#This Row],[Часов на заказчика  в работе]]+Таблица1[[#This Row],[Часов на заказчика  дежурство]]</f>
        <v>0</v>
      </c>
      <c r="O21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5" s="9">
        <v>162000</v>
      </c>
      <c r="R2125" s="9"/>
      <c r="S2125" s="5">
        <v>1</v>
      </c>
      <c r="T21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табеле]])*S2125,0)</f>
        <v>10800</v>
      </c>
      <c r="U2125" s="5">
        <f>IF(Таблица1[[#This Row],[ТТН]]&gt;0,Таблица1[[#This Row],[Ставка за ТТН]]*Таблица1[[#This Row],[ТТН]],0)</f>
        <v>0</v>
      </c>
    </row>
    <row r="2126" spans="1:22" x14ac:dyDescent="0.25">
      <c r="A2126" t="s">
        <v>84</v>
      </c>
      <c r="B2126" s="24">
        <v>22</v>
      </c>
      <c r="C2126" t="s">
        <v>163</v>
      </c>
      <c r="D2126" t="s">
        <v>12</v>
      </c>
      <c r="E2126" t="s">
        <v>215</v>
      </c>
      <c r="F2126" t="s">
        <v>66</v>
      </c>
      <c r="H2126" t="s">
        <v>10</v>
      </c>
      <c r="I2126" t="s">
        <v>219</v>
      </c>
      <c r="J2126">
        <v>22</v>
      </c>
      <c r="N2126">
        <f>Таблица1[[#This Row],[Часов на заказчика  в работе]]+Таблица1[[#This Row],[Часов на заказчика  дежурство]]</f>
        <v>0</v>
      </c>
      <c r="O21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6" s="9">
        <v>162000</v>
      </c>
      <c r="R2126" s="9"/>
      <c r="S2126" s="5">
        <v>1</v>
      </c>
      <c r="T21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табеле]])*S2126,0)</f>
        <v>10800</v>
      </c>
      <c r="U2126" s="5">
        <f>IF(Таблица1[[#This Row],[ТТН]]&gt;0,Таблица1[[#This Row],[Ставка за ТТН]]*Таблица1[[#This Row],[ТТН]],0)</f>
        <v>0</v>
      </c>
    </row>
    <row r="2127" spans="1:22" x14ac:dyDescent="0.25">
      <c r="A2127" t="s">
        <v>84</v>
      </c>
      <c r="B2127" s="24">
        <v>23</v>
      </c>
      <c r="C2127" t="s">
        <v>163</v>
      </c>
      <c r="D2127" t="s">
        <v>12</v>
      </c>
      <c r="E2127" t="s">
        <v>215</v>
      </c>
      <c r="F2127" t="s">
        <v>66</v>
      </c>
      <c r="H2127" t="s">
        <v>10</v>
      </c>
      <c r="I2127" t="s">
        <v>219</v>
      </c>
      <c r="J2127">
        <v>11</v>
      </c>
      <c r="K2127">
        <v>1</v>
      </c>
      <c r="N2127">
        <f>Таблица1[[#This Row],[Часов на заказчика  в работе]]+Таблица1[[#This Row],[Часов на заказчика  дежурство]]</f>
        <v>0</v>
      </c>
      <c r="O21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7" s="9">
        <v>162000</v>
      </c>
      <c r="R2127" s="9">
        <v>5000</v>
      </c>
      <c r="S2127" s="5">
        <v>1</v>
      </c>
      <c r="T21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табеле]])*S2127,0)</f>
        <v>5400</v>
      </c>
      <c r="U2127" s="5">
        <f>IF(Таблица1[[#This Row],[ТТН]]&gt;0,Таблица1[[#This Row],[Ставка за ТТН]]*Таблица1[[#This Row],[ТТН]],0)</f>
        <v>5000</v>
      </c>
      <c r="V2127" t="s">
        <v>95</v>
      </c>
    </row>
    <row r="2128" spans="1:22" x14ac:dyDescent="0.25">
      <c r="A2128" t="s">
        <v>84</v>
      </c>
      <c r="B2128" s="24">
        <v>24</v>
      </c>
      <c r="C2128" t="s">
        <v>163</v>
      </c>
      <c r="D2128" t="s">
        <v>12</v>
      </c>
      <c r="E2128" t="s">
        <v>215</v>
      </c>
      <c r="F2128" t="s">
        <v>66</v>
      </c>
      <c r="H2128" t="s">
        <v>10</v>
      </c>
      <c r="I2128" t="s">
        <v>219</v>
      </c>
      <c r="J2128">
        <v>22</v>
      </c>
      <c r="N2128">
        <f>Таблица1[[#This Row],[Часов на заказчика  в работе]]+Таблица1[[#This Row],[Часов на заказчика  дежурство]]</f>
        <v>0</v>
      </c>
      <c r="O21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8" s="9">
        <v>162000</v>
      </c>
      <c r="R2128" s="9"/>
      <c r="S2128" s="5">
        <v>1</v>
      </c>
      <c r="T21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табеле]])*S2128,0)</f>
        <v>10800</v>
      </c>
      <c r="U2128" s="5">
        <f>IF(Таблица1[[#This Row],[ТТН]]&gt;0,Таблица1[[#This Row],[Ставка за ТТН]]*Таблица1[[#This Row],[ТТН]],0)</f>
        <v>0</v>
      </c>
    </row>
    <row r="2129" spans="1:22" x14ac:dyDescent="0.25">
      <c r="A2129" t="s">
        <v>84</v>
      </c>
      <c r="B2129" s="24">
        <v>25</v>
      </c>
      <c r="C2129" t="s">
        <v>163</v>
      </c>
      <c r="D2129" t="s">
        <v>12</v>
      </c>
      <c r="E2129" t="s">
        <v>215</v>
      </c>
      <c r="F2129" t="s">
        <v>66</v>
      </c>
      <c r="H2129" t="s">
        <v>10</v>
      </c>
      <c r="I2129" t="s">
        <v>219</v>
      </c>
      <c r="J2129">
        <v>22</v>
      </c>
      <c r="N2129">
        <f>Таблица1[[#This Row],[Часов на заказчика  в работе]]+Таблица1[[#This Row],[Часов на заказчика  дежурство]]</f>
        <v>0</v>
      </c>
      <c r="O21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29" s="9">
        <v>162000</v>
      </c>
      <c r="R2129" s="9"/>
      <c r="S2129" s="5">
        <v>1</v>
      </c>
      <c r="T21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табеле]])*S2129,0)</f>
        <v>10800</v>
      </c>
      <c r="U2129" s="5">
        <f>IF(Таблица1[[#This Row],[ТТН]]&gt;0,Таблица1[[#This Row],[Ставка за ТТН]]*Таблица1[[#This Row],[ТТН]],0)</f>
        <v>0</v>
      </c>
    </row>
    <row r="2130" spans="1:22" x14ac:dyDescent="0.25">
      <c r="A2130" t="s">
        <v>84</v>
      </c>
      <c r="B2130" s="24">
        <v>26</v>
      </c>
      <c r="C2130" t="s">
        <v>163</v>
      </c>
      <c r="D2130" t="s">
        <v>12</v>
      </c>
      <c r="E2130" t="s">
        <v>215</v>
      </c>
      <c r="F2130" t="s">
        <v>66</v>
      </c>
      <c r="H2130" t="s">
        <v>10</v>
      </c>
      <c r="I2130" t="s">
        <v>219</v>
      </c>
      <c r="J2130">
        <v>22</v>
      </c>
      <c r="K2130">
        <v>1</v>
      </c>
      <c r="N2130">
        <f>Таблица1[[#This Row],[Часов на заказчика  в работе]]+Таблица1[[#This Row],[Часов на заказчика  дежурство]]</f>
        <v>0</v>
      </c>
      <c r="O21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0" s="9">
        <v>162000</v>
      </c>
      <c r="R2130" s="9">
        <v>2000</v>
      </c>
      <c r="S2130" s="5">
        <v>1</v>
      </c>
      <c r="T21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табеле]])*S2130,0)</f>
        <v>10800</v>
      </c>
      <c r="U2130" s="5">
        <f>IF(Таблица1[[#This Row],[ТТН]]&gt;0,Таблица1[[#This Row],[Ставка за ТТН]]*Таблица1[[#This Row],[ТТН]],0)</f>
        <v>2000</v>
      </c>
    </row>
    <row r="2131" spans="1:22" x14ac:dyDescent="0.25">
      <c r="A2131" t="s">
        <v>84</v>
      </c>
      <c r="B2131" s="24">
        <v>27</v>
      </c>
      <c r="C2131" t="s">
        <v>163</v>
      </c>
      <c r="D2131" t="s">
        <v>12</v>
      </c>
      <c r="E2131" t="s">
        <v>215</v>
      </c>
      <c r="F2131" t="s">
        <v>66</v>
      </c>
      <c r="H2131" t="s">
        <v>10</v>
      </c>
      <c r="I2131" t="s">
        <v>219</v>
      </c>
      <c r="J2131">
        <v>22</v>
      </c>
      <c r="K2131">
        <v>1</v>
      </c>
      <c r="N2131">
        <f>Таблица1[[#This Row],[Часов на заказчика  в работе]]+Таблица1[[#This Row],[Часов на заказчика  дежурство]]</f>
        <v>0</v>
      </c>
      <c r="O21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1" s="9">
        <v>162000</v>
      </c>
      <c r="R2131" s="9">
        <v>2000</v>
      </c>
      <c r="S2131" s="5">
        <v>1</v>
      </c>
      <c r="T21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табеле]])*S2131,0)</f>
        <v>10800</v>
      </c>
      <c r="U2131" s="5">
        <f>IF(Таблица1[[#This Row],[ТТН]]&gt;0,Таблица1[[#This Row],[Ставка за ТТН]]*Таблица1[[#This Row],[ТТН]],0)</f>
        <v>2000</v>
      </c>
    </row>
    <row r="2132" spans="1:22" x14ac:dyDescent="0.25">
      <c r="A2132" t="s">
        <v>84</v>
      </c>
      <c r="B2132" s="24">
        <v>28</v>
      </c>
      <c r="C2132" t="s">
        <v>163</v>
      </c>
      <c r="D2132" t="s">
        <v>12</v>
      </c>
      <c r="E2132" t="s">
        <v>215</v>
      </c>
      <c r="F2132" t="s">
        <v>66</v>
      </c>
      <c r="H2132" t="s">
        <v>10</v>
      </c>
      <c r="I2132" t="s">
        <v>219</v>
      </c>
      <c r="J2132">
        <v>11</v>
      </c>
      <c r="N2132">
        <f>Таблица1[[#This Row],[Часов на заказчика  в работе]]+Таблица1[[#This Row],[Часов на заказчика  дежурство]]</f>
        <v>0</v>
      </c>
      <c r="O21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2" s="9">
        <v>162000</v>
      </c>
      <c r="R2132" s="9"/>
      <c r="S2132" s="5">
        <v>1</v>
      </c>
      <c r="T21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табеле]])*S2132,0)</f>
        <v>5400</v>
      </c>
      <c r="U2132" s="5">
        <f>IF(Таблица1[[#This Row],[ТТН]]&gt;0,Таблица1[[#This Row],[Ставка за ТТН]]*Таблица1[[#This Row],[ТТН]],0)</f>
        <v>0</v>
      </c>
    </row>
    <row r="2133" spans="1:22" x14ac:dyDescent="0.25">
      <c r="A2133" t="s">
        <v>84</v>
      </c>
      <c r="B2133" s="24">
        <v>29</v>
      </c>
      <c r="C2133" t="s">
        <v>163</v>
      </c>
      <c r="D2133" t="s">
        <v>12</v>
      </c>
      <c r="E2133" t="s">
        <v>215</v>
      </c>
      <c r="F2133" t="s">
        <v>66</v>
      </c>
      <c r="H2133" t="s">
        <v>10</v>
      </c>
      <c r="I2133" t="s">
        <v>219</v>
      </c>
      <c r="J2133">
        <v>11</v>
      </c>
      <c r="K2133">
        <v>1</v>
      </c>
      <c r="N2133">
        <f>Таблица1[[#This Row],[Часов на заказчика  в работе]]+Таблица1[[#This Row],[Часов на заказчика  дежурство]]</f>
        <v>0</v>
      </c>
      <c r="O21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3" s="9">
        <v>162000</v>
      </c>
      <c r="R2133" s="9">
        <v>2000</v>
      </c>
      <c r="S2133" s="5">
        <v>1</v>
      </c>
      <c r="T21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табеле]])*S2133,0)</f>
        <v>5400</v>
      </c>
      <c r="U2133" s="5">
        <f>IF(Таблица1[[#This Row],[ТТН]]&gt;0,Таблица1[[#This Row],[Ставка за ТТН]]*Таблица1[[#This Row],[ТТН]],0)</f>
        <v>2000</v>
      </c>
    </row>
    <row r="2134" spans="1:22" x14ac:dyDescent="0.25">
      <c r="A2134" t="s">
        <v>84</v>
      </c>
      <c r="B2134" s="24">
        <v>30</v>
      </c>
      <c r="C2134" t="s">
        <v>120</v>
      </c>
      <c r="D2134" t="s">
        <v>12</v>
      </c>
      <c r="E2134" t="s">
        <v>215</v>
      </c>
      <c r="F2134" t="s">
        <v>66</v>
      </c>
      <c r="H2134" t="s">
        <v>10</v>
      </c>
      <c r="I2134" t="s">
        <v>219</v>
      </c>
      <c r="J2134">
        <v>22</v>
      </c>
      <c r="K2134">
        <v>1</v>
      </c>
      <c r="N2134">
        <f>Таблица1[[#This Row],[Часов на заказчика  в работе]]+Таблица1[[#This Row],[Часов на заказчика  дежурство]]</f>
        <v>0</v>
      </c>
      <c r="O21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4" s="9">
        <v>162000</v>
      </c>
      <c r="R2134" s="9">
        <v>2000</v>
      </c>
      <c r="S2134" s="5">
        <v>1</v>
      </c>
      <c r="T21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табеле]])*S2134,0)</f>
        <v>10800</v>
      </c>
      <c r="U2134" s="5">
        <f>IF(Таблица1[[#This Row],[ТТН]]&gt;0,Таблица1[[#This Row],[Ставка за ТТН]]*Таблица1[[#This Row],[ТТН]],0)</f>
        <v>2000</v>
      </c>
    </row>
    <row r="2135" spans="1:22" x14ac:dyDescent="0.25">
      <c r="A2135" t="s">
        <v>84</v>
      </c>
      <c r="B2135" s="24">
        <v>1</v>
      </c>
      <c r="C2135" t="s">
        <v>120</v>
      </c>
      <c r="D2135" t="s">
        <v>12</v>
      </c>
      <c r="E2135" t="s">
        <v>215</v>
      </c>
      <c r="F2135" t="s">
        <v>42</v>
      </c>
      <c r="H2135" t="s">
        <v>44</v>
      </c>
      <c r="I2135" t="s">
        <v>217</v>
      </c>
      <c r="J2135">
        <v>1</v>
      </c>
      <c r="N2135">
        <f>Таблица1[[#This Row],[Часов на заказчика  в работе]]+Таблица1[[#This Row],[Часов на заказчика  дежурство]]</f>
        <v>0</v>
      </c>
      <c r="O21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5" s="9">
        <v>135000</v>
      </c>
      <c r="R2135" s="9"/>
      <c r="S2135" s="5">
        <v>1</v>
      </c>
      <c r="T21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табеле]])*S2135,0)</f>
        <v>0</v>
      </c>
      <c r="U2135" s="5">
        <f>IF(Таблица1[[#This Row],[ТТН]]&gt;0,Таблица1[[#This Row],[Ставка за ТТН]]*Таблица1[[#This Row],[ТТН]],0)</f>
        <v>0</v>
      </c>
    </row>
    <row r="2136" spans="1:22" x14ac:dyDescent="0.25">
      <c r="A2136" t="s">
        <v>84</v>
      </c>
      <c r="B2136" s="24">
        <v>2</v>
      </c>
      <c r="C2136" t="s">
        <v>120</v>
      </c>
      <c r="D2136" t="s">
        <v>12</v>
      </c>
      <c r="E2136" t="s">
        <v>215</v>
      </c>
      <c r="F2136" t="s">
        <v>42</v>
      </c>
      <c r="H2136" t="s">
        <v>44</v>
      </c>
      <c r="I2136" t="s">
        <v>217</v>
      </c>
      <c r="J2136">
        <v>1</v>
      </c>
      <c r="N2136">
        <f>Таблица1[[#This Row],[Часов на заказчика  в работе]]+Таблица1[[#This Row],[Часов на заказчика  дежурство]]</f>
        <v>0</v>
      </c>
      <c r="O21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6" s="9">
        <v>135000</v>
      </c>
      <c r="R2136" s="9"/>
      <c r="S2136" s="5">
        <v>1</v>
      </c>
      <c r="T21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табеле]])*S2136,0)</f>
        <v>0</v>
      </c>
      <c r="U2136" s="5">
        <f>IF(Таблица1[[#This Row],[ТТН]]&gt;0,Таблица1[[#This Row],[Ставка за ТТН]]*Таблица1[[#This Row],[ТТН]],0)</f>
        <v>0</v>
      </c>
    </row>
    <row r="2137" spans="1:22" x14ac:dyDescent="0.25">
      <c r="A2137" t="s">
        <v>84</v>
      </c>
      <c r="B2137" s="24">
        <v>3</v>
      </c>
      <c r="C2137" t="s">
        <v>120</v>
      </c>
      <c r="D2137" t="s">
        <v>12</v>
      </c>
      <c r="E2137" t="s">
        <v>215</v>
      </c>
      <c r="F2137" t="s">
        <v>42</v>
      </c>
      <c r="H2137" t="s">
        <v>44</v>
      </c>
      <c r="I2137" t="s">
        <v>217</v>
      </c>
      <c r="J2137">
        <v>1</v>
      </c>
      <c r="N2137">
        <f>Таблица1[[#This Row],[Часов на заказчика  в работе]]+Таблица1[[#This Row],[Часов на заказчика  дежурство]]</f>
        <v>0</v>
      </c>
      <c r="O21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7" s="9">
        <v>135000</v>
      </c>
      <c r="R2137" s="9"/>
      <c r="S2137" s="5">
        <v>1</v>
      </c>
      <c r="T21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табеле]])*S2137,0)</f>
        <v>0</v>
      </c>
      <c r="U2137" s="5">
        <f>IF(Таблица1[[#This Row],[ТТН]]&gt;0,Таблица1[[#This Row],[Ставка за ТТН]]*Таблица1[[#This Row],[ТТН]],0)</f>
        <v>0</v>
      </c>
      <c r="V2137" t="s">
        <v>75</v>
      </c>
    </row>
    <row r="2138" spans="1:22" x14ac:dyDescent="0.25">
      <c r="A2138" t="s">
        <v>84</v>
      </c>
      <c r="B2138" s="24">
        <v>4</v>
      </c>
      <c r="C2138" t="s">
        <v>120</v>
      </c>
      <c r="D2138" t="s">
        <v>12</v>
      </c>
      <c r="E2138" t="s">
        <v>215</v>
      </c>
      <c r="F2138" t="s">
        <v>42</v>
      </c>
      <c r="H2138" t="s">
        <v>44</v>
      </c>
      <c r="I2138" t="s">
        <v>217</v>
      </c>
      <c r="J2138">
        <v>1</v>
      </c>
      <c r="N2138">
        <f>Таблица1[[#This Row],[Часов на заказчика  в работе]]+Таблица1[[#This Row],[Часов на заказчика  дежурство]]</f>
        <v>0</v>
      </c>
      <c r="O21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8" s="9">
        <v>135000</v>
      </c>
      <c r="R2138" s="9"/>
      <c r="S2138" s="5">
        <v>1</v>
      </c>
      <c r="T21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табеле]])*S2138,0)</f>
        <v>0</v>
      </c>
      <c r="U2138" s="5">
        <f>IF(Таблица1[[#This Row],[ТТН]]&gt;0,Таблица1[[#This Row],[Ставка за ТТН]]*Таблица1[[#This Row],[ТТН]],0)</f>
        <v>0</v>
      </c>
    </row>
    <row r="2139" spans="1:22" x14ac:dyDescent="0.25">
      <c r="A2139" t="s">
        <v>84</v>
      </c>
      <c r="B2139" s="24">
        <v>5</v>
      </c>
      <c r="C2139" t="s">
        <v>120</v>
      </c>
      <c r="D2139" t="s">
        <v>12</v>
      </c>
      <c r="E2139" t="s">
        <v>215</v>
      </c>
      <c r="F2139" t="s">
        <v>42</v>
      </c>
      <c r="H2139" t="s">
        <v>44</v>
      </c>
      <c r="I2139" t="s">
        <v>217</v>
      </c>
      <c r="J2139">
        <v>1</v>
      </c>
      <c r="N2139">
        <f>Таблица1[[#This Row],[Часов на заказчика  в работе]]+Таблица1[[#This Row],[Часов на заказчика  дежурство]]</f>
        <v>0</v>
      </c>
      <c r="O21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39" s="9">
        <v>135000</v>
      </c>
      <c r="R2139" s="9"/>
      <c r="S2139" s="5">
        <v>1</v>
      </c>
      <c r="T21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табеле]])*S2139,0)</f>
        <v>0</v>
      </c>
      <c r="U2139" s="5">
        <f>IF(Таблица1[[#This Row],[ТТН]]&gt;0,Таблица1[[#This Row],[Ставка за ТТН]]*Таблица1[[#This Row],[ТТН]],0)</f>
        <v>0</v>
      </c>
    </row>
    <row r="2140" spans="1:22" x14ac:dyDescent="0.25">
      <c r="A2140" t="s">
        <v>84</v>
      </c>
      <c r="B2140" s="24">
        <v>6</v>
      </c>
      <c r="C2140" t="s">
        <v>120</v>
      </c>
      <c r="D2140" t="s">
        <v>12</v>
      </c>
      <c r="E2140" t="s">
        <v>215</v>
      </c>
      <c r="F2140" t="s">
        <v>42</v>
      </c>
      <c r="H2140" t="s">
        <v>44</v>
      </c>
      <c r="I2140" t="s">
        <v>217</v>
      </c>
      <c r="J2140">
        <v>1</v>
      </c>
      <c r="N2140">
        <f>Таблица1[[#This Row],[Часов на заказчика  в работе]]+Таблица1[[#This Row],[Часов на заказчика  дежурство]]</f>
        <v>0</v>
      </c>
      <c r="O21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0" s="9">
        <v>135000</v>
      </c>
      <c r="R2140" s="9"/>
      <c r="S2140" s="5">
        <v>1</v>
      </c>
      <c r="T21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табеле]])*S2140,0)</f>
        <v>0</v>
      </c>
      <c r="U2140" s="5">
        <f>IF(Таблица1[[#This Row],[ТТН]]&gt;0,Таблица1[[#This Row],[Ставка за ТТН]]*Таблица1[[#This Row],[ТТН]],0)</f>
        <v>0</v>
      </c>
    </row>
    <row r="2141" spans="1:22" x14ac:dyDescent="0.25">
      <c r="A2141" t="s">
        <v>84</v>
      </c>
      <c r="B2141" s="24">
        <v>7</v>
      </c>
      <c r="C2141" t="s">
        <v>120</v>
      </c>
      <c r="D2141" t="s">
        <v>12</v>
      </c>
      <c r="E2141" t="s">
        <v>215</v>
      </c>
      <c r="F2141" t="s">
        <v>42</v>
      </c>
      <c r="H2141" t="s">
        <v>44</v>
      </c>
      <c r="I2141" t="s">
        <v>217</v>
      </c>
      <c r="J2141">
        <v>1</v>
      </c>
      <c r="N2141">
        <f>Таблица1[[#This Row],[Часов на заказчика  в работе]]+Таблица1[[#This Row],[Часов на заказчика  дежурство]]</f>
        <v>0</v>
      </c>
      <c r="O21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1" s="9">
        <v>135000</v>
      </c>
      <c r="R2141" s="9"/>
      <c r="S2141" s="5">
        <v>1</v>
      </c>
      <c r="T21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табеле]])*S2141,0)</f>
        <v>0</v>
      </c>
      <c r="U2141" s="5">
        <f>IF(Таблица1[[#This Row],[ТТН]]&gt;0,Таблица1[[#This Row],[Ставка за ТТН]]*Таблица1[[#This Row],[ТТН]],0)</f>
        <v>0</v>
      </c>
    </row>
    <row r="2142" spans="1:22" x14ac:dyDescent="0.25">
      <c r="A2142" t="s">
        <v>84</v>
      </c>
      <c r="B2142" s="24">
        <v>8</v>
      </c>
      <c r="C2142" t="s">
        <v>120</v>
      </c>
      <c r="D2142" t="s">
        <v>12</v>
      </c>
      <c r="E2142" t="s">
        <v>215</v>
      </c>
      <c r="F2142" t="s">
        <v>42</v>
      </c>
      <c r="H2142" t="s">
        <v>44</v>
      </c>
      <c r="I2142" t="s">
        <v>217</v>
      </c>
      <c r="J2142">
        <v>1</v>
      </c>
      <c r="N2142">
        <f>Таблица1[[#This Row],[Часов на заказчика  в работе]]+Таблица1[[#This Row],[Часов на заказчика  дежурство]]</f>
        <v>0</v>
      </c>
      <c r="O21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2" s="9">
        <v>135000</v>
      </c>
      <c r="R2142" s="9"/>
      <c r="S2142" s="5">
        <v>1</v>
      </c>
      <c r="T21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табеле]])*S2142,0)</f>
        <v>0</v>
      </c>
      <c r="U2142" s="5">
        <f>IF(Таблица1[[#This Row],[ТТН]]&gt;0,Таблица1[[#This Row],[Ставка за ТТН]]*Таблица1[[#This Row],[ТТН]],0)</f>
        <v>0</v>
      </c>
    </row>
    <row r="2143" spans="1:22" x14ac:dyDescent="0.25">
      <c r="A2143" t="s">
        <v>84</v>
      </c>
      <c r="B2143" s="24">
        <v>9</v>
      </c>
      <c r="C2143" t="s">
        <v>120</v>
      </c>
      <c r="D2143" t="s">
        <v>12</v>
      </c>
      <c r="E2143" t="s">
        <v>215</v>
      </c>
      <c r="F2143" t="s">
        <v>42</v>
      </c>
      <c r="H2143" t="s">
        <v>44</v>
      </c>
      <c r="I2143" t="s">
        <v>217</v>
      </c>
      <c r="J2143">
        <v>1</v>
      </c>
      <c r="N2143">
        <f>Таблица1[[#This Row],[Часов на заказчика  в работе]]+Таблица1[[#This Row],[Часов на заказчика  дежурство]]</f>
        <v>0</v>
      </c>
      <c r="O21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3" s="9">
        <v>135000</v>
      </c>
      <c r="R2143" s="9"/>
      <c r="S2143" s="5">
        <v>1</v>
      </c>
      <c r="T21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табеле]])*S2143,0)</f>
        <v>0</v>
      </c>
      <c r="U2143" s="5">
        <f>IF(Таблица1[[#This Row],[ТТН]]&gt;0,Таблица1[[#This Row],[Ставка за ТТН]]*Таблица1[[#This Row],[ТТН]],0)</f>
        <v>0</v>
      </c>
    </row>
    <row r="2144" spans="1:22" x14ac:dyDescent="0.25">
      <c r="A2144" t="s">
        <v>84</v>
      </c>
      <c r="B2144" s="24">
        <v>10</v>
      </c>
      <c r="C2144" t="s">
        <v>120</v>
      </c>
      <c r="D2144" t="s">
        <v>12</v>
      </c>
      <c r="E2144" t="s">
        <v>215</v>
      </c>
      <c r="F2144" t="s">
        <v>42</v>
      </c>
      <c r="H2144" t="s">
        <v>44</v>
      </c>
      <c r="I2144" t="s">
        <v>217</v>
      </c>
      <c r="J2144">
        <v>1</v>
      </c>
      <c r="N2144">
        <f>Таблица1[[#This Row],[Часов на заказчика  в работе]]+Таблица1[[#This Row],[Часов на заказчика  дежурство]]</f>
        <v>0</v>
      </c>
      <c r="O21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4" s="9">
        <v>135000</v>
      </c>
      <c r="R2144" s="9"/>
      <c r="S2144" s="5">
        <v>1</v>
      </c>
      <c r="T21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табеле]])*S2144,0)</f>
        <v>0</v>
      </c>
      <c r="U2144" s="5">
        <f>IF(Таблица1[[#This Row],[ТТН]]&gt;0,Таблица1[[#This Row],[Ставка за ТТН]]*Таблица1[[#This Row],[ТТН]],0)</f>
        <v>0</v>
      </c>
    </row>
    <row r="2145" spans="1:22" x14ac:dyDescent="0.25">
      <c r="A2145" t="s">
        <v>84</v>
      </c>
      <c r="B2145" s="24">
        <v>11</v>
      </c>
      <c r="C2145" t="s">
        <v>120</v>
      </c>
      <c r="D2145" t="s">
        <v>12</v>
      </c>
      <c r="E2145" t="s">
        <v>215</v>
      </c>
      <c r="F2145" t="s">
        <v>42</v>
      </c>
      <c r="H2145" t="s">
        <v>44</v>
      </c>
      <c r="I2145" t="s">
        <v>217</v>
      </c>
      <c r="J2145">
        <v>1</v>
      </c>
      <c r="N2145">
        <f>Таблица1[[#This Row],[Часов на заказчика  в работе]]+Таблица1[[#This Row],[Часов на заказчика  дежурство]]</f>
        <v>0</v>
      </c>
      <c r="O21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5" s="9">
        <v>135000</v>
      </c>
      <c r="R2145" s="9"/>
      <c r="S2145" s="5">
        <v>1</v>
      </c>
      <c r="T21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табеле]])*S2145,0)</f>
        <v>0</v>
      </c>
      <c r="U2145" s="5">
        <f>IF(Таблица1[[#This Row],[ТТН]]&gt;0,Таблица1[[#This Row],[Ставка за ТТН]]*Таблица1[[#This Row],[ТТН]],0)</f>
        <v>0</v>
      </c>
    </row>
    <row r="2146" spans="1:22" x14ac:dyDescent="0.25">
      <c r="A2146" t="s">
        <v>84</v>
      </c>
      <c r="B2146" s="24">
        <v>12</v>
      </c>
      <c r="C2146" t="s">
        <v>120</v>
      </c>
      <c r="D2146" t="s">
        <v>12</v>
      </c>
      <c r="E2146" t="s">
        <v>215</v>
      </c>
      <c r="F2146" t="s">
        <v>42</v>
      </c>
      <c r="H2146" t="s">
        <v>44</v>
      </c>
      <c r="I2146" t="s">
        <v>217</v>
      </c>
      <c r="J2146">
        <v>1</v>
      </c>
      <c r="N2146">
        <f>Таблица1[[#This Row],[Часов на заказчика  в работе]]+Таблица1[[#This Row],[Часов на заказчика  дежурство]]</f>
        <v>0</v>
      </c>
      <c r="O21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6" s="9">
        <v>135000</v>
      </c>
      <c r="R2146" s="9"/>
      <c r="S2146" s="5">
        <v>1</v>
      </c>
      <c r="T21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табеле]])*S2146,0)</f>
        <v>0</v>
      </c>
      <c r="U2146" s="5">
        <f>IF(Таблица1[[#This Row],[ТТН]]&gt;0,Таблица1[[#This Row],[Ставка за ТТН]]*Таблица1[[#This Row],[ТТН]],0)</f>
        <v>0</v>
      </c>
    </row>
    <row r="2147" spans="1:22" x14ac:dyDescent="0.25">
      <c r="A2147" t="s">
        <v>84</v>
      </c>
      <c r="B2147" s="24">
        <v>13</v>
      </c>
      <c r="C2147" t="s">
        <v>120</v>
      </c>
      <c r="D2147" t="s">
        <v>12</v>
      </c>
      <c r="E2147" t="s">
        <v>215</v>
      </c>
      <c r="F2147" t="s">
        <v>42</v>
      </c>
      <c r="H2147" t="s">
        <v>44</v>
      </c>
      <c r="I2147" t="s">
        <v>217</v>
      </c>
      <c r="J2147">
        <v>1</v>
      </c>
      <c r="N2147">
        <f>Таблица1[[#This Row],[Часов на заказчика  в работе]]+Таблица1[[#This Row],[Часов на заказчика  дежурство]]</f>
        <v>0</v>
      </c>
      <c r="O21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7" s="9">
        <v>135000</v>
      </c>
      <c r="R2147" s="9"/>
      <c r="S2147" s="5">
        <v>1</v>
      </c>
      <c r="T21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табеле]])*S2147,0)</f>
        <v>0</v>
      </c>
      <c r="U2147" s="5">
        <f>IF(Таблица1[[#This Row],[ТТН]]&gt;0,Таблица1[[#This Row],[Ставка за ТТН]]*Таблица1[[#This Row],[ТТН]],0)</f>
        <v>0</v>
      </c>
    </row>
    <row r="2148" spans="1:22" x14ac:dyDescent="0.25">
      <c r="A2148" t="s">
        <v>84</v>
      </c>
      <c r="B2148" s="24">
        <v>14</v>
      </c>
      <c r="C2148" t="s">
        <v>120</v>
      </c>
      <c r="D2148" t="s">
        <v>12</v>
      </c>
      <c r="E2148" t="s">
        <v>215</v>
      </c>
      <c r="F2148" t="s">
        <v>42</v>
      </c>
      <c r="H2148" t="s">
        <v>44</v>
      </c>
      <c r="I2148" t="s">
        <v>217</v>
      </c>
      <c r="J2148">
        <v>1</v>
      </c>
      <c r="N2148">
        <f>Таблица1[[#This Row],[Часов на заказчика  в работе]]+Таблица1[[#This Row],[Часов на заказчика  дежурство]]</f>
        <v>0</v>
      </c>
      <c r="O21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8" s="9">
        <v>135000</v>
      </c>
      <c r="R2148" s="9"/>
      <c r="S2148" s="5">
        <v>1</v>
      </c>
      <c r="T21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табеле]])*S2148,0)</f>
        <v>0</v>
      </c>
      <c r="U2148" s="5">
        <f>IF(Таблица1[[#This Row],[ТТН]]&gt;0,Таблица1[[#This Row],[Ставка за ТТН]]*Таблица1[[#This Row],[ТТН]],0)</f>
        <v>0</v>
      </c>
      <c r="V2148" t="s">
        <v>76</v>
      </c>
    </row>
    <row r="2149" spans="1:22" x14ac:dyDescent="0.25">
      <c r="A2149" t="s">
        <v>84</v>
      </c>
      <c r="B2149" s="24">
        <v>15</v>
      </c>
      <c r="C2149" t="s">
        <v>120</v>
      </c>
      <c r="D2149" t="s">
        <v>12</v>
      </c>
      <c r="E2149" t="s">
        <v>215</v>
      </c>
      <c r="F2149" t="s">
        <v>42</v>
      </c>
      <c r="H2149" t="s">
        <v>44</v>
      </c>
      <c r="I2149" t="s">
        <v>217</v>
      </c>
      <c r="J2149">
        <v>1</v>
      </c>
      <c r="N2149">
        <f>Таблица1[[#This Row],[Часов на заказчика  в работе]]+Таблица1[[#This Row],[Часов на заказчика  дежурство]]</f>
        <v>0</v>
      </c>
      <c r="O21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49" s="9">
        <v>135000</v>
      </c>
      <c r="R2149" s="9"/>
      <c r="S2149" s="5">
        <v>1</v>
      </c>
      <c r="T21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табеле]])*S2149,0)</f>
        <v>0</v>
      </c>
      <c r="U2149" s="5">
        <f>IF(Таблица1[[#This Row],[ТТН]]&gt;0,Таблица1[[#This Row],[Ставка за ТТН]]*Таблица1[[#This Row],[ТТН]],0)</f>
        <v>0</v>
      </c>
    </row>
    <row r="2150" spans="1:22" x14ac:dyDescent="0.25">
      <c r="A2150" t="s">
        <v>84</v>
      </c>
      <c r="B2150" s="24">
        <v>16</v>
      </c>
      <c r="C2150" t="s">
        <v>120</v>
      </c>
      <c r="D2150" t="s">
        <v>12</v>
      </c>
      <c r="E2150" t="s">
        <v>215</v>
      </c>
      <c r="F2150" t="s">
        <v>42</v>
      </c>
      <c r="H2150" t="s">
        <v>44</v>
      </c>
      <c r="I2150" t="s">
        <v>217</v>
      </c>
      <c r="J2150">
        <v>1</v>
      </c>
      <c r="N2150">
        <f>Таблица1[[#This Row],[Часов на заказчика  в работе]]+Таблица1[[#This Row],[Часов на заказчика  дежурство]]</f>
        <v>0</v>
      </c>
      <c r="O21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0" s="9">
        <v>135000</v>
      </c>
      <c r="R2150" s="9"/>
      <c r="S2150" s="5">
        <v>1</v>
      </c>
      <c r="T21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табеле]])*S2150,0)</f>
        <v>0</v>
      </c>
      <c r="U2150" s="5">
        <f>IF(Таблица1[[#This Row],[ТТН]]&gt;0,Таблица1[[#This Row],[Ставка за ТТН]]*Таблица1[[#This Row],[ТТН]],0)</f>
        <v>0</v>
      </c>
    </row>
    <row r="2151" spans="1:22" x14ac:dyDescent="0.25">
      <c r="A2151" t="s">
        <v>84</v>
      </c>
      <c r="B2151" s="24">
        <v>17</v>
      </c>
      <c r="C2151" t="s">
        <v>120</v>
      </c>
      <c r="D2151" t="s">
        <v>12</v>
      </c>
      <c r="E2151" t="s">
        <v>215</v>
      </c>
      <c r="F2151" t="s">
        <v>42</v>
      </c>
      <c r="H2151" t="s">
        <v>44</v>
      </c>
      <c r="I2151" t="s">
        <v>217</v>
      </c>
      <c r="J2151">
        <v>1</v>
      </c>
      <c r="N2151">
        <f>Таблица1[[#This Row],[Часов на заказчика  в работе]]+Таблица1[[#This Row],[Часов на заказчика  дежурство]]</f>
        <v>0</v>
      </c>
      <c r="O21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1" s="9">
        <v>135000</v>
      </c>
      <c r="R2151" s="9"/>
      <c r="S2151" s="5">
        <v>1</v>
      </c>
      <c r="T21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табеле]])*S2151,0)</f>
        <v>0</v>
      </c>
      <c r="U2151" s="5">
        <f>IF(Таблица1[[#This Row],[ТТН]]&gt;0,Таблица1[[#This Row],[Ставка за ТТН]]*Таблица1[[#This Row],[ТТН]],0)</f>
        <v>0</v>
      </c>
      <c r="V2151" t="s">
        <v>74</v>
      </c>
    </row>
    <row r="2152" spans="1:22" x14ac:dyDescent="0.25">
      <c r="A2152" t="s">
        <v>84</v>
      </c>
      <c r="B2152" s="24">
        <v>18</v>
      </c>
      <c r="C2152" t="s">
        <v>120</v>
      </c>
      <c r="D2152" t="s">
        <v>12</v>
      </c>
      <c r="E2152" t="s">
        <v>215</v>
      </c>
      <c r="F2152" t="s">
        <v>42</v>
      </c>
      <c r="H2152" t="s">
        <v>44</v>
      </c>
      <c r="I2152" t="s">
        <v>217</v>
      </c>
      <c r="J2152">
        <v>1</v>
      </c>
      <c r="N2152">
        <f>Таблица1[[#This Row],[Часов на заказчика  в работе]]+Таблица1[[#This Row],[Часов на заказчика  дежурство]]</f>
        <v>0</v>
      </c>
      <c r="O21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2" s="9">
        <v>135000</v>
      </c>
      <c r="R2152" s="9"/>
      <c r="S2152" s="5">
        <v>1</v>
      </c>
      <c r="T21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табеле]])*S2152,0)</f>
        <v>0</v>
      </c>
      <c r="U2152" s="5">
        <f>IF(Таблица1[[#This Row],[ТТН]]&gt;0,Таблица1[[#This Row],[Ставка за ТТН]]*Таблица1[[#This Row],[ТТН]],0)</f>
        <v>0</v>
      </c>
    </row>
    <row r="2153" spans="1:22" x14ac:dyDescent="0.25">
      <c r="A2153" t="s">
        <v>84</v>
      </c>
      <c r="B2153" s="24">
        <v>19</v>
      </c>
      <c r="C2153" t="s">
        <v>120</v>
      </c>
      <c r="D2153" t="s">
        <v>12</v>
      </c>
      <c r="E2153" t="s">
        <v>215</v>
      </c>
      <c r="F2153" t="s">
        <v>42</v>
      </c>
      <c r="H2153" t="s">
        <v>44</v>
      </c>
      <c r="I2153" t="s">
        <v>217</v>
      </c>
      <c r="J2153">
        <v>1</v>
      </c>
      <c r="N2153">
        <f>Таблица1[[#This Row],[Часов на заказчика  в работе]]+Таблица1[[#This Row],[Часов на заказчика  дежурство]]</f>
        <v>0</v>
      </c>
      <c r="O21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3" s="9">
        <v>135000</v>
      </c>
      <c r="R2153" s="9"/>
      <c r="S2153" s="5">
        <v>1</v>
      </c>
      <c r="T21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табеле]])*S2153,0)</f>
        <v>0</v>
      </c>
      <c r="U2153" s="5">
        <f>IF(Таблица1[[#This Row],[ТТН]]&gt;0,Таблица1[[#This Row],[Ставка за ТТН]]*Таблица1[[#This Row],[ТТН]],0)</f>
        <v>0</v>
      </c>
    </row>
    <row r="2154" spans="1:22" x14ac:dyDescent="0.25">
      <c r="A2154" t="s">
        <v>84</v>
      </c>
      <c r="B2154" s="24">
        <v>20</v>
      </c>
      <c r="C2154" t="s">
        <v>120</v>
      </c>
      <c r="D2154" t="s">
        <v>12</v>
      </c>
      <c r="E2154" t="s">
        <v>215</v>
      </c>
      <c r="F2154" t="s">
        <v>42</v>
      </c>
      <c r="H2154" t="s">
        <v>44</v>
      </c>
      <c r="I2154" t="s">
        <v>217</v>
      </c>
      <c r="J2154">
        <v>1</v>
      </c>
      <c r="N2154">
        <f>Таблица1[[#This Row],[Часов на заказчика  в работе]]+Таблица1[[#This Row],[Часов на заказчика  дежурство]]</f>
        <v>0</v>
      </c>
      <c r="O21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4" s="9">
        <v>135000</v>
      </c>
      <c r="R2154" s="9"/>
      <c r="S2154" s="5">
        <v>1</v>
      </c>
      <c r="T21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табеле]])*S2154,0)</f>
        <v>0</v>
      </c>
      <c r="U2154" s="5">
        <f>IF(Таблица1[[#This Row],[ТТН]]&gt;0,Таблица1[[#This Row],[Ставка за ТТН]]*Таблица1[[#This Row],[ТТН]],0)</f>
        <v>0</v>
      </c>
    </row>
    <row r="2155" spans="1:22" x14ac:dyDescent="0.25">
      <c r="A2155" t="s">
        <v>84</v>
      </c>
      <c r="B2155" s="24">
        <v>21</v>
      </c>
      <c r="C2155" t="s">
        <v>120</v>
      </c>
      <c r="D2155" t="s">
        <v>12</v>
      </c>
      <c r="E2155" t="s">
        <v>215</v>
      </c>
      <c r="F2155" t="s">
        <v>42</v>
      </c>
      <c r="H2155" t="s">
        <v>44</v>
      </c>
      <c r="I2155" t="s">
        <v>217</v>
      </c>
      <c r="J2155">
        <v>1</v>
      </c>
      <c r="N2155">
        <f>Таблица1[[#This Row],[Часов на заказчика  в работе]]+Таблица1[[#This Row],[Часов на заказчика  дежурство]]</f>
        <v>0</v>
      </c>
      <c r="O21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5" s="9">
        <v>135000</v>
      </c>
      <c r="R2155" s="9"/>
      <c r="S2155" s="5">
        <v>1</v>
      </c>
      <c r="T21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табеле]])*S2155,0)</f>
        <v>0</v>
      </c>
      <c r="U2155" s="5">
        <f>IF(Таблица1[[#This Row],[ТТН]]&gt;0,Таблица1[[#This Row],[Ставка за ТТН]]*Таблица1[[#This Row],[ТТН]],0)</f>
        <v>0</v>
      </c>
    </row>
    <row r="2156" spans="1:22" x14ac:dyDescent="0.25">
      <c r="A2156" t="s">
        <v>84</v>
      </c>
      <c r="B2156" s="24">
        <v>22</v>
      </c>
      <c r="C2156" t="s">
        <v>120</v>
      </c>
      <c r="D2156" t="s">
        <v>12</v>
      </c>
      <c r="E2156" t="s">
        <v>215</v>
      </c>
      <c r="F2156" t="s">
        <v>42</v>
      </c>
      <c r="H2156" t="s">
        <v>44</v>
      </c>
      <c r="I2156" t="s">
        <v>217</v>
      </c>
      <c r="J2156">
        <v>1</v>
      </c>
      <c r="N2156">
        <f>Таблица1[[#This Row],[Часов на заказчика  в работе]]+Таблица1[[#This Row],[Часов на заказчика  дежурство]]</f>
        <v>0</v>
      </c>
      <c r="O21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6" s="9">
        <v>135000</v>
      </c>
      <c r="R2156" s="9"/>
      <c r="S2156" s="5">
        <v>1</v>
      </c>
      <c r="T21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табеле]])*S2156,0)</f>
        <v>0</v>
      </c>
      <c r="U2156" s="5">
        <f>IF(Таблица1[[#This Row],[ТТН]]&gt;0,Таблица1[[#This Row],[Ставка за ТТН]]*Таблица1[[#This Row],[ТТН]],0)</f>
        <v>0</v>
      </c>
    </row>
    <row r="2157" spans="1:22" x14ac:dyDescent="0.25">
      <c r="A2157" t="s">
        <v>84</v>
      </c>
      <c r="B2157" s="24">
        <v>23</v>
      </c>
      <c r="C2157" t="s">
        <v>120</v>
      </c>
      <c r="D2157" t="s">
        <v>12</v>
      </c>
      <c r="E2157" t="s">
        <v>215</v>
      </c>
      <c r="F2157" t="s">
        <v>42</v>
      </c>
      <c r="H2157" t="s">
        <v>44</v>
      </c>
      <c r="I2157" t="s">
        <v>217</v>
      </c>
      <c r="J2157">
        <v>1</v>
      </c>
      <c r="N2157">
        <f>Таблица1[[#This Row],[Часов на заказчика  в работе]]+Таблица1[[#This Row],[Часов на заказчика  дежурство]]</f>
        <v>0</v>
      </c>
      <c r="O21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7" s="9">
        <v>135000</v>
      </c>
      <c r="R2157" s="9"/>
      <c r="S2157" s="5">
        <v>1</v>
      </c>
      <c r="T21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табеле]])*S2157,0)</f>
        <v>0</v>
      </c>
      <c r="U2157" s="5">
        <f>IF(Таблица1[[#This Row],[ТТН]]&gt;0,Таблица1[[#This Row],[Ставка за ТТН]]*Таблица1[[#This Row],[ТТН]],0)</f>
        <v>0</v>
      </c>
    </row>
    <row r="2158" spans="1:22" x14ac:dyDescent="0.25">
      <c r="A2158" t="s">
        <v>84</v>
      </c>
      <c r="B2158" s="24">
        <v>24</v>
      </c>
      <c r="C2158" t="s">
        <v>120</v>
      </c>
      <c r="D2158" t="s">
        <v>12</v>
      </c>
      <c r="E2158" t="s">
        <v>215</v>
      </c>
      <c r="F2158" t="s">
        <v>42</v>
      </c>
      <c r="H2158" t="s">
        <v>44</v>
      </c>
      <c r="I2158" t="s">
        <v>217</v>
      </c>
      <c r="J2158">
        <v>1</v>
      </c>
      <c r="N2158">
        <f>Таблица1[[#This Row],[Часов на заказчика  в работе]]+Таблица1[[#This Row],[Часов на заказчика  дежурство]]</f>
        <v>0</v>
      </c>
      <c r="O21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8" s="9">
        <v>135000</v>
      </c>
      <c r="R2158" s="9"/>
      <c r="S2158" s="5">
        <v>1</v>
      </c>
      <c r="T21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табеле]])*S2158,0)</f>
        <v>0</v>
      </c>
      <c r="U2158" s="5">
        <f>IF(Таблица1[[#This Row],[ТТН]]&gt;0,Таблица1[[#This Row],[Ставка за ТТН]]*Таблица1[[#This Row],[ТТН]],0)</f>
        <v>0</v>
      </c>
    </row>
    <row r="2159" spans="1:22" x14ac:dyDescent="0.25">
      <c r="A2159" t="s">
        <v>84</v>
      </c>
      <c r="B2159" s="24">
        <v>25</v>
      </c>
      <c r="C2159" t="s">
        <v>120</v>
      </c>
      <c r="D2159" t="s">
        <v>12</v>
      </c>
      <c r="E2159" t="s">
        <v>215</v>
      </c>
      <c r="F2159" t="s">
        <v>42</v>
      </c>
      <c r="H2159" t="s">
        <v>44</v>
      </c>
      <c r="I2159" t="s">
        <v>217</v>
      </c>
      <c r="J2159">
        <v>1</v>
      </c>
      <c r="N2159">
        <f>Таблица1[[#This Row],[Часов на заказчика  в работе]]+Таблица1[[#This Row],[Часов на заказчика  дежурство]]</f>
        <v>0</v>
      </c>
      <c r="O21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59" s="9">
        <v>135000</v>
      </c>
      <c r="R2159" s="9"/>
      <c r="S2159" s="5">
        <v>1</v>
      </c>
      <c r="T21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табеле]])*S2159,0)</f>
        <v>0</v>
      </c>
      <c r="U2159" s="5">
        <f>IF(Таблица1[[#This Row],[ТТН]]&gt;0,Таблица1[[#This Row],[Ставка за ТТН]]*Таблица1[[#This Row],[ТТН]],0)</f>
        <v>0</v>
      </c>
    </row>
    <row r="2160" spans="1:22" x14ac:dyDescent="0.25">
      <c r="A2160" t="s">
        <v>84</v>
      </c>
      <c r="B2160" s="24">
        <v>26</v>
      </c>
      <c r="C2160" t="s">
        <v>120</v>
      </c>
      <c r="D2160" t="s">
        <v>12</v>
      </c>
      <c r="E2160" t="s">
        <v>215</v>
      </c>
      <c r="F2160" t="s">
        <v>42</v>
      </c>
      <c r="H2160" t="s">
        <v>44</v>
      </c>
      <c r="I2160" t="s">
        <v>217</v>
      </c>
      <c r="J2160">
        <v>1</v>
      </c>
      <c r="N2160">
        <f>Таблица1[[#This Row],[Часов на заказчика  в работе]]+Таблица1[[#This Row],[Часов на заказчика  дежурство]]</f>
        <v>0</v>
      </c>
      <c r="O21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0" s="9">
        <v>135000</v>
      </c>
      <c r="R2160" s="9"/>
      <c r="S2160" s="5">
        <v>1</v>
      </c>
      <c r="T21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табеле]])*S2160,0)</f>
        <v>0</v>
      </c>
      <c r="U2160" s="5">
        <f>IF(Таблица1[[#This Row],[ТТН]]&gt;0,Таблица1[[#This Row],[Ставка за ТТН]]*Таблица1[[#This Row],[ТТН]],0)</f>
        <v>0</v>
      </c>
    </row>
    <row r="2161" spans="1:21" x14ac:dyDescent="0.25">
      <c r="A2161" t="s">
        <v>84</v>
      </c>
      <c r="B2161" s="24">
        <v>27</v>
      </c>
      <c r="C2161" t="s">
        <v>120</v>
      </c>
      <c r="D2161" t="s">
        <v>12</v>
      </c>
      <c r="E2161" t="s">
        <v>215</v>
      </c>
      <c r="F2161" t="s">
        <v>42</v>
      </c>
      <c r="H2161" t="s">
        <v>44</v>
      </c>
      <c r="I2161" t="s">
        <v>217</v>
      </c>
      <c r="J2161">
        <v>1</v>
      </c>
      <c r="N2161">
        <f>Таблица1[[#This Row],[Часов на заказчика  в работе]]+Таблица1[[#This Row],[Часов на заказчика  дежурство]]</f>
        <v>0</v>
      </c>
      <c r="O21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1" s="9">
        <v>135000</v>
      </c>
      <c r="R2161" s="9"/>
      <c r="S2161" s="5">
        <v>1</v>
      </c>
      <c r="T21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табеле]])*S2161,0)</f>
        <v>0</v>
      </c>
      <c r="U2161" s="5">
        <f>IF(Таблица1[[#This Row],[ТТН]]&gt;0,Таблица1[[#This Row],[Ставка за ТТН]]*Таблица1[[#This Row],[ТТН]],0)</f>
        <v>0</v>
      </c>
    </row>
    <row r="2162" spans="1:21" x14ac:dyDescent="0.25">
      <c r="A2162" t="s">
        <v>84</v>
      </c>
      <c r="B2162" s="24">
        <v>28</v>
      </c>
      <c r="C2162" t="s">
        <v>120</v>
      </c>
      <c r="D2162" t="s">
        <v>12</v>
      </c>
      <c r="E2162" t="s">
        <v>215</v>
      </c>
      <c r="F2162" t="s">
        <v>42</v>
      </c>
      <c r="H2162" t="s">
        <v>44</v>
      </c>
      <c r="I2162" t="s">
        <v>217</v>
      </c>
      <c r="J2162">
        <v>1</v>
      </c>
      <c r="N2162">
        <f>Таблица1[[#This Row],[Часов на заказчика  в работе]]+Таблица1[[#This Row],[Часов на заказчика  дежурство]]</f>
        <v>0</v>
      </c>
      <c r="O21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2" s="9">
        <v>135000</v>
      </c>
      <c r="R2162" s="9"/>
      <c r="S2162" s="5">
        <v>1</v>
      </c>
      <c r="T21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табеле]])*S2162,0)</f>
        <v>0</v>
      </c>
      <c r="U2162" s="5">
        <f>IF(Таблица1[[#This Row],[ТТН]]&gt;0,Таблица1[[#This Row],[Ставка за ТТН]]*Таблица1[[#This Row],[ТТН]],0)</f>
        <v>0</v>
      </c>
    </row>
    <row r="2163" spans="1:21" x14ac:dyDescent="0.25">
      <c r="A2163" t="s">
        <v>84</v>
      </c>
      <c r="B2163" s="24">
        <v>29</v>
      </c>
      <c r="C2163" t="s">
        <v>120</v>
      </c>
      <c r="D2163" t="s">
        <v>12</v>
      </c>
      <c r="E2163" t="s">
        <v>215</v>
      </c>
      <c r="F2163" t="s">
        <v>42</v>
      </c>
      <c r="H2163" t="s">
        <v>44</v>
      </c>
      <c r="I2163" t="s">
        <v>217</v>
      </c>
      <c r="J2163">
        <v>1</v>
      </c>
      <c r="N2163">
        <f>Таблица1[[#This Row],[Часов на заказчика  в работе]]+Таблица1[[#This Row],[Часов на заказчика  дежурство]]</f>
        <v>0</v>
      </c>
      <c r="O21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3" s="9">
        <v>135000</v>
      </c>
      <c r="R2163" s="9"/>
      <c r="S2163" s="5">
        <v>1</v>
      </c>
      <c r="T21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табеле]])*S2163,0)</f>
        <v>0</v>
      </c>
      <c r="U2163" s="5">
        <f>IF(Таблица1[[#This Row],[ТТН]]&gt;0,Таблица1[[#This Row],[Ставка за ТТН]]*Таблица1[[#This Row],[ТТН]],0)</f>
        <v>0</v>
      </c>
    </row>
    <row r="2164" spans="1:21" x14ac:dyDescent="0.25">
      <c r="A2164" t="s">
        <v>84</v>
      </c>
      <c r="B2164" s="24">
        <v>30</v>
      </c>
      <c r="C2164" t="s">
        <v>120</v>
      </c>
      <c r="D2164" t="s">
        <v>12</v>
      </c>
      <c r="E2164" t="s">
        <v>215</v>
      </c>
      <c r="F2164" t="s">
        <v>42</v>
      </c>
      <c r="H2164" t="s">
        <v>44</v>
      </c>
      <c r="I2164" t="s">
        <v>217</v>
      </c>
      <c r="J2164">
        <v>1</v>
      </c>
      <c r="N2164">
        <f>Таблица1[[#This Row],[Часов на заказчика  в работе]]+Таблица1[[#This Row],[Часов на заказчика  дежурство]]</f>
        <v>0</v>
      </c>
      <c r="O21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4" s="9">
        <v>135000</v>
      </c>
      <c r="R2164" s="9"/>
      <c r="S2164" s="5">
        <v>1</v>
      </c>
      <c r="T21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табеле]])*S2164,0)</f>
        <v>0</v>
      </c>
      <c r="U2164" s="5">
        <f>IF(Таблица1[[#This Row],[ТТН]]&gt;0,Таблица1[[#This Row],[Ставка за ТТН]]*Таблица1[[#This Row],[ТТН]],0)</f>
        <v>0</v>
      </c>
    </row>
    <row r="2165" spans="1:21" x14ac:dyDescent="0.25">
      <c r="A2165" t="s">
        <v>84</v>
      </c>
      <c r="B2165" s="24">
        <v>1</v>
      </c>
      <c r="C2165" t="s">
        <v>120</v>
      </c>
      <c r="D2165" t="s">
        <v>12</v>
      </c>
      <c r="E2165" t="s">
        <v>215</v>
      </c>
      <c r="F2165" t="s">
        <v>42</v>
      </c>
      <c r="H2165" t="s">
        <v>10</v>
      </c>
      <c r="I2165" t="s">
        <v>219</v>
      </c>
      <c r="J2165">
        <v>11</v>
      </c>
      <c r="K2165">
        <v>1</v>
      </c>
      <c r="N2165">
        <f>Таблица1[[#This Row],[Часов на заказчика  в работе]]+Таблица1[[#This Row],[Часов на заказчика  дежурство]]</f>
        <v>0</v>
      </c>
      <c r="O21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5" s="9">
        <v>145000</v>
      </c>
      <c r="R2165" s="9">
        <v>1660</v>
      </c>
      <c r="S2165" s="5">
        <v>1</v>
      </c>
      <c r="T21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табеле]])*S2165,0)</f>
        <v>4833.333333333333</v>
      </c>
      <c r="U2165" s="5">
        <f>IF(Таблица1[[#This Row],[ТТН]]&gt;0,Таблица1[[#This Row],[Ставка за ТТН]]*Таблица1[[#This Row],[ТТН]],0)</f>
        <v>1660</v>
      </c>
    </row>
    <row r="2166" spans="1:21" x14ac:dyDescent="0.25">
      <c r="A2166" t="s">
        <v>84</v>
      </c>
      <c r="B2166" s="24">
        <v>2</v>
      </c>
      <c r="C2166" t="s">
        <v>120</v>
      </c>
      <c r="D2166" t="s">
        <v>12</v>
      </c>
      <c r="E2166" t="s">
        <v>215</v>
      </c>
      <c r="F2166" t="s">
        <v>42</v>
      </c>
      <c r="H2166" t="s">
        <v>10</v>
      </c>
      <c r="I2166" t="s">
        <v>219</v>
      </c>
      <c r="J2166">
        <v>11</v>
      </c>
      <c r="N2166">
        <f>Таблица1[[#This Row],[Часов на заказчика  в работе]]+Таблица1[[#This Row],[Часов на заказчика  дежурство]]</f>
        <v>0</v>
      </c>
      <c r="O21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6" s="9">
        <v>145000</v>
      </c>
      <c r="R2166" s="9">
        <v>1660</v>
      </c>
      <c r="S2166" s="5">
        <v>1</v>
      </c>
      <c r="T21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табеле]])*S2166,0)</f>
        <v>4833.333333333333</v>
      </c>
      <c r="U2166" s="5">
        <f>IF(Таблица1[[#This Row],[ТТН]]&gt;0,Таблица1[[#This Row],[Ставка за ТТН]]*Таблица1[[#This Row],[ТТН]],0)</f>
        <v>0</v>
      </c>
    </row>
    <row r="2167" spans="1:21" x14ac:dyDescent="0.25">
      <c r="A2167" t="s">
        <v>84</v>
      </c>
      <c r="B2167" s="24">
        <v>3</v>
      </c>
      <c r="C2167" t="s">
        <v>120</v>
      </c>
      <c r="D2167" t="s">
        <v>12</v>
      </c>
      <c r="E2167" t="s">
        <v>215</v>
      </c>
      <c r="F2167" t="s">
        <v>42</v>
      </c>
      <c r="H2167" t="s">
        <v>10</v>
      </c>
      <c r="I2167" t="s">
        <v>219</v>
      </c>
      <c r="J2167">
        <v>11</v>
      </c>
      <c r="K2167">
        <v>1</v>
      </c>
      <c r="N2167">
        <f>Таблица1[[#This Row],[Часов на заказчика  в работе]]+Таблица1[[#This Row],[Часов на заказчика  дежурство]]</f>
        <v>0</v>
      </c>
      <c r="O21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7" s="9">
        <v>145000</v>
      </c>
      <c r="R2167" s="9">
        <v>1660</v>
      </c>
      <c r="S2167" s="5">
        <v>1</v>
      </c>
      <c r="T21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табеле]])*S2167,0)</f>
        <v>4833.333333333333</v>
      </c>
      <c r="U2167" s="5">
        <f>IF(Таблица1[[#This Row],[ТТН]]&gt;0,Таблица1[[#This Row],[Ставка за ТТН]]*Таблица1[[#This Row],[ТТН]],0)</f>
        <v>1660</v>
      </c>
    </row>
    <row r="2168" spans="1:21" x14ac:dyDescent="0.25">
      <c r="A2168" t="s">
        <v>84</v>
      </c>
      <c r="B2168" s="24">
        <v>4</v>
      </c>
      <c r="C2168" t="s">
        <v>120</v>
      </c>
      <c r="D2168" t="s">
        <v>12</v>
      </c>
      <c r="E2168" t="s">
        <v>215</v>
      </c>
      <c r="F2168" t="s">
        <v>42</v>
      </c>
      <c r="H2168" t="s">
        <v>23</v>
      </c>
      <c r="I2168" t="s">
        <v>217</v>
      </c>
      <c r="J2168">
        <v>11</v>
      </c>
      <c r="N2168">
        <f>Таблица1[[#This Row],[Часов на заказчика  в работе]]+Таблица1[[#This Row],[Часов на заказчика  дежурство]]</f>
        <v>0</v>
      </c>
      <c r="O21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8" s="9">
        <v>145000</v>
      </c>
      <c r="R2168" s="9">
        <v>1660</v>
      </c>
      <c r="S2168" s="5">
        <v>1</v>
      </c>
      <c r="T21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табеле]])*S2168,0)</f>
        <v>4833.333333333333</v>
      </c>
      <c r="U2168" s="5">
        <f>IF(Таблица1[[#This Row],[ТТН]]&gt;0,Таблица1[[#This Row],[Ставка за ТТН]]*Таблица1[[#This Row],[ТТН]],0)</f>
        <v>0</v>
      </c>
    </row>
    <row r="2169" spans="1:21" x14ac:dyDescent="0.25">
      <c r="A2169" t="s">
        <v>84</v>
      </c>
      <c r="B2169" s="24">
        <v>5</v>
      </c>
      <c r="C2169" t="s">
        <v>120</v>
      </c>
      <c r="D2169" t="s">
        <v>12</v>
      </c>
      <c r="E2169" t="s">
        <v>215</v>
      </c>
      <c r="F2169" t="s">
        <v>42</v>
      </c>
      <c r="H2169" t="s">
        <v>23</v>
      </c>
      <c r="I2169" t="s">
        <v>217</v>
      </c>
      <c r="J2169">
        <v>11</v>
      </c>
      <c r="N2169">
        <f>Таблица1[[#This Row],[Часов на заказчика  в работе]]+Таблица1[[#This Row],[Часов на заказчика  дежурство]]</f>
        <v>0</v>
      </c>
      <c r="O21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69" s="9">
        <v>145000</v>
      </c>
      <c r="R2169" s="9">
        <v>1660</v>
      </c>
      <c r="S2169" s="5">
        <v>1</v>
      </c>
      <c r="T21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табеле]])*S2169,0)</f>
        <v>4833.333333333333</v>
      </c>
      <c r="U2169" s="5">
        <f>IF(Таблица1[[#This Row],[ТТН]]&gt;0,Таблица1[[#This Row],[Ставка за ТТН]]*Таблица1[[#This Row],[ТТН]],0)</f>
        <v>0</v>
      </c>
    </row>
    <row r="2170" spans="1:21" x14ac:dyDescent="0.25">
      <c r="A2170" t="s">
        <v>84</v>
      </c>
      <c r="B2170" s="24">
        <v>6</v>
      </c>
      <c r="C2170" t="s">
        <v>120</v>
      </c>
      <c r="D2170" t="s">
        <v>12</v>
      </c>
      <c r="E2170" t="s">
        <v>215</v>
      </c>
      <c r="F2170" t="s">
        <v>42</v>
      </c>
      <c r="H2170" t="s">
        <v>38</v>
      </c>
      <c r="I2170" t="s">
        <v>219</v>
      </c>
      <c r="J2170">
        <v>11</v>
      </c>
      <c r="N2170">
        <f>Таблица1[[#This Row],[Часов на заказчика  в работе]]+Таблица1[[#This Row],[Часов на заказчика  дежурство]]</f>
        <v>0</v>
      </c>
      <c r="O21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0" s="9">
        <v>145000</v>
      </c>
      <c r="R2170" s="9">
        <v>1660</v>
      </c>
      <c r="S2170" s="5">
        <v>1</v>
      </c>
      <c r="T21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табеле]])*S2170,0)</f>
        <v>4833.333333333333</v>
      </c>
      <c r="U2170" s="5">
        <f>IF(Таблица1[[#This Row],[ТТН]]&gt;0,Таблица1[[#This Row],[Ставка за ТТН]]*Таблица1[[#This Row],[ТТН]],0)</f>
        <v>0</v>
      </c>
    </row>
    <row r="2171" spans="1:21" x14ac:dyDescent="0.25">
      <c r="A2171" t="s">
        <v>84</v>
      </c>
      <c r="B2171" s="24">
        <v>7</v>
      </c>
      <c r="C2171" t="s">
        <v>120</v>
      </c>
      <c r="D2171" t="s">
        <v>12</v>
      </c>
      <c r="E2171" t="s">
        <v>215</v>
      </c>
      <c r="F2171" t="s">
        <v>42</v>
      </c>
      <c r="H2171" t="s">
        <v>38</v>
      </c>
      <c r="I2171" t="s">
        <v>219</v>
      </c>
      <c r="J2171">
        <v>11</v>
      </c>
      <c r="N2171">
        <f>Таблица1[[#This Row],[Часов на заказчика  в работе]]+Таблица1[[#This Row],[Часов на заказчика  дежурство]]</f>
        <v>0</v>
      </c>
      <c r="O21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1" s="9">
        <v>145000</v>
      </c>
      <c r="R2171" s="9">
        <v>1660</v>
      </c>
      <c r="S2171" s="5">
        <v>1</v>
      </c>
      <c r="T21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табеле]])*S2171,0)</f>
        <v>4833.333333333333</v>
      </c>
      <c r="U2171" s="5">
        <f>IF(Таблица1[[#This Row],[ТТН]]&gt;0,Таблица1[[#This Row],[Ставка за ТТН]]*Таблица1[[#This Row],[ТТН]],0)</f>
        <v>0</v>
      </c>
    </row>
    <row r="2172" spans="1:21" x14ac:dyDescent="0.25">
      <c r="A2172" t="s">
        <v>84</v>
      </c>
      <c r="B2172" s="24">
        <v>8</v>
      </c>
      <c r="C2172" t="s">
        <v>120</v>
      </c>
      <c r="D2172" t="s">
        <v>12</v>
      </c>
      <c r="E2172" t="s">
        <v>215</v>
      </c>
      <c r="F2172" t="s">
        <v>42</v>
      </c>
      <c r="H2172" t="s">
        <v>10</v>
      </c>
      <c r="I2172" t="s">
        <v>219</v>
      </c>
      <c r="J2172">
        <v>11</v>
      </c>
      <c r="N2172">
        <f>Таблица1[[#This Row],[Часов на заказчика  в работе]]+Таблица1[[#This Row],[Часов на заказчика  дежурство]]</f>
        <v>0</v>
      </c>
      <c r="O21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2" s="9">
        <v>145000</v>
      </c>
      <c r="R2172" s="9">
        <v>1660</v>
      </c>
      <c r="S2172" s="5">
        <v>1</v>
      </c>
      <c r="T21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табеле]])*S2172,0)</f>
        <v>4833.333333333333</v>
      </c>
      <c r="U2172" s="5">
        <f>IF(Таблица1[[#This Row],[ТТН]]&gt;0,Таблица1[[#This Row],[Ставка за ТТН]]*Таблица1[[#This Row],[ТТН]],0)</f>
        <v>0</v>
      </c>
    </row>
    <row r="2173" spans="1:21" x14ac:dyDescent="0.25">
      <c r="A2173" t="s">
        <v>84</v>
      </c>
      <c r="B2173" s="24">
        <v>9</v>
      </c>
      <c r="C2173" t="s">
        <v>120</v>
      </c>
      <c r="D2173" t="s">
        <v>12</v>
      </c>
      <c r="E2173" t="s">
        <v>215</v>
      </c>
      <c r="F2173" t="s">
        <v>42</v>
      </c>
      <c r="H2173" t="s">
        <v>10</v>
      </c>
      <c r="I2173" t="s">
        <v>219</v>
      </c>
      <c r="J2173">
        <v>22</v>
      </c>
      <c r="K2173">
        <v>1</v>
      </c>
      <c r="N2173">
        <f>Таблица1[[#This Row],[Часов на заказчика  в работе]]+Таблица1[[#This Row],[Часов на заказчика  дежурство]]</f>
        <v>0</v>
      </c>
      <c r="O21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3" s="9">
        <v>145000</v>
      </c>
      <c r="R2173" s="9">
        <v>1660</v>
      </c>
      <c r="S2173" s="5">
        <v>1</v>
      </c>
      <c r="T21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табеле]])*S2173,0)</f>
        <v>9666.6666666666661</v>
      </c>
      <c r="U2173" s="5">
        <f>IF(Таблица1[[#This Row],[ТТН]]&gt;0,Таблица1[[#This Row],[Ставка за ТТН]]*Таблица1[[#This Row],[ТТН]],0)</f>
        <v>1660</v>
      </c>
    </row>
    <row r="2174" spans="1:21" x14ac:dyDescent="0.25">
      <c r="A2174" t="s">
        <v>84</v>
      </c>
      <c r="B2174" s="24">
        <v>10</v>
      </c>
      <c r="C2174" t="s">
        <v>120</v>
      </c>
      <c r="D2174" t="s">
        <v>12</v>
      </c>
      <c r="E2174" t="s">
        <v>215</v>
      </c>
      <c r="F2174" t="s">
        <v>42</v>
      </c>
      <c r="H2174" t="s">
        <v>10</v>
      </c>
      <c r="I2174" t="s">
        <v>219</v>
      </c>
      <c r="J2174">
        <v>11</v>
      </c>
      <c r="K2174">
        <v>1</v>
      </c>
      <c r="N2174">
        <f>Таблица1[[#This Row],[Часов на заказчика  в работе]]+Таблица1[[#This Row],[Часов на заказчика  дежурство]]</f>
        <v>0</v>
      </c>
      <c r="O21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4" s="9">
        <v>145000</v>
      </c>
      <c r="R2174" s="9">
        <v>1660</v>
      </c>
      <c r="S2174" s="5">
        <v>1</v>
      </c>
      <c r="T21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табеле]])*S2174,0)</f>
        <v>4833.333333333333</v>
      </c>
      <c r="U2174" s="5">
        <f>IF(Таблица1[[#This Row],[ТТН]]&gt;0,Таблица1[[#This Row],[Ставка за ТТН]]*Таблица1[[#This Row],[ТТН]],0)</f>
        <v>1660</v>
      </c>
    </row>
    <row r="2175" spans="1:21" x14ac:dyDescent="0.25">
      <c r="A2175" t="s">
        <v>84</v>
      </c>
      <c r="B2175" s="24">
        <v>11</v>
      </c>
      <c r="C2175" t="s">
        <v>120</v>
      </c>
      <c r="D2175" t="s">
        <v>12</v>
      </c>
      <c r="E2175" t="s">
        <v>215</v>
      </c>
      <c r="F2175" t="s">
        <v>42</v>
      </c>
      <c r="H2175" t="s">
        <v>10</v>
      </c>
      <c r="I2175" t="s">
        <v>219</v>
      </c>
      <c r="J2175">
        <v>22</v>
      </c>
      <c r="K2175">
        <v>1</v>
      </c>
      <c r="N2175">
        <f>Таблица1[[#This Row],[Часов на заказчика  в работе]]+Таблица1[[#This Row],[Часов на заказчика  дежурство]]</f>
        <v>0</v>
      </c>
      <c r="O21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5" s="9">
        <v>145000</v>
      </c>
      <c r="R2175" s="9">
        <v>1660</v>
      </c>
      <c r="S2175" s="5">
        <v>1</v>
      </c>
      <c r="T21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табеле]])*S2175,0)</f>
        <v>9666.6666666666661</v>
      </c>
      <c r="U2175" s="5">
        <f>IF(Таблица1[[#This Row],[ТТН]]&gt;0,Таблица1[[#This Row],[Ставка за ТТН]]*Таблица1[[#This Row],[ТТН]],0)</f>
        <v>1660</v>
      </c>
    </row>
    <row r="2176" spans="1:21" x14ac:dyDescent="0.25">
      <c r="A2176" t="s">
        <v>84</v>
      </c>
      <c r="B2176" s="24">
        <v>12</v>
      </c>
      <c r="C2176" t="s">
        <v>120</v>
      </c>
      <c r="D2176" t="s">
        <v>12</v>
      </c>
      <c r="E2176" t="s">
        <v>215</v>
      </c>
      <c r="F2176" t="s">
        <v>42</v>
      </c>
      <c r="H2176" t="s">
        <v>38</v>
      </c>
      <c r="I2176" t="s">
        <v>219</v>
      </c>
      <c r="J2176">
        <v>11</v>
      </c>
      <c r="N2176">
        <f>Таблица1[[#This Row],[Часов на заказчика  в работе]]+Таблица1[[#This Row],[Часов на заказчика  дежурство]]</f>
        <v>0</v>
      </c>
      <c r="O21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6" s="9">
        <v>145000</v>
      </c>
      <c r="R2176" s="9">
        <v>1660</v>
      </c>
      <c r="S2176" s="5">
        <v>1</v>
      </c>
      <c r="T21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табеле]])*S2176,0)</f>
        <v>4833.333333333333</v>
      </c>
      <c r="U2176" s="5">
        <f>IF(Таблица1[[#This Row],[ТТН]]&gt;0,Таблица1[[#This Row],[Ставка за ТТН]]*Таблица1[[#This Row],[ТТН]],0)</f>
        <v>0</v>
      </c>
    </row>
    <row r="2177" spans="1:22" x14ac:dyDescent="0.25">
      <c r="A2177" t="s">
        <v>84</v>
      </c>
      <c r="B2177" s="24">
        <v>13</v>
      </c>
      <c r="C2177" t="s">
        <v>120</v>
      </c>
      <c r="D2177" t="s">
        <v>12</v>
      </c>
      <c r="E2177" t="s">
        <v>215</v>
      </c>
      <c r="F2177" t="s">
        <v>42</v>
      </c>
      <c r="H2177" t="s">
        <v>38</v>
      </c>
      <c r="I2177" t="s">
        <v>219</v>
      </c>
      <c r="J2177">
        <v>11</v>
      </c>
      <c r="N2177">
        <f>Таблица1[[#This Row],[Часов на заказчика  в работе]]+Таблица1[[#This Row],[Часов на заказчика  дежурство]]</f>
        <v>0</v>
      </c>
      <c r="O21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7" s="9">
        <v>145000</v>
      </c>
      <c r="R2177" s="9">
        <v>1660</v>
      </c>
      <c r="S2177" s="5">
        <v>1</v>
      </c>
      <c r="T21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табеле]])*S2177,0)</f>
        <v>4833.333333333333</v>
      </c>
      <c r="U2177" s="5">
        <f>IF(Таблица1[[#This Row],[ТТН]]&gt;0,Таблица1[[#This Row],[Ставка за ТТН]]*Таблица1[[#This Row],[ТТН]],0)</f>
        <v>0</v>
      </c>
    </row>
    <row r="2178" spans="1:22" x14ac:dyDescent="0.25">
      <c r="A2178" t="s">
        <v>84</v>
      </c>
      <c r="B2178" s="24">
        <v>14</v>
      </c>
      <c r="C2178" t="s">
        <v>120</v>
      </c>
      <c r="D2178" t="s">
        <v>12</v>
      </c>
      <c r="E2178" t="s">
        <v>215</v>
      </c>
      <c r="F2178" t="s">
        <v>42</v>
      </c>
      <c r="H2178" t="s">
        <v>10</v>
      </c>
      <c r="I2178" t="s">
        <v>219</v>
      </c>
      <c r="J2178">
        <v>11</v>
      </c>
      <c r="N2178">
        <f>Таблица1[[#This Row],[Часов на заказчика  в работе]]+Таблица1[[#This Row],[Часов на заказчика  дежурство]]</f>
        <v>0</v>
      </c>
      <c r="O21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8" s="9">
        <v>145000</v>
      </c>
      <c r="R2178" s="9">
        <v>1660</v>
      </c>
      <c r="S2178" s="5">
        <v>1</v>
      </c>
      <c r="T21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табеле]])*S2178,0)</f>
        <v>4833.333333333333</v>
      </c>
      <c r="U2178" s="5">
        <f>IF(Таблица1[[#This Row],[ТТН]]&gt;0,Таблица1[[#This Row],[Ставка за ТТН]]*Таблица1[[#This Row],[ТТН]],0)</f>
        <v>0</v>
      </c>
    </row>
    <row r="2179" spans="1:22" x14ac:dyDescent="0.25">
      <c r="A2179" t="s">
        <v>84</v>
      </c>
      <c r="B2179" s="24">
        <v>15</v>
      </c>
      <c r="C2179" t="s">
        <v>120</v>
      </c>
      <c r="D2179" t="s">
        <v>12</v>
      </c>
      <c r="E2179" t="s">
        <v>215</v>
      </c>
      <c r="F2179" t="s">
        <v>42</v>
      </c>
      <c r="H2179" t="s">
        <v>10</v>
      </c>
      <c r="I2179" t="s">
        <v>219</v>
      </c>
      <c r="J2179">
        <v>22</v>
      </c>
      <c r="K2179">
        <v>1</v>
      </c>
      <c r="N2179">
        <f>Таблица1[[#This Row],[Часов на заказчика  в работе]]+Таблица1[[#This Row],[Часов на заказчика  дежурство]]</f>
        <v>0</v>
      </c>
      <c r="O21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79" s="9">
        <v>145000</v>
      </c>
      <c r="R2179" s="9">
        <v>1660</v>
      </c>
      <c r="S2179" s="5">
        <v>1</v>
      </c>
      <c r="T21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табеле]])*S2179,0)</f>
        <v>9666.6666666666661</v>
      </c>
      <c r="U2179" s="5">
        <f>IF(Таблица1[[#This Row],[ТТН]]&gt;0,Таблица1[[#This Row],[Ставка за ТТН]]*Таблица1[[#This Row],[ТТН]],0)</f>
        <v>1660</v>
      </c>
    </row>
    <row r="2180" spans="1:22" x14ac:dyDescent="0.25">
      <c r="A2180" t="s">
        <v>84</v>
      </c>
      <c r="B2180" s="24">
        <v>16</v>
      </c>
      <c r="C2180" t="s">
        <v>120</v>
      </c>
      <c r="D2180" t="s">
        <v>12</v>
      </c>
      <c r="E2180" t="s">
        <v>215</v>
      </c>
      <c r="F2180" t="s">
        <v>42</v>
      </c>
      <c r="H2180" t="s">
        <v>10</v>
      </c>
      <c r="I2180" t="s">
        <v>219</v>
      </c>
      <c r="J2180">
        <v>11</v>
      </c>
      <c r="N2180">
        <f>Таблица1[[#This Row],[Часов на заказчика  в работе]]+Таблица1[[#This Row],[Часов на заказчика  дежурство]]</f>
        <v>0</v>
      </c>
      <c r="O21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0" s="9">
        <v>145000</v>
      </c>
      <c r="R2180" s="9">
        <v>1660</v>
      </c>
      <c r="S2180" s="5">
        <v>1</v>
      </c>
      <c r="T21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табеле]])*S2180,0)</f>
        <v>4833.333333333333</v>
      </c>
      <c r="U2180" s="5">
        <f>IF(Таблица1[[#This Row],[ТТН]]&gt;0,Таблица1[[#This Row],[Ставка за ТТН]]*Таблица1[[#This Row],[ТТН]],0)</f>
        <v>0</v>
      </c>
    </row>
    <row r="2181" spans="1:22" x14ac:dyDescent="0.25">
      <c r="A2181" t="s">
        <v>84</v>
      </c>
      <c r="B2181" s="24">
        <v>17</v>
      </c>
      <c r="C2181" t="s">
        <v>120</v>
      </c>
      <c r="D2181" t="s">
        <v>12</v>
      </c>
      <c r="E2181" t="s">
        <v>215</v>
      </c>
      <c r="F2181" t="s">
        <v>42</v>
      </c>
      <c r="H2181" t="s">
        <v>10</v>
      </c>
      <c r="I2181" t="s">
        <v>219</v>
      </c>
      <c r="J2181">
        <v>11</v>
      </c>
      <c r="N2181">
        <f>Таблица1[[#This Row],[Часов на заказчика  в работе]]+Таблица1[[#This Row],[Часов на заказчика  дежурство]]</f>
        <v>0</v>
      </c>
      <c r="O21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1" s="9">
        <v>145000</v>
      </c>
      <c r="R2181" s="9">
        <v>1660</v>
      </c>
      <c r="S2181" s="5">
        <v>1</v>
      </c>
      <c r="T21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табеле]])*S2181,0)</f>
        <v>4833.333333333333</v>
      </c>
      <c r="U2181" s="5">
        <f>IF(Таблица1[[#This Row],[ТТН]]&gt;0,Таблица1[[#This Row],[Ставка за ТТН]]*Таблица1[[#This Row],[ТТН]],0)</f>
        <v>0</v>
      </c>
    </row>
    <row r="2182" spans="1:22" x14ac:dyDescent="0.25">
      <c r="A2182" t="s">
        <v>84</v>
      </c>
      <c r="B2182" s="24">
        <v>18</v>
      </c>
      <c r="C2182" t="s">
        <v>120</v>
      </c>
      <c r="D2182" t="s">
        <v>12</v>
      </c>
      <c r="E2182" t="s">
        <v>215</v>
      </c>
      <c r="F2182" t="s">
        <v>42</v>
      </c>
      <c r="H2182" t="s">
        <v>10</v>
      </c>
      <c r="I2182" t="s">
        <v>219</v>
      </c>
      <c r="J2182">
        <v>22</v>
      </c>
      <c r="K2182">
        <v>1</v>
      </c>
      <c r="N2182">
        <f>Таблица1[[#This Row],[Часов на заказчика  в работе]]+Таблица1[[#This Row],[Часов на заказчика  дежурство]]</f>
        <v>0</v>
      </c>
      <c r="O21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2" s="9">
        <v>145000</v>
      </c>
      <c r="R2182" s="9">
        <v>1660</v>
      </c>
      <c r="S2182" s="5">
        <v>1</v>
      </c>
      <c r="T21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табеле]])*S2182,0)</f>
        <v>9666.6666666666661</v>
      </c>
      <c r="U2182" s="5">
        <f>IF(Таблица1[[#This Row],[ТТН]]&gt;0,Таблица1[[#This Row],[Ставка за ТТН]]*Таблица1[[#This Row],[ТТН]],0)</f>
        <v>1660</v>
      </c>
      <c r="V2182" t="s">
        <v>96</v>
      </c>
    </row>
    <row r="2183" spans="1:22" x14ac:dyDescent="0.25">
      <c r="A2183" t="s">
        <v>84</v>
      </c>
      <c r="B2183" s="24">
        <v>19</v>
      </c>
      <c r="C2183" t="s">
        <v>120</v>
      </c>
      <c r="D2183" t="s">
        <v>12</v>
      </c>
      <c r="E2183" t="s">
        <v>215</v>
      </c>
      <c r="F2183" t="s">
        <v>42</v>
      </c>
      <c r="H2183" t="s">
        <v>10</v>
      </c>
      <c r="I2183" t="s">
        <v>219</v>
      </c>
      <c r="J2183">
        <v>22</v>
      </c>
      <c r="N2183">
        <f>Таблица1[[#This Row],[Часов на заказчика  в работе]]+Таблица1[[#This Row],[Часов на заказчика  дежурство]]</f>
        <v>0</v>
      </c>
      <c r="O21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3" s="9">
        <v>145000</v>
      </c>
      <c r="R2183" s="9">
        <v>1660</v>
      </c>
      <c r="S2183" s="5">
        <v>1</v>
      </c>
      <c r="T21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табеле]])*S2183,0)</f>
        <v>9666.6666666666661</v>
      </c>
      <c r="U2183" s="5">
        <f>IF(Таблица1[[#This Row],[ТТН]]&gt;0,Таблица1[[#This Row],[Ставка за ТТН]]*Таблица1[[#This Row],[ТТН]],0)</f>
        <v>0</v>
      </c>
    </row>
    <row r="2184" spans="1:22" x14ac:dyDescent="0.25">
      <c r="A2184" t="s">
        <v>84</v>
      </c>
      <c r="B2184" s="24">
        <v>20</v>
      </c>
      <c r="C2184" t="s">
        <v>120</v>
      </c>
      <c r="D2184" t="s">
        <v>12</v>
      </c>
      <c r="E2184" t="s">
        <v>215</v>
      </c>
      <c r="F2184" t="s">
        <v>42</v>
      </c>
      <c r="H2184" t="s">
        <v>10</v>
      </c>
      <c r="I2184" t="s">
        <v>219</v>
      </c>
      <c r="J2184">
        <v>22</v>
      </c>
      <c r="N2184">
        <f>Таблица1[[#This Row],[Часов на заказчика  в работе]]+Таблица1[[#This Row],[Часов на заказчика  дежурство]]</f>
        <v>0</v>
      </c>
      <c r="O21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4" s="9">
        <v>145000</v>
      </c>
      <c r="R2184" s="9">
        <v>1660</v>
      </c>
      <c r="S2184" s="5">
        <v>1</v>
      </c>
      <c r="T21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табеле]])*S2184,0)</f>
        <v>9666.6666666666661</v>
      </c>
      <c r="U2184" s="5">
        <f>IF(Таблица1[[#This Row],[ТТН]]&gt;0,Таблица1[[#This Row],[Ставка за ТТН]]*Таблица1[[#This Row],[ТТН]],0)</f>
        <v>0</v>
      </c>
    </row>
    <row r="2185" spans="1:22" x14ac:dyDescent="0.25">
      <c r="A2185" t="s">
        <v>84</v>
      </c>
      <c r="B2185" s="24">
        <v>21</v>
      </c>
      <c r="C2185" t="s">
        <v>120</v>
      </c>
      <c r="D2185" t="s">
        <v>12</v>
      </c>
      <c r="E2185" t="s">
        <v>215</v>
      </c>
      <c r="F2185" t="s">
        <v>42</v>
      </c>
      <c r="H2185" t="s">
        <v>10</v>
      </c>
      <c r="I2185" t="s">
        <v>219</v>
      </c>
      <c r="J2185">
        <v>11</v>
      </c>
      <c r="K2185">
        <v>1</v>
      </c>
      <c r="N2185">
        <f>Таблица1[[#This Row],[Часов на заказчика  в работе]]+Таблица1[[#This Row],[Часов на заказчика  дежурство]]</f>
        <v>0</v>
      </c>
      <c r="O21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5" s="9">
        <v>145000</v>
      </c>
      <c r="R2185" s="9">
        <v>1660</v>
      </c>
      <c r="S2185" s="5">
        <v>1</v>
      </c>
      <c r="T21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табеле]])*S2185,0)</f>
        <v>4833.333333333333</v>
      </c>
      <c r="U2185" s="5">
        <f>IF(Таблица1[[#This Row],[ТТН]]&gt;0,Таблица1[[#This Row],[Ставка за ТТН]]*Таблица1[[#This Row],[ТТН]],0)</f>
        <v>1660</v>
      </c>
    </row>
    <row r="2186" spans="1:22" x14ac:dyDescent="0.25">
      <c r="A2186" t="s">
        <v>84</v>
      </c>
      <c r="B2186" s="24">
        <v>22</v>
      </c>
      <c r="C2186" t="s">
        <v>120</v>
      </c>
      <c r="D2186" t="s">
        <v>12</v>
      </c>
      <c r="E2186" t="s">
        <v>215</v>
      </c>
      <c r="F2186" t="s">
        <v>42</v>
      </c>
      <c r="H2186" t="s">
        <v>38</v>
      </c>
      <c r="I2186" t="s">
        <v>219</v>
      </c>
      <c r="J2186">
        <v>11</v>
      </c>
      <c r="N2186">
        <f>Таблица1[[#This Row],[Часов на заказчика  в работе]]+Таблица1[[#This Row],[Часов на заказчика  дежурство]]</f>
        <v>0</v>
      </c>
      <c r="O21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6" s="9">
        <v>145000</v>
      </c>
      <c r="R2186" s="9">
        <v>1660</v>
      </c>
      <c r="S2186" s="5">
        <v>1</v>
      </c>
      <c r="T21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табеле]])*S2186,0)</f>
        <v>4833.333333333333</v>
      </c>
      <c r="U2186" s="5">
        <f>IF(Таблица1[[#This Row],[ТТН]]&gt;0,Таблица1[[#This Row],[Ставка за ТТН]]*Таблица1[[#This Row],[ТТН]],0)</f>
        <v>0</v>
      </c>
    </row>
    <row r="2187" spans="1:22" x14ac:dyDescent="0.25">
      <c r="A2187" t="s">
        <v>84</v>
      </c>
      <c r="B2187" s="24">
        <v>23</v>
      </c>
      <c r="C2187" t="s">
        <v>120</v>
      </c>
      <c r="D2187" t="s">
        <v>12</v>
      </c>
      <c r="E2187" t="s">
        <v>215</v>
      </c>
      <c r="F2187" t="s">
        <v>42</v>
      </c>
      <c r="H2187" t="s">
        <v>38</v>
      </c>
      <c r="I2187" t="s">
        <v>219</v>
      </c>
      <c r="J2187">
        <v>11</v>
      </c>
      <c r="N2187">
        <f>Таблица1[[#This Row],[Часов на заказчика  в работе]]+Таблица1[[#This Row],[Часов на заказчика  дежурство]]</f>
        <v>0</v>
      </c>
      <c r="O21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7" s="9">
        <v>145000</v>
      </c>
      <c r="R2187" s="9">
        <v>1660</v>
      </c>
      <c r="S2187" s="5">
        <v>1</v>
      </c>
      <c r="T21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табеле]])*S2187,0)</f>
        <v>4833.333333333333</v>
      </c>
      <c r="U2187" s="5">
        <f>IF(Таблица1[[#This Row],[ТТН]]&gt;0,Таблица1[[#This Row],[Ставка за ТТН]]*Таблица1[[#This Row],[ТТН]],0)</f>
        <v>0</v>
      </c>
    </row>
    <row r="2188" spans="1:22" x14ac:dyDescent="0.25">
      <c r="A2188" t="s">
        <v>84</v>
      </c>
      <c r="B2188" s="24">
        <v>24</v>
      </c>
      <c r="C2188" t="s">
        <v>120</v>
      </c>
      <c r="D2188" t="s">
        <v>12</v>
      </c>
      <c r="E2188" t="s">
        <v>215</v>
      </c>
      <c r="F2188" t="s">
        <v>42</v>
      </c>
      <c r="H2188" t="s">
        <v>10</v>
      </c>
      <c r="I2188" t="s">
        <v>219</v>
      </c>
      <c r="J2188">
        <v>11</v>
      </c>
      <c r="N2188">
        <f>Таблица1[[#This Row],[Часов на заказчика  в работе]]+Таблица1[[#This Row],[Часов на заказчика  дежурство]]</f>
        <v>0</v>
      </c>
      <c r="O21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8" s="9">
        <v>145000</v>
      </c>
      <c r="R2188" s="9">
        <v>1660</v>
      </c>
      <c r="S2188" s="5">
        <v>1</v>
      </c>
      <c r="T21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табеле]])*S2188,0)</f>
        <v>4833.333333333333</v>
      </c>
      <c r="U2188" s="5">
        <f>IF(Таблица1[[#This Row],[ТТН]]&gt;0,Таблица1[[#This Row],[Ставка за ТТН]]*Таблица1[[#This Row],[ТТН]],0)</f>
        <v>0</v>
      </c>
    </row>
    <row r="2189" spans="1:22" x14ac:dyDescent="0.25">
      <c r="A2189" t="s">
        <v>84</v>
      </c>
      <c r="B2189" s="24">
        <v>25</v>
      </c>
      <c r="C2189" t="s">
        <v>120</v>
      </c>
      <c r="D2189" t="s">
        <v>12</v>
      </c>
      <c r="E2189" t="s">
        <v>215</v>
      </c>
      <c r="F2189" t="s">
        <v>42</v>
      </c>
      <c r="H2189" t="s">
        <v>10</v>
      </c>
      <c r="I2189" t="s">
        <v>219</v>
      </c>
      <c r="J2189">
        <v>22</v>
      </c>
      <c r="K2189">
        <v>1</v>
      </c>
      <c r="N2189">
        <f>Таблица1[[#This Row],[Часов на заказчика  в работе]]+Таблица1[[#This Row],[Часов на заказчика  дежурство]]</f>
        <v>0</v>
      </c>
      <c r="O21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89" s="9">
        <v>145000</v>
      </c>
      <c r="R2189" s="9">
        <v>1660</v>
      </c>
      <c r="S2189" s="5">
        <v>1</v>
      </c>
      <c r="T21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табеле]])*S2189,0)</f>
        <v>9666.6666666666661</v>
      </c>
      <c r="U2189" s="5">
        <f>IF(Таблица1[[#This Row],[ТТН]]&gt;0,Таблица1[[#This Row],[Ставка за ТТН]]*Таблица1[[#This Row],[ТТН]],0)</f>
        <v>1660</v>
      </c>
    </row>
    <row r="2190" spans="1:22" x14ac:dyDescent="0.25">
      <c r="A2190" t="s">
        <v>84</v>
      </c>
      <c r="B2190" s="24">
        <v>26</v>
      </c>
      <c r="C2190" t="s">
        <v>120</v>
      </c>
      <c r="D2190" t="s">
        <v>12</v>
      </c>
      <c r="E2190" t="s">
        <v>215</v>
      </c>
      <c r="F2190" t="s">
        <v>42</v>
      </c>
      <c r="H2190" t="s">
        <v>38</v>
      </c>
      <c r="I2190" t="s">
        <v>219</v>
      </c>
      <c r="J2190">
        <v>11</v>
      </c>
      <c r="N2190">
        <f>Таблица1[[#This Row],[Часов на заказчика  в работе]]+Таблица1[[#This Row],[Часов на заказчика  дежурство]]</f>
        <v>0</v>
      </c>
      <c r="O21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0" s="9">
        <v>145000</v>
      </c>
      <c r="R2190" s="9">
        <v>1660</v>
      </c>
      <c r="S2190" s="5">
        <v>1</v>
      </c>
      <c r="T21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табеле]])*S2190,0)</f>
        <v>4833.333333333333</v>
      </c>
      <c r="U2190" s="5">
        <f>IF(Таблица1[[#This Row],[ТТН]]&gt;0,Таблица1[[#This Row],[Ставка за ТТН]]*Таблица1[[#This Row],[ТТН]],0)</f>
        <v>0</v>
      </c>
    </row>
    <row r="2191" spans="1:22" x14ac:dyDescent="0.25">
      <c r="A2191" t="s">
        <v>84</v>
      </c>
      <c r="B2191" s="24">
        <v>27</v>
      </c>
      <c r="C2191" t="s">
        <v>120</v>
      </c>
      <c r="D2191" t="s">
        <v>12</v>
      </c>
      <c r="E2191" t="s">
        <v>215</v>
      </c>
      <c r="F2191" t="s">
        <v>42</v>
      </c>
      <c r="H2191" t="s">
        <v>10</v>
      </c>
      <c r="I2191" t="s">
        <v>219</v>
      </c>
      <c r="J2191">
        <v>11</v>
      </c>
      <c r="N2191">
        <f>Таблица1[[#This Row],[Часов на заказчика  в работе]]+Таблица1[[#This Row],[Часов на заказчика  дежурство]]</f>
        <v>0</v>
      </c>
      <c r="O21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1" s="9">
        <v>145000</v>
      </c>
      <c r="R2191" s="9">
        <v>1660</v>
      </c>
      <c r="S2191" s="5">
        <v>1</v>
      </c>
      <c r="T21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табеле]])*S2191,0)</f>
        <v>4833.333333333333</v>
      </c>
      <c r="U2191" s="5">
        <f>IF(Таблица1[[#This Row],[ТТН]]&gt;0,Таблица1[[#This Row],[Ставка за ТТН]]*Таблица1[[#This Row],[ТТН]],0)</f>
        <v>0</v>
      </c>
    </row>
    <row r="2192" spans="1:22" x14ac:dyDescent="0.25">
      <c r="A2192" t="s">
        <v>84</v>
      </c>
      <c r="B2192" s="24">
        <v>28</v>
      </c>
      <c r="C2192" t="s">
        <v>120</v>
      </c>
      <c r="D2192" t="s">
        <v>12</v>
      </c>
      <c r="E2192" t="s">
        <v>215</v>
      </c>
      <c r="F2192" t="s">
        <v>42</v>
      </c>
      <c r="H2192" t="s">
        <v>10</v>
      </c>
      <c r="I2192" t="s">
        <v>219</v>
      </c>
      <c r="J2192">
        <v>11</v>
      </c>
      <c r="K2192">
        <v>1</v>
      </c>
      <c r="N2192">
        <f>Таблица1[[#This Row],[Часов на заказчика  в работе]]+Таблица1[[#This Row],[Часов на заказчика  дежурство]]</f>
        <v>0</v>
      </c>
      <c r="O21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2" s="9">
        <v>145000</v>
      </c>
      <c r="R2192" s="9">
        <v>1660</v>
      </c>
      <c r="S2192" s="5">
        <v>1</v>
      </c>
      <c r="T21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табеле]])*S2192,0)</f>
        <v>4833.333333333333</v>
      </c>
      <c r="U2192" s="5">
        <f>IF(Таблица1[[#This Row],[ТТН]]&gt;0,Таблица1[[#This Row],[Ставка за ТТН]]*Таблица1[[#This Row],[ТТН]],0)</f>
        <v>1660</v>
      </c>
    </row>
    <row r="2193" spans="1:21" x14ac:dyDescent="0.25">
      <c r="A2193" t="s">
        <v>84</v>
      </c>
      <c r="B2193" s="24">
        <v>29</v>
      </c>
      <c r="C2193" t="s">
        <v>120</v>
      </c>
      <c r="D2193" t="s">
        <v>12</v>
      </c>
      <c r="E2193" t="s">
        <v>215</v>
      </c>
      <c r="F2193" t="s">
        <v>42</v>
      </c>
      <c r="H2193" t="s">
        <v>10</v>
      </c>
      <c r="I2193" t="s">
        <v>219</v>
      </c>
      <c r="J2193">
        <v>11</v>
      </c>
      <c r="N2193">
        <f>Таблица1[[#This Row],[Часов на заказчика  в работе]]+Таблица1[[#This Row],[Часов на заказчика  дежурство]]</f>
        <v>0</v>
      </c>
      <c r="O21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3" s="9">
        <v>145000</v>
      </c>
      <c r="R2193" s="9">
        <v>1660</v>
      </c>
      <c r="S2193" s="5">
        <v>1</v>
      </c>
      <c r="T21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табеле]])*S2193,0)</f>
        <v>4833.333333333333</v>
      </c>
      <c r="U2193" s="5">
        <f>IF(Таблица1[[#This Row],[ТТН]]&gt;0,Таблица1[[#This Row],[Ставка за ТТН]]*Таблица1[[#This Row],[ТТН]],0)</f>
        <v>0</v>
      </c>
    </row>
    <row r="2194" spans="1:21" x14ac:dyDescent="0.25">
      <c r="A2194" t="s">
        <v>84</v>
      </c>
      <c r="B2194" s="24">
        <v>30</v>
      </c>
      <c r="C2194" t="s">
        <v>138</v>
      </c>
      <c r="D2194" t="s">
        <v>12</v>
      </c>
      <c r="E2194" t="s">
        <v>215</v>
      </c>
      <c r="F2194" t="s">
        <v>42</v>
      </c>
      <c r="H2194" t="s">
        <v>10</v>
      </c>
      <c r="I2194" t="s">
        <v>219</v>
      </c>
      <c r="J2194">
        <v>22</v>
      </c>
      <c r="K2194">
        <v>1</v>
      </c>
      <c r="N2194">
        <f>Таблица1[[#This Row],[Часов на заказчика  в работе]]+Таблица1[[#This Row],[Часов на заказчика  дежурство]]</f>
        <v>0</v>
      </c>
      <c r="O21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4" s="9">
        <v>145000</v>
      </c>
      <c r="R2194" s="9">
        <v>1660</v>
      </c>
      <c r="S2194" s="5">
        <v>1</v>
      </c>
      <c r="T21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табеле]])*S2194,0)</f>
        <v>9666.6666666666661</v>
      </c>
      <c r="U2194" s="5">
        <f>IF(Таблица1[[#This Row],[ТТН]]&gt;0,Таблица1[[#This Row],[Ставка за ТТН]]*Таблица1[[#This Row],[ТТН]],0)</f>
        <v>1660</v>
      </c>
    </row>
    <row r="2195" spans="1:21" x14ac:dyDescent="0.25">
      <c r="A2195" t="s">
        <v>84</v>
      </c>
      <c r="B2195" s="24">
        <v>1</v>
      </c>
      <c r="C2195" t="s">
        <v>138</v>
      </c>
      <c r="D2195" t="s">
        <v>12</v>
      </c>
      <c r="E2195" t="s">
        <v>215</v>
      </c>
      <c r="F2195" t="s">
        <v>66</v>
      </c>
      <c r="H2195" t="s">
        <v>10</v>
      </c>
      <c r="I2195" t="s">
        <v>219</v>
      </c>
      <c r="J2195">
        <v>22</v>
      </c>
      <c r="K2195">
        <v>1</v>
      </c>
      <c r="N2195">
        <f>Таблица1[[#This Row],[Часов на заказчика  в работе]]+Таблица1[[#This Row],[Часов на заказчика  дежурство]]</f>
        <v>0</v>
      </c>
      <c r="O21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5" s="9">
        <v>162000</v>
      </c>
      <c r="R2195" s="9">
        <v>2000</v>
      </c>
      <c r="S2195" s="5">
        <v>1</v>
      </c>
      <c r="T21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табеле]])*S2195,0)</f>
        <v>10800</v>
      </c>
      <c r="U2195" s="5">
        <f>IF(Таблица1[[#This Row],[ТТН]]&gt;0,Таблица1[[#This Row],[Ставка за ТТН]]*Таблица1[[#This Row],[ТТН]],0)</f>
        <v>2000</v>
      </c>
    </row>
    <row r="2196" spans="1:21" x14ac:dyDescent="0.25">
      <c r="A2196" t="s">
        <v>84</v>
      </c>
      <c r="B2196" s="24">
        <v>2</v>
      </c>
      <c r="C2196" t="s">
        <v>138</v>
      </c>
      <c r="D2196" t="s">
        <v>12</v>
      </c>
      <c r="E2196" t="s">
        <v>215</v>
      </c>
      <c r="F2196" t="s">
        <v>66</v>
      </c>
      <c r="H2196" t="s">
        <v>10</v>
      </c>
      <c r="I2196" t="s">
        <v>219</v>
      </c>
      <c r="J2196">
        <v>11</v>
      </c>
      <c r="K2196">
        <v>1</v>
      </c>
      <c r="N2196">
        <f>Таблица1[[#This Row],[Часов на заказчика  в работе]]+Таблица1[[#This Row],[Часов на заказчика  дежурство]]</f>
        <v>0</v>
      </c>
      <c r="O21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6" s="9">
        <v>162000</v>
      </c>
      <c r="R2196" s="9">
        <v>2000</v>
      </c>
      <c r="S2196" s="5">
        <v>1</v>
      </c>
      <c r="T21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табеле]])*S2196,0)</f>
        <v>5400</v>
      </c>
      <c r="U2196" s="5">
        <f>IF(Таблица1[[#This Row],[ТТН]]&gt;0,Таблица1[[#This Row],[Ставка за ТТН]]*Таблица1[[#This Row],[ТТН]],0)</f>
        <v>2000</v>
      </c>
    </row>
    <row r="2197" spans="1:21" x14ac:dyDescent="0.25">
      <c r="A2197" t="s">
        <v>84</v>
      </c>
      <c r="B2197" s="24">
        <v>3</v>
      </c>
      <c r="C2197" t="s">
        <v>138</v>
      </c>
      <c r="D2197" t="s">
        <v>12</v>
      </c>
      <c r="E2197" t="s">
        <v>215</v>
      </c>
      <c r="F2197" t="s">
        <v>66</v>
      </c>
      <c r="H2197" t="s">
        <v>10</v>
      </c>
      <c r="I2197" t="s">
        <v>219</v>
      </c>
      <c r="J2197">
        <v>22</v>
      </c>
      <c r="K2197">
        <v>1</v>
      </c>
      <c r="N2197">
        <f>Таблица1[[#This Row],[Часов на заказчика  в работе]]+Таблица1[[#This Row],[Часов на заказчика  дежурство]]</f>
        <v>0</v>
      </c>
      <c r="O21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7" s="9">
        <v>162000</v>
      </c>
      <c r="R2197" s="9">
        <v>2000</v>
      </c>
      <c r="S2197" s="5">
        <v>1</v>
      </c>
      <c r="T21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табеле]])*S2197,0)</f>
        <v>10800</v>
      </c>
      <c r="U2197" s="5">
        <f>IF(Таблица1[[#This Row],[ТТН]]&gt;0,Таблица1[[#This Row],[Ставка за ТТН]]*Таблица1[[#This Row],[ТТН]],0)</f>
        <v>2000</v>
      </c>
    </row>
    <row r="2198" spans="1:21" x14ac:dyDescent="0.25">
      <c r="A2198" t="s">
        <v>84</v>
      </c>
      <c r="B2198" s="24">
        <v>4</v>
      </c>
      <c r="C2198" t="s">
        <v>138</v>
      </c>
      <c r="D2198" t="s">
        <v>12</v>
      </c>
      <c r="E2198" t="s">
        <v>215</v>
      </c>
      <c r="F2198" t="s">
        <v>66</v>
      </c>
      <c r="H2198" t="s">
        <v>10</v>
      </c>
      <c r="I2198" t="s">
        <v>219</v>
      </c>
      <c r="J2198">
        <v>11</v>
      </c>
      <c r="N2198">
        <f>Таблица1[[#This Row],[Часов на заказчика  в работе]]+Таблица1[[#This Row],[Часов на заказчика  дежурство]]</f>
        <v>0</v>
      </c>
      <c r="O21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8" s="9">
        <v>162000</v>
      </c>
      <c r="R2198" s="9">
        <v>2000</v>
      </c>
      <c r="S2198" s="5">
        <v>1</v>
      </c>
      <c r="T21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табеле]])*S2198,0)</f>
        <v>5400</v>
      </c>
      <c r="U2198" s="5">
        <f>IF(Таблица1[[#This Row],[ТТН]]&gt;0,Таблица1[[#This Row],[Ставка за ТТН]]*Таблица1[[#This Row],[ТТН]],0)</f>
        <v>0</v>
      </c>
    </row>
    <row r="2199" spans="1:21" x14ac:dyDescent="0.25">
      <c r="A2199" t="s">
        <v>84</v>
      </c>
      <c r="B2199" s="24">
        <v>5</v>
      </c>
      <c r="C2199" t="s">
        <v>138</v>
      </c>
      <c r="D2199" t="s">
        <v>12</v>
      </c>
      <c r="E2199" t="s">
        <v>215</v>
      </c>
      <c r="F2199" t="s">
        <v>66</v>
      </c>
      <c r="H2199" t="s">
        <v>10</v>
      </c>
      <c r="I2199" t="s">
        <v>219</v>
      </c>
      <c r="J2199">
        <v>11</v>
      </c>
      <c r="K2199">
        <v>1</v>
      </c>
      <c r="N2199">
        <f>Таблица1[[#This Row],[Часов на заказчика  в работе]]+Таблица1[[#This Row],[Часов на заказчика  дежурство]]</f>
        <v>0</v>
      </c>
      <c r="O21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199" s="9">
        <v>162000</v>
      </c>
      <c r="R2199" s="9">
        <v>2000</v>
      </c>
      <c r="S2199" s="5">
        <v>1</v>
      </c>
      <c r="T21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табеле]])*S2199,0)</f>
        <v>5400</v>
      </c>
      <c r="U2199" s="5">
        <f>IF(Таблица1[[#This Row],[ТТН]]&gt;0,Таблица1[[#This Row],[Ставка за ТТН]]*Таблица1[[#This Row],[ТТН]],0)</f>
        <v>2000</v>
      </c>
    </row>
    <row r="2200" spans="1:21" x14ac:dyDescent="0.25">
      <c r="A2200" t="s">
        <v>84</v>
      </c>
      <c r="B2200" s="24">
        <v>6</v>
      </c>
      <c r="C2200" t="s">
        <v>138</v>
      </c>
      <c r="D2200" t="s">
        <v>12</v>
      </c>
      <c r="E2200" t="s">
        <v>215</v>
      </c>
      <c r="F2200" t="s">
        <v>66</v>
      </c>
      <c r="H2200" t="s">
        <v>38</v>
      </c>
      <c r="I2200" t="s">
        <v>219</v>
      </c>
      <c r="J2200">
        <v>11</v>
      </c>
      <c r="N2200">
        <f>Таблица1[[#This Row],[Часов на заказчика  в работе]]+Таблица1[[#This Row],[Часов на заказчика  дежурство]]</f>
        <v>0</v>
      </c>
      <c r="O22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0" s="9">
        <v>162000</v>
      </c>
      <c r="R2200" s="9">
        <v>2000</v>
      </c>
      <c r="S2200" s="5">
        <v>1</v>
      </c>
      <c r="T22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табеле]])*S2200,0)</f>
        <v>5400</v>
      </c>
      <c r="U2200" s="5">
        <f>IF(Таблица1[[#This Row],[ТТН]]&gt;0,Таблица1[[#This Row],[Ставка за ТТН]]*Таблица1[[#This Row],[ТТН]],0)</f>
        <v>0</v>
      </c>
    </row>
    <row r="2201" spans="1:21" x14ac:dyDescent="0.25">
      <c r="A2201" t="s">
        <v>84</v>
      </c>
      <c r="B2201" s="24">
        <v>7</v>
      </c>
      <c r="C2201" t="s">
        <v>138</v>
      </c>
      <c r="D2201" t="s">
        <v>12</v>
      </c>
      <c r="E2201" t="s">
        <v>215</v>
      </c>
      <c r="F2201" t="s">
        <v>66</v>
      </c>
      <c r="H2201" t="s">
        <v>38</v>
      </c>
      <c r="I2201" t="s">
        <v>219</v>
      </c>
      <c r="J2201">
        <v>11</v>
      </c>
      <c r="N2201">
        <f>Таблица1[[#This Row],[Часов на заказчика  в работе]]+Таблица1[[#This Row],[Часов на заказчика  дежурство]]</f>
        <v>0</v>
      </c>
      <c r="O22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1" s="9">
        <v>162000</v>
      </c>
      <c r="R2201" s="9">
        <v>2000</v>
      </c>
      <c r="S2201" s="5">
        <v>1</v>
      </c>
      <c r="T22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табеле]])*S2201,0)</f>
        <v>5400</v>
      </c>
      <c r="U2201" s="5">
        <f>IF(Таблица1[[#This Row],[ТТН]]&gt;0,Таблица1[[#This Row],[Ставка за ТТН]]*Таблица1[[#This Row],[ТТН]],0)</f>
        <v>0</v>
      </c>
    </row>
    <row r="2202" spans="1:21" x14ac:dyDescent="0.25">
      <c r="A2202" t="s">
        <v>84</v>
      </c>
      <c r="B2202" s="24">
        <v>8</v>
      </c>
      <c r="C2202" t="s">
        <v>138</v>
      </c>
      <c r="D2202" t="s">
        <v>12</v>
      </c>
      <c r="E2202" t="s">
        <v>215</v>
      </c>
      <c r="F2202" t="s">
        <v>66</v>
      </c>
      <c r="H2202" t="s">
        <v>10</v>
      </c>
      <c r="I2202" t="s">
        <v>219</v>
      </c>
      <c r="J2202">
        <v>22</v>
      </c>
      <c r="K2202">
        <v>1</v>
      </c>
      <c r="N2202">
        <f>Таблица1[[#This Row],[Часов на заказчика  в работе]]+Таблица1[[#This Row],[Часов на заказчика  дежурство]]</f>
        <v>0</v>
      </c>
      <c r="O22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2" s="9">
        <v>162000</v>
      </c>
      <c r="R2202" s="9">
        <v>2000</v>
      </c>
      <c r="S2202" s="5">
        <v>1</v>
      </c>
      <c r="T22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табеле]])*S2202,0)</f>
        <v>10800</v>
      </c>
      <c r="U2202" s="5">
        <f>IF(Таблица1[[#This Row],[ТТН]]&gt;0,Таблица1[[#This Row],[Ставка за ТТН]]*Таблица1[[#This Row],[ТТН]],0)</f>
        <v>2000</v>
      </c>
    </row>
    <row r="2203" spans="1:21" x14ac:dyDescent="0.25">
      <c r="A2203" t="s">
        <v>84</v>
      </c>
      <c r="B2203" s="24">
        <v>9</v>
      </c>
      <c r="C2203" t="s">
        <v>138</v>
      </c>
      <c r="D2203" t="s">
        <v>12</v>
      </c>
      <c r="E2203" t="s">
        <v>215</v>
      </c>
      <c r="F2203" t="s">
        <v>66</v>
      </c>
      <c r="H2203" t="s">
        <v>10</v>
      </c>
      <c r="I2203" t="s">
        <v>219</v>
      </c>
      <c r="J2203">
        <v>11</v>
      </c>
      <c r="K2203">
        <v>1</v>
      </c>
      <c r="N2203">
        <f>Таблица1[[#This Row],[Часов на заказчика  в работе]]+Таблица1[[#This Row],[Часов на заказчика  дежурство]]</f>
        <v>0</v>
      </c>
      <c r="O22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3" s="9">
        <v>162000</v>
      </c>
      <c r="R2203" s="9">
        <v>2000</v>
      </c>
      <c r="S2203" s="5">
        <v>1</v>
      </c>
      <c r="T22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табеле]])*S2203,0)</f>
        <v>5400</v>
      </c>
      <c r="U2203" s="5">
        <f>IF(Таблица1[[#This Row],[ТТН]]&gt;0,Таблица1[[#This Row],[Ставка за ТТН]]*Таблица1[[#This Row],[ТТН]],0)</f>
        <v>2000</v>
      </c>
    </row>
    <row r="2204" spans="1:21" x14ac:dyDescent="0.25">
      <c r="A2204" t="s">
        <v>84</v>
      </c>
      <c r="B2204" s="24">
        <v>10</v>
      </c>
      <c r="C2204" t="s">
        <v>138</v>
      </c>
      <c r="D2204" t="s">
        <v>12</v>
      </c>
      <c r="E2204" t="s">
        <v>215</v>
      </c>
      <c r="F2204" t="s">
        <v>66</v>
      </c>
      <c r="H2204" t="s">
        <v>10</v>
      </c>
      <c r="I2204" t="s">
        <v>219</v>
      </c>
      <c r="J2204">
        <v>22</v>
      </c>
      <c r="K2204">
        <v>1</v>
      </c>
      <c r="N2204">
        <f>Таблица1[[#This Row],[Часов на заказчика  в работе]]+Таблица1[[#This Row],[Часов на заказчика  дежурство]]</f>
        <v>0</v>
      </c>
      <c r="O22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4" s="9">
        <v>162000</v>
      </c>
      <c r="R2204" s="9">
        <v>2000</v>
      </c>
      <c r="S2204" s="5">
        <v>1</v>
      </c>
      <c r="T22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табеле]])*S2204,0)</f>
        <v>10800</v>
      </c>
      <c r="U2204" s="5">
        <f>IF(Таблица1[[#This Row],[ТТН]]&gt;0,Таблица1[[#This Row],[Ставка за ТТН]]*Таблица1[[#This Row],[ТТН]],0)</f>
        <v>2000</v>
      </c>
    </row>
    <row r="2205" spans="1:21" x14ac:dyDescent="0.25">
      <c r="A2205" t="s">
        <v>84</v>
      </c>
      <c r="B2205" s="24">
        <v>11</v>
      </c>
      <c r="C2205" t="s">
        <v>138</v>
      </c>
      <c r="D2205" t="s">
        <v>12</v>
      </c>
      <c r="E2205" t="s">
        <v>215</v>
      </c>
      <c r="F2205" t="s">
        <v>66</v>
      </c>
      <c r="H2205" t="s">
        <v>10</v>
      </c>
      <c r="I2205" t="s">
        <v>219</v>
      </c>
      <c r="J2205">
        <v>11</v>
      </c>
      <c r="N2205">
        <f>Таблица1[[#This Row],[Часов на заказчика  в работе]]+Таблица1[[#This Row],[Часов на заказчика  дежурство]]</f>
        <v>0</v>
      </c>
      <c r="O22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5" s="9">
        <v>162000</v>
      </c>
      <c r="R2205" s="9">
        <v>2000</v>
      </c>
      <c r="S2205" s="5">
        <v>1</v>
      </c>
      <c r="T22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табеле]])*S2205,0)</f>
        <v>5400</v>
      </c>
      <c r="U2205" s="5">
        <f>IF(Таблица1[[#This Row],[ТТН]]&gt;0,Таблица1[[#This Row],[Ставка за ТТН]]*Таблица1[[#This Row],[ТТН]],0)</f>
        <v>0</v>
      </c>
    </row>
    <row r="2206" spans="1:21" x14ac:dyDescent="0.25">
      <c r="A2206" t="s">
        <v>84</v>
      </c>
      <c r="B2206" s="24">
        <v>12</v>
      </c>
      <c r="C2206" t="s">
        <v>138</v>
      </c>
      <c r="D2206" t="s">
        <v>12</v>
      </c>
      <c r="E2206" t="s">
        <v>215</v>
      </c>
      <c r="F2206" t="s">
        <v>66</v>
      </c>
      <c r="H2206" t="s">
        <v>10</v>
      </c>
      <c r="I2206" t="s">
        <v>219</v>
      </c>
      <c r="J2206">
        <v>11</v>
      </c>
      <c r="N2206">
        <f>Таблица1[[#This Row],[Часов на заказчика  в работе]]+Таблица1[[#This Row],[Часов на заказчика  дежурство]]</f>
        <v>0</v>
      </c>
      <c r="O22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6" s="9">
        <v>162000</v>
      </c>
      <c r="R2206" s="9">
        <v>2000</v>
      </c>
      <c r="S2206" s="5">
        <v>1</v>
      </c>
      <c r="T22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табеле]])*S2206,0)</f>
        <v>5400</v>
      </c>
      <c r="U2206" s="5">
        <f>IF(Таблица1[[#This Row],[ТТН]]&gt;0,Таблица1[[#This Row],[Ставка за ТТН]]*Таблица1[[#This Row],[ТТН]],0)</f>
        <v>0</v>
      </c>
    </row>
    <row r="2207" spans="1:21" x14ac:dyDescent="0.25">
      <c r="A2207" t="s">
        <v>84</v>
      </c>
      <c r="B2207" s="24">
        <v>13</v>
      </c>
      <c r="C2207" t="s">
        <v>138</v>
      </c>
      <c r="D2207" t="s">
        <v>12</v>
      </c>
      <c r="E2207" t="s">
        <v>215</v>
      </c>
      <c r="F2207" t="s">
        <v>66</v>
      </c>
      <c r="H2207" t="s">
        <v>10</v>
      </c>
      <c r="I2207" t="s">
        <v>219</v>
      </c>
      <c r="J2207">
        <v>22</v>
      </c>
      <c r="N2207">
        <f>Таблица1[[#This Row],[Часов на заказчика  в работе]]+Таблица1[[#This Row],[Часов на заказчика  дежурство]]</f>
        <v>0</v>
      </c>
      <c r="O22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7" s="9">
        <v>162000</v>
      </c>
      <c r="R2207" s="9">
        <v>2000</v>
      </c>
      <c r="S2207" s="5">
        <v>1</v>
      </c>
      <c r="T22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табеле]])*S2207,0)</f>
        <v>10800</v>
      </c>
      <c r="U2207" s="5">
        <f>IF(Таблица1[[#This Row],[ТТН]]&gt;0,Таблица1[[#This Row],[Ставка за ТТН]]*Таблица1[[#This Row],[ТТН]],0)</f>
        <v>0</v>
      </c>
    </row>
    <row r="2208" spans="1:21" x14ac:dyDescent="0.25">
      <c r="A2208" t="s">
        <v>84</v>
      </c>
      <c r="B2208" s="24">
        <v>14</v>
      </c>
      <c r="C2208" t="s">
        <v>138</v>
      </c>
      <c r="D2208" t="s">
        <v>12</v>
      </c>
      <c r="E2208" t="s">
        <v>215</v>
      </c>
      <c r="F2208" t="s">
        <v>66</v>
      </c>
      <c r="H2208" t="s">
        <v>10</v>
      </c>
      <c r="I2208" t="s">
        <v>219</v>
      </c>
      <c r="J2208">
        <v>11</v>
      </c>
      <c r="K2208">
        <v>1</v>
      </c>
      <c r="N2208">
        <f>Таблица1[[#This Row],[Часов на заказчика  в работе]]+Таблица1[[#This Row],[Часов на заказчика  дежурство]]</f>
        <v>0</v>
      </c>
      <c r="O22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8" s="9">
        <v>162000</v>
      </c>
      <c r="R2208" s="9">
        <v>5000</v>
      </c>
      <c r="S2208" s="5">
        <v>1</v>
      </c>
      <c r="T22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табеле]])*S2208,0)</f>
        <v>5400</v>
      </c>
      <c r="U2208" s="5">
        <f>IF(Таблица1[[#This Row],[ТТН]]&gt;0,Таблица1[[#This Row],[Ставка за ТТН]]*Таблица1[[#This Row],[ТТН]],0)</f>
        <v>5000</v>
      </c>
    </row>
    <row r="2209" spans="1:21" x14ac:dyDescent="0.25">
      <c r="A2209" t="s">
        <v>84</v>
      </c>
      <c r="B2209" s="24">
        <v>15</v>
      </c>
      <c r="C2209" t="s">
        <v>138</v>
      </c>
      <c r="D2209" t="s">
        <v>12</v>
      </c>
      <c r="E2209" t="s">
        <v>215</v>
      </c>
      <c r="F2209" t="s">
        <v>66</v>
      </c>
      <c r="H2209" t="s">
        <v>10</v>
      </c>
      <c r="I2209" t="s">
        <v>219</v>
      </c>
      <c r="J2209">
        <v>22</v>
      </c>
      <c r="N2209">
        <f>Таблица1[[#This Row],[Часов на заказчика  в работе]]+Таблица1[[#This Row],[Часов на заказчика  дежурство]]</f>
        <v>0</v>
      </c>
      <c r="O22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09" s="9">
        <v>162000</v>
      </c>
      <c r="R2209" s="9">
        <v>2000</v>
      </c>
      <c r="S2209" s="5">
        <v>1</v>
      </c>
      <c r="T22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табеле]])*S2209,0)</f>
        <v>10800</v>
      </c>
      <c r="U2209" s="5">
        <f>IF(Таблица1[[#This Row],[ТТН]]&gt;0,Таблица1[[#This Row],[Ставка за ТТН]]*Таблица1[[#This Row],[ТТН]],0)</f>
        <v>0</v>
      </c>
    </row>
    <row r="2210" spans="1:21" x14ac:dyDescent="0.25">
      <c r="A2210" t="s">
        <v>84</v>
      </c>
      <c r="B2210" s="24">
        <v>16</v>
      </c>
      <c r="C2210" t="s">
        <v>138</v>
      </c>
      <c r="D2210" t="s">
        <v>12</v>
      </c>
      <c r="E2210" t="s">
        <v>215</v>
      </c>
      <c r="F2210" t="s">
        <v>66</v>
      </c>
      <c r="H2210" t="s">
        <v>10</v>
      </c>
      <c r="I2210" t="s">
        <v>219</v>
      </c>
      <c r="J2210">
        <v>11</v>
      </c>
      <c r="N2210">
        <f>Таблица1[[#This Row],[Часов на заказчика  в работе]]+Таблица1[[#This Row],[Часов на заказчика  дежурство]]</f>
        <v>0</v>
      </c>
      <c r="O22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0" s="9">
        <v>162000</v>
      </c>
      <c r="R2210" s="9">
        <v>2000</v>
      </c>
      <c r="S2210" s="5">
        <v>1</v>
      </c>
      <c r="T22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табеле]])*S2210,0)</f>
        <v>5400</v>
      </c>
      <c r="U2210" s="5">
        <f>IF(Таблица1[[#This Row],[ТТН]]&gt;0,Таблица1[[#This Row],[Ставка за ТТН]]*Таблица1[[#This Row],[ТТН]],0)</f>
        <v>0</v>
      </c>
    </row>
    <row r="2211" spans="1:21" x14ac:dyDescent="0.25">
      <c r="A2211" t="s">
        <v>84</v>
      </c>
      <c r="B2211" s="24">
        <v>17</v>
      </c>
      <c r="C2211" t="s">
        <v>138</v>
      </c>
      <c r="D2211" t="s">
        <v>12</v>
      </c>
      <c r="E2211" t="s">
        <v>215</v>
      </c>
      <c r="F2211" t="s">
        <v>66</v>
      </c>
      <c r="H2211" t="s">
        <v>10</v>
      </c>
      <c r="I2211" t="s">
        <v>219</v>
      </c>
      <c r="J2211">
        <v>11</v>
      </c>
      <c r="N2211">
        <f>Таблица1[[#This Row],[Часов на заказчика  в работе]]+Таблица1[[#This Row],[Часов на заказчика  дежурство]]</f>
        <v>0</v>
      </c>
      <c r="O22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1" s="9">
        <v>162000</v>
      </c>
      <c r="R2211" s="9">
        <v>2000</v>
      </c>
      <c r="S2211" s="5">
        <v>1</v>
      </c>
      <c r="T22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табеле]])*S2211,0)</f>
        <v>5400</v>
      </c>
      <c r="U2211" s="5">
        <f>IF(Таблица1[[#This Row],[ТТН]]&gt;0,Таблица1[[#This Row],[Ставка за ТТН]]*Таблица1[[#This Row],[ТТН]],0)</f>
        <v>0</v>
      </c>
    </row>
    <row r="2212" spans="1:21" x14ac:dyDescent="0.25">
      <c r="A2212" t="s">
        <v>84</v>
      </c>
      <c r="B2212" s="24">
        <v>18</v>
      </c>
      <c r="C2212" t="s">
        <v>138</v>
      </c>
      <c r="D2212" t="s">
        <v>12</v>
      </c>
      <c r="E2212" t="s">
        <v>215</v>
      </c>
      <c r="F2212" t="s">
        <v>66</v>
      </c>
      <c r="H2212" t="s">
        <v>10</v>
      </c>
      <c r="I2212" t="s">
        <v>219</v>
      </c>
      <c r="J2212">
        <v>11</v>
      </c>
      <c r="N2212">
        <f>Таблица1[[#This Row],[Часов на заказчика  в работе]]+Таблица1[[#This Row],[Часов на заказчика  дежурство]]</f>
        <v>0</v>
      </c>
      <c r="O22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2" s="9">
        <v>162000</v>
      </c>
      <c r="R2212" s="9">
        <v>2000</v>
      </c>
      <c r="S2212" s="5">
        <v>1</v>
      </c>
      <c r="T22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табеле]])*S2212,0)</f>
        <v>5400</v>
      </c>
      <c r="U2212" s="5">
        <f>IF(Таблица1[[#This Row],[ТТН]]&gt;0,Таблица1[[#This Row],[Ставка за ТТН]]*Таблица1[[#This Row],[ТТН]],0)</f>
        <v>0</v>
      </c>
    </row>
    <row r="2213" spans="1:21" x14ac:dyDescent="0.25">
      <c r="A2213" t="s">
        <v>84</v>
      </c>
      <c r="B2213" s="24">
        <v>19</v>
      </c>
      <c r="C2213" t="s">
        <v>138</v>
      </c>
      <c r="D2213" t="s">
        <v>12</v>
      </c>
      <c r="E2213" t="s">
        <v>215</v>
      </c>
      <c r="F2213" t="s">
        <v>66</v>
      </c>
      <c r="H2213" t="s">
        <v>10</v>
      </c>
      <c r="I2213" t="s">
        <v>219</v>
      </c>
      <c r="J2213">
        <v>11</v>
      </c>
      <c r="N2213">
        <f>Таблица1[[#This Row],[Часов на заказчика  в работе]]+Таблица1[[#This Row],[Часов на заказчика  дежурство]]</f>
        <v>0</v>
      </c>
      <c r="O22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3" s="9">
        <v>162000</v>
      </c>
      <c r="R2213" s="9">
        <v>2000</v>
      </c>
      <c r="S2213" s="5">
        <v>1</v>
      </c>
      <c r="T22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табеле]])*S2213,0)</f>
        <v>5400</v>
      </c>
      <c r="U2213" s="5">
        <f>IF(Таблица1[[#This Row],[ТТН]]&gt;0,Таблица1[[#This Row],[Ставка за ТТН]]*Таблица1[[#This Row],[ТТН]],0)</f>
        <v>0</v>
      </c>
    </row>
    <row r="2214" spans="1:21" x14ac:dyDescent="0.25">
      <c r="A2214" t="s">
        <v>84</v>
      </c>
      <c r="B2214" s="24">
        <v>20</v>
      </c>
      <c r="C2214" t="s">
        <v>138</v>
      </c>
      <c r="D2214" t="s">
        <v>12</v>
      </c>
      <c r="E2214" t="s">
        <v>215</v>
      </c>
      <c r="F2214" t="s">
        <v>66</v>
      </c>
      <c r="H2214" t="s">
        <v>10</v>
      </c>
      <c r="I2214" t="s">
        <v>219</v>
      </c>
      <c r="J2214">
        <v>11</v>
      </c>
      <c r="N2214">
        <f>Таблица1[[#This Row],[Часов на заказчика  в работе]]+Таблица1[[#This Row],[Часов на заказчика  дежурство]]</f>
        <v>0</v>
      </c>
      <c r="O22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4" s="9">
        <v>162000</v>
      </c>
      <c r="R2214" s="9">
        <v>2000</v>
      </c>
      <c r="S2214" s="5">
        <v>1</v>
      </c>
      <c r="T22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табеле]])*S2214,0)</f>
        <v>5400</v>
      </c>
      <c r="U2214" s="5">
        <f>IF(Таблица1[[#This Row],[ТТН]]&gt;0,Таблица1[[#This Row],[Ставка за ТТН]]*Таблица1[[#This Row],[ТТН]],0)</f>
        <v>0</v>
      </c>
    </row>
    <row r="2215" spans="1:21" x14ac:dyDescent="0.25">
      <c r="A2215" t="s">
        <v>84</v>
      </c>
      <c r="B2215" s="24">
        <v>21</v>
      </c>
      <c r="C2215" t="s">
        <v>138</v>
      </c>
      <c r="D2215" t="s">
        <v>12</v>
      </c>
      <c r="E2215" t="s">
        <v>215</v>
      </c>
      <c r="F2215" t="s">
        <v>66</v>
      </c>
      <c r="H2215" t="s">
        <v>10</v>
      </c>
      <c r="I2215" t="s">
        <v>219</v>
      </c>
      <c r="J2215">
        <v>11</v>
      </c>
      <c r="K2215">
        <v>1</v>
      </c>
      <c r="N2215">
        <f>Таблица1[[#This Row],[Часов на заказчика  в работе]]+Таблица1[[#This Row],[Часов на заказчика  дежурство]]</f>
        <v>0</v>
      </c>
      <c r="O22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5" s="9">
        <v>162000</v>
      </c>
      <c r="R2215" s="9">
        <v>2000</v>
      </c>
      <c r="S2215" s="5">
        <v>1</v>
      </c>
      <c r="T22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табеле]])*S2215,0)</f>
        <v>5400</v>
      </c>
      <c r="U2215" s="5">
        <f>IF(Таблица1[[#This Row],[ТТН]]&gt;0,Таблица1[[#This Row],[Ставка за ТТН]]*Таблица1[[#This Row],[ТТН]],0)</f>
        <v>2000</v>
      </c>
    </row>
    <row r="2216" spans="1:21" x14ac:dyDescent="0.25">
      <c r="A2216" t="s">
        <v>84</v>
      </c>
      <c r="B2216" s="24">
        <v>22</v>
      </c>
      <c r="C2216" t="s">
        <v>138</v>
      </c>
      <c r="D2216" t="s">
        <v>12</v>
      </c>
      <c r="E2216" t="s">
        <v>215</v>
      </c>
      <c r="F2216" t="s">
        <v>66</v>
      </c>
      <c r="H2216" t="s">
        <v>10</v>
      </c>
      <c r="I2216" t="s">
        <v>219</v>
      </c>
      <c r="J2216">
        <v>11</v>
      </c>
      <c r="N2216">
        <f>Таблица1[[#This Row],[Часов на заказчика  в работе]]+Таблица1[[#This Row],[Часов на заказчика  дежурство]]</f>
        <v>0</v>
      </c>
      <c r="O22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6" s="9">
        <v>162000</v>
      </c>
      <c r="R2216" s="9">
        <v>2000</v>
      </c>
      <c r="S2216" s="5">
        <v>1</v>
      </c>
      <c r="T22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табеле]])*S2216,0)</f>
        <v>5400</v>
      </c>
      <c r="U2216" s="5">
        <f>IF(Таблица1[[#This Row],[ТТН]]&gt;0,Таблица1[[#This Row],[Ставка за ТТН]]*Таблица1[[#This Row],[ТТН]],0)</f>
        <v>0</v>
      </c>
    </row>
    <row r="2217" spans="1:21" x14ac:dyDescent="0.25">
      <c r="A2217" t="s">
        <v>84</v>
      </c>
      <c r="B2217" s="24">
        <v>23</v>
      </c>
      <c r="C2217" t="s">
        <v>138</v>
      </c>
      <c r="D2217" t="s">
        <v>12</v>
      </c>
      <c r="E2217" t="s">
        <v>215</v>
      </c>
      <c r="F2217" t="s">
        <v>66</v>
      </c>
      <c r="H2217" t="s">
        <v>10</v>
      </c>
      <c r="I2217" t="s">
        <v>219</v>
      </c>
      <c r="J2217">
        <v>11</v>
      </c>
      <c r="N2217">
        <f>Таблица1[[#This Row],[Часов на заказчика  в работе]]+Таблица1[[#This Row],[Часов на заказчика  дежурство]]</f>
        <v>0</v>
      </c>
      <c r="O22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7" s="9">
        <v>162000</v>
      </c>
      <c r="R2217" s="9">
        <v>2000</v>
      </c>
      <c r="S2217" s="5">
        <v>1</v>
      </c>
      <c r="T22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табеле]])*S2217,0)</f>
        <v>5400</v>
      </c>
      <c r="U2217" s="5">
        <f>IF(Таблица1[[#This Row],[ТТН]]&gt;0,Таблица1[[#This Row],[Ставка за ТТН]]*Таблица1[[#This Row],[ТТН]],0)</f>
        <v>0</v>
      </c>
    </row>
    <row r="2218" spans="1:21" x14ac:dyDescent="0.25">
      <c r="A2218" t="s">
        <v>84</v>
      </c>
      <c r="B2218" s="24">
        <v>24</v>
      </c>
      <c r="C2218" t="s">
        <v>138</v>
      </c>
      <c r="D2218" t="s">
        <v>12</v>
      </c>
      <c r="E2218" t="s">
        <v>215</v>
      </c>
      <c r="F2218" t="s">
        <v>66</v>
      </c>
      <c r="H2218" t="s">
        <v>10</v>
      </c>
      <c r="I2218" t="s">
        <v>219</v>
      </c>
      <c r="J2218">
        <v>11</v>
      </c>
      <c r="N2218">
        <f>Таблица1[[#This Row],[Часов на заказчика  в работе]]+Таблица1[[#This Row],[Часов на заказчика  дежурство]]</f>
        <v>0</v>
      </c>
      <c r="O22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8" s="9">
        <v>162000</v>
      </c>
      <c r="R2218" s="9">
        <v>2000</v>
      </c>
      <c r="S2218" s="5">
        <v>1</v>
      </c>
      <c r="T22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табеле]])*S2218,0)</f>
        <v>5400</v>
      </c>
      <c r="U2218" s="5">
        <f>IF(Таблица1[[#This Row],[ТТН]]&gt;0,Таблица1[[#This Row],[Ставка за ТТН]]*Таблица1[[#This Row],[ТТН]],0)</f>
        <v>0</v>
      </c>
    </row>
    <row r="2219" spans="1:21" x14ac:dyDescent="0.25">
      <c r="A2219" t="s">
        <v>84</v>
      </c>
      <c r="B2219" s="24">
        <v>25</v>
      </c>
      <c r="C2219" t="s">
        <v>138</v>
      </c>
      <c r="D2219" t="s">
        <v>12</v>
      </c>
      <c r="E2219" t="s">
        <v>215</v>
      </c>
      <c r="F2219" t="s">
        <v>66</v>
      </c>
      <c r="H2219" t="s">
        <v>10</v>
      </c>
      <c r="I2219" t="s">
        <v>219</v>
      </c>
      <c r="J2219">
        <v>11</v>
      </c>
      <c r="N2219">
        <f>Таблица1[[#This Row],[Часов на заказчика  в работе]]+Таблица1[[#This Row],[Часов на заказчика  дежурство]]</f>
        <v>0</v>
      </c>
      <c r="O22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19" s="9">
        <v>162000</v>
      </c>
      <c r="R2219" s="9">
        <v>2000</v>
      </c>
      <c r="S2219" s="5">
        <v>1</v>
      </c>
      <c r="T22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табеле]])*S2219,0)</f>
        <v>5400</v>
      </c>
      <c r="U2219" s="5">
        <f>IF(Таблица1[[#This Row],[ТТН]]&gt;0,Таблица1[[#This Row],[Ставка за ТТН]]*Таблица1[[#This Row],[ТТН]],0)</f>
        <v>0</v>
      </c>
    </row>
    <row r="2220" spans="1:21" x14ac:dyDescent="0.25">
      <c r="A2220" t="s">
        <v>84</v>
      </c>
      <c r="B2220" s="24">
        <v>26</v>
      </c>
      <c r="C2220" t="s">
        <v>138</v>
      </c>
      <c r="D2220" t="s">
        <v>12</v>
      </c>
      <c r="E2220" t="s">
        <v>215</v>
      </c>
      <c r="F2220" t="s">
        <v>66</v>
      </c>
      <c r="H2220" t="s">
        <v>10</v>
      </c>
      <c r="I2220" t="s">
        <v>219</v>
      </c>
      <c r="J2220">
        <v>11</v>
      </c>
      <c r="N2220">
        <f>Таблица1[[#This Row],[Часов на заказчика  в работе]]+Таблица1[[#This Row],[Часов на заказчика  дежурство]]</f>
        <v>0</v>
      </c>
      <c r="O22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0" s="9">
        <v>162000</v>
      </c>
      <c r="R2220" s="9">
        <v>2000</v>
      </c>
      <c r="S2220" s="5">
        <v>1</v>
      </c>
      <c r="T22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табеле]])*S2220,0)</f>
        <v>5400</v>
      </c>
      <c r="U2220" s="5">
        <f>IF(Таблица1[[#This Row],[ТТН]]&gt;0,Таблица1[[#This Row],[Ставка за ТТН]]*Таблица1[[#This Row],[ТТН]],0)</f>
        <v>0</v>
      </c>
    </row>
    <row r="2221" spans="1:21" x14ac:dyDescent="0.25">
      <c r="A2221" t="s">
        <v>84</v>
      </c>
      <c r="B2221" s="24">
        <v>27</v>
      </c>
      <c r="C2221" t="s">
        <v>138</v>
      </c>
      <c r="D2221" t="s">
        <v>12</v>
      </c>
      <c r="E2221" t="s">
        <v>215</v>
      </c>
      <c r="F2221" t="s">
        <v>66</v>
      </c>
      <c r="H2221" t="s">
        <v>10</v>
      </c>
      <c r="I2221" t="s">
        <v>219</v>
      </c>
      <c r="J2221">
        <v>11</v>
      </c>
      <c r="N2221">
        <f>Таблица1[[#This Row],[Часов на заказчика  в работе]]+Таблица1[[#This Row],[Часов на заказчика  дежурство]]</f>
        <v>0</v>
      </c>
      <c r="O22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1" s="9">
        <v>162000</v>
      </c>
      <c r="R2221" s="9">
        <v>2000</v>
      </c>
      <c r="S2221" s="5">
        <v>1</v>
      </c>
      <c r="T22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табеле]])*S2221,0)</f>
        <v>5400</v>
      </c>
      <c r="U2221" s="5">
        <f>IF(Таблица1[[#This Row],[ТТН]]&gt;0,Таблица1[[#This Row],[Ставка за ТТН]]*Таблица1[[#This Row],[ТТН]],0)</f>
        <v>0</v>
      </c>
    </row>
    <row r="2222" spans="1:21" x14ac:dyDescent="0.25">
      <c r="A2222" t="s">
        <v>84</v>
      </c>
      <c r="B2222" s="24">
        <v>28</v>
      </c>
      <c r="C2222" t="s">
        <v>138</v>
      </c>
      <c r="D2222" t="s">
        <v>12</v>
      </c>
      <c r="E2222" t="s">
        <v>215</v>
      </c>
      <c r="F2222" t="s">
        <v>66</v>
      </c>
      <c r="H2222" t="s">
        <v>10</v>
      </c>
      <c r="I2222" t="s">
        <v>219</v>
      </c>
      <c r="J2222">
        <v>11</v>
      </c>
      <c r="N2222">
        <f>Таблица1[[#This Row],[Часов на заказчика  в работе]]+Таблица1[[#This Row],[Часов на заказчика  дежурство]]</f>
        <v>0</v>
      </c>
      <c r="O22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2" s="9">
        <v>162000</v>
      </c>
      <c r="R2222" s="9">
        <v>2000</v>
      </c>
      <c r="S2222" s="5">
        <v>1</v>
      </c>
      <c r="T22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табеле]])*S2222,0)</f>
        <v>5400</v>
      </c>
      <c r="U2222" s="5">
        <f>IF(Таблица1[[#This Row],[ТТН]]&gt;0,Таблица1[[#This Row],[Ставка за ТТН]]*Таблица1[[#This Row],[ТТН]],0)</f>
        <v>0</v>
      </c>
    </row>
    <row r="2223" spans="1:21" x14ac:dyDescent="0.25">
      <c r="A2223" t="s">
        <v>84</v>
      </c>
      <c r="B2223" s="24">
        <v>29</v>
      </c>
      <c r="C2223" t="s">
        <v>138</v>
      </c>
      <c r="D2223" t="s">
        <v>12</v>
      </c>
      <c r="E2223" t="s">
        <v>215</v>
      </c>
      <c r="F2223" t="s">
        <v>66</v>
      </c>
      <c r="H2223" t="s">
        <v>10</v>
      </c>
      <c r="I2223" t="s">
        <v>219</v>
      </c>
      <c r="J2223">
        <v>11</v>
      </c>
      <c r="N2223">
        <f>Таблица1[[#This Row],[Часов на заказчика  в работе]]+Таблица1[[#This Row],[Часов на заказчика  дежурство]]</f>
        <v>0</v>
      </c>
      <c r="O22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3" s="9">
        <v>162000</v>
      </c>
      <c r="R2223" s="9">
        <v>2000</v>
      </c>
      <c r="S2223" s="5">
        <v>1</v>
      </c>
      <c r="T22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табеле]])*S2223,0)</f>
        <v>5400</v>
      </c>
      <c r="U2223" s="5">
        <f>IF(Таблица1[[#This Row],[ТТН]]&gt;0,Таблица1[[#This Row],[Ставка за ТТН]]*Таблица1[[#This Row],[ТТН]],0)</f>
        <v>0</v>
      </c>
    </row>
    <row r="2224" spans="1:21" x14ac:dyDescent="0.25">
      <c r="A2224" t="s">
        <v>84</v>
      </c>
      <c r="B2224" s="24">
        <v>30</v>
      </c>
      <c r="C2224" t="s">
        <v>154</v>
      </c>
      <c r="D2224" t="s">
        <v>12</v>
      </c>
      <c r="E2224" t="s">
        <v>215</v>
      </c>
      <c r="F2224" t="s">
        <v>66</v>
      </c>
      <c r="H2224" t="s">
        <v>10</v>
      </c>
      <c r="I2224" t="s">
        <v>219</v>
      </c>
      <c r="J2224">
        <v>11</v>
      </c>
      <c r="N2224">
        <f>Таблица1[[#This Row],[Часов на заказчика  в работе]]+Таблица1[[#This Row],[Часов на заказчика  дежурство]]</f>
        <v>0</v>
      </c>
      <c r="O22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4" s="9">
        <v>162000</v>
      </c>
      <c r="R2224" s="9">
        <v>2000</v>
      </c>
      <c r="S2224" s="5">
        <v>1</v>
      </c>
      <c r="T22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табеле]])*S2224,0)</f>
        <v>5400</v>
      </c>
      <c r="U2224" s="5">
        <f>IF(Таблица1[[#This Row],[ТТН]]&gt;0,Таблица1[[#This Row],[Ставка за ТТН]]*Таблица1[[#This Row],[ТТН]],0)</f>
        <v>0</v>
      </c>
    </row>
    <row r="2225" spans="1:21" x14ac:dyDescent="0.25">
      <c r="A2225" t="s">
        <v>84</v>
      </c>
      <c r="B2225" s="24">
        <v>1</v>
      </c>
      <c r="C2225" t="s">
        <v>154</v>
      </c>
      <c r="D2225" t="s">
        <v>12</v>
      </c>
      <c r="E2225" t="s">
        <v>215</v>
      </c>
      <c r="F2225" t="s">
        <v>68</v>
      </c>
      <c r="H2225" t="s">
        <v>10</v>
      </c>
      <c r="I2225" t="s">
        <v>219</v>
      </c>
      <c r="J2225">
        <v>11</v>
      </c>
      <c r="L2225">
        <v>11</v>
      </c>
      <c r="N2225">
        <f>Таблица1[[#This Row],[Часов на заказчика  в работе]]+Таблица1[[#This Row],[Часов на заказчика  дежурство]]</f>
        <v>11</v>
      </c>
      <c r="O22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5" s="9">
        <v>170000</v>
      </c>
      <c r="R2225" s="9"/>
      <c r="S2225" s="5">
        <v>1</v>
      </c>
      <c r="T22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табеле]])*S2225,0)</f>
        <v>5666.6666666666661</v>
      </c>
      <c r="U2225" s="5">
        <f>IF(Таблица1[[#This Row],[ТТН]]&gt;0,Таблица1[[#This Row],[Ставка за ТТН]]*Таблица1[[#This Row],[ТТН]],0)</f>
        <v>0</v>
      </c>
    </row>
    <row r="2226" spans="1:21" x14ac:dyDescent="0.25">
      <c r="A2226" t="s">
        <v>84</v>
      </c>
      <c r="B2226" s="24">
        <v>2</v>
      </c>
      <c r="C2226" t="s">
        <v>154</v>
      </c>
      <c r="D2226" t="s">
        <v>12</v>
      </c>
      <c r="E2226" t="s">
        <v>215</v>
      </c>
      <c r="F2226" t="s">
        <v>68</v>
      </c>
      <c r="H2226" t="s">
        <v>10</v>
      </c>
      <c r="I2226" t="s">
        <v>219</v>
      </c>
      <c r="J2226">
        <v>11</v>
      </c>
      <c r="L2226">
        <v>11</v>
      </c>
      <c r="N2226">
        <f>Таблица1[[#This Row],[Часов на заказчика  в работе]]+Таблица1[[#This Row],[Часов на заказчика  дежурство]]</f>
        <v>11</v>
      </c>
      <c r="O22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6" s="9">
        <v>170000</v>
      </c>
      <c r="R2226" s="9"/>
      <c r="S2226" s="5">
        <v>1</v>
      </c>
      <c r="T22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табеле]])*S2226,0)</f>
        <v>5666.6666666666661</v>
      </c>
      <c r="U2226" s="5">
        <f>IF(Таблица1[[#This Row],[ТТН]]&gt;0,Таблица1[[#This Row],[Ставка за ТТН]]*Таблица1[[#This Row],[ТТН]],0)</f>
        <v>0</v>
      </c>
    </row>
    <row r="2227" spans="1:21" x14ac:dyDescent="0.25">
      <c r="A2227" t="s">
        <v>84</v>
      </c>
      <c r="B2227" s="24">
        <v>3</v>
      </c>
      <c r="C2227" t="s">
        <v>154</v>
      </c>
      <c r="D2227" t="s">
        <v>12</v>
      </c>
      <c r="E2227" t="s">
        <v>215</v>
      </c>
      <c r="F2227" t="s">
        <v>68</v>
      </c>
      <c r="H2227" t="s">
        <v>10</v>
      </c>
      <c r="I2227" t="s">
        <v>219</v>
      </c>
      <c r="J2227">
        <v>11</v>
      </c>
      <c r="L2227">
        <v>11</v>
      </c>
      <c r="N2227">
        <f>Таблица1[[#This Row],[Часов на заказчика  в работе]]+Таблица1[[#This Row],[Часов на заказчика  дежурство]]</f>
        <v>11</v>
      </c>
      <c r="O22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7" s="9">
        <v>170000</v>
      </c>
      <c r="R2227" s="9"/>
      <c r="S2227" s="5">
        <v>1</v>
      </c>
      <c r="T22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табеле]])*S2227,0)</f>
        <v>5666.6666666666661</v>
      </c>
      <c r="U2227" s="5">
        <f>IF(Таблица1[[#This Row],[ТТН]]&gt;0,Таблица1[[#This Row],[Ставка за ТТН]]*Таблица1[[#This Row],[ТТН]],0)</f>
        <v>0</v>
      </c>
    </row>
    <row r="2228" spans="1:21" x14ac:dyDescent="0.25">
      <c r="A2228" t="s">
        <v>84</v>
      </c>
      <c r="B2228" s="24">
        <v>4</v>
      </c>
      <c r="C2228" t="s">
        <v>154</v>
      </c>
      <c r="D2228" t="s">
        <v>12</v>
      </c>
      <c r="E2228" t="s">
        <v>215</v>
      </c>
      <c r="F2228" t="s">
        <v>68</v>
      </c>
      <c r="H2228" t="s">
        <v>10</v>
      </c>
      <c r="I2228" t="s">
        <v>219</v>
      </c>
      <c r="J2228">
        <v>11</v>
      </c>
      <c r="L2228">
        <v>11</v>
      </c>
      <c r="N2228">
        <f>Таблица1[[#This Row],[Часов на заказчика  в работе]]+Таблица1[[#This Row],[Часов на заказчика  дежурство]]</f>
        <v>11</v>
      </c>
      <c r="O22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8" s="9">
        <v>170000</v>
      </c>
      <c r="R2228" s="9"/>
      <c r="S2228" s="5">
        <v>1</v>
      </c>
      <c r="T22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табеле]])*S2228,0)</f>
        <v>5666.6666666666661</v>
      </c>
      <c r="U2228" s="5">
        <f>IF(Таблица1[[#This Row],[ТТН]]&gt;0,Таблица1[[#This Row],[Ставка за ТТН]]*Таблица1[[#This Row],[ТТН]],0)</f>
        <v>0</v>
      </c>
    </row>
    <row r="2229" spans="1:21" x14ac:dyDescent="0.25">
      <c r="A2229" t="s">
        <v>84</v>
      </c>
      <c r="B2229" s="24">
        <v>5</v>
      </c>
      <c r="C2229" t="s">
        <v>154</v>
      </c>
      <c r="D2229" t="s">
        <v>12</v>
      </c>
      <c r="E2229" t="s">
        <v>215</v>
      </c>
      <c r="F2229" t="s">
        <v>68</v>
      </c>
      <c r="H2229" t="s">
        <v>10</v>
      </c>
      <c r="I2229" t="s">
        <v>219</v>
      </c>
      <c r="J2229">
        <v>11</v>
      </c>
      <c r="L2229">
        <v>11</v>
      </c>
      <c r="N2229">
        <f>Таблица1[[#This Row],[Часов на заказчика  в работе]]+Таблица1[[#This Row],[Часов на заказчика  дежурство]]</f>
        <v>11</v>
      </c>
      <c r="O22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29" s="9">
        <v>170000</v>
      </c>
      <c r="R2229" s="9"/>
      <c r="S2229" s="5">
        <v>1</v>
      </c>
      <c r="T22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табеле]])*S2229,0)</f>
        <v>5666.6666666666661</v>
      </c>
      <c r="U2229" s="5">
        <f>IF(Таблица1[[#This Row],[ТТН]]&gt;0,Таблица1[[#This Row],[Ставка за ТТН]]*Таблица1[[#This Row],[ТТН]],0)</f>
        <v>0</v>
      </c>
    </row>
    <row r="2230" spans="1:21" x14ac:dyDescent="0.25">
      <c r="A2230" t="s">
        <v>84</v>
      </c>
      <c r="B2230" s="24">
        <v>6</v>
      </c>
      <c r="C2230" t="s">
        <v>154</v>
      </c>
      <c r="D2230" t="s">
        <v>12</v>
      </c>
      <c r="E2230" t="s">
        <v>215</v>
      </c>
      <c r="F2230" t="s">
        <v>68</v>
      </c>
      <c r="H2230" t="s">
        <v>10</v>
      </c>
      <c r="I2230" t="s">
        <v>219</v>
      </c>
      <c r="J2230">
        <v>14</v>
      </c>
      <c r="L2230">
        <v>14</v>
      </c>
      <c r="N2230">
        <f>Таблица1[[#This Row],[Часов на заказчика  в работе]]+Таблица1[[#This Row],[Часов на заказчика  дежурство]]</f>
        <v>14</v>
      </c>
      <c r="O22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0" s="9">
        <v>170000</v>
      </c>
      <c r="R2230" s="9"/>
      <c r="S2230" s="5">
        <v>1</v>
      </c>
      <c r="T22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табеле]])*S2230,0)</f>
        <v>7212.121212121212</v>
      </c>
      <c r="U2230" s="5">
        <f>IF(Таблица1[[#This Row],[ТТН]]&gt;0,Таблица1[[#This Row],[Ставка за ТТН]]*Таблица1[[#This Row],[ТТН]],0)</f>
        <v>0</v>
      </c>
    </row>
    <row r="2231" spans="1:21" x14ac:dyDescent="0.25">
      <c r="A2231" t="s">
        <v>84</v>
      </c>
      <c r="B2231" s="24">
        <v>7</v>
      </c>
      <c r="C2231" t="s">
        <v>154</v>
      </c>
      <c r="D2231" t="s">
        <v>12</v>
      </c>
      <c r="E2231" t="s">
        <v>215</v>
      </c>
      <c r="F2231" t="s">
        <v>68</v>
      </c>
      <c r="H2231" t="s">
        <v>10</v>
      </c>
      <c r="I2231" t="s">
        <v>219</v>
      </c>
      <c r="J2231">
        <v>11</v>
      </c>
      <c r="L2231">
        <v>11</v>
      </c>
      <c r="N2231">
        <f>Таблица1[[#This Row],[Часов на заказчика  в работе]]+Таблица1[[#This Row],[Часов на заказчика  дежурство]]</f>
        <v>11</v>
      </c>
      <c r="O22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1" s="9">
        <v>170000</v>
      </c>
      <c r="R2231" s="9"/>
      <c r="S2231" s="5">
        <v>1</v>
      </c>
      <c r="T22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табеле]])*S2231,0)</f>
        <v>5666.6666666666661</v>
      </c>
      <c r="U2231" s="5">
        <f>IF(Таблица1[[#This Row],[ТТН]]&gt;0,Таблица1[[#This Row],[Ставка за ТТН]]*Таблица1[[#This Row],[ТТН]],0)</f>
        <v>0</v>
      </c>
    </row>
    <row r="2232" spans="1:21" x14ac:dyDescent="0.25">
      <c r="A2232" t="s">
        <v>84</v>
      </c>
      <c r="B2232" s="24">
        <v>8</v>
      </c>
      <c r="C2232" t="s">
        <v>154</v>
      </c>
      <c r="D2232" t="s">
        <v>12</v>
      </c>
      <c r="E2232" t="s">
        <v>215</v>
      </c>
      <c r="F2232" t="s">
        <v>68</v>
      </c>
      <c r="H2232" t="s">
        <v>10</v>
      </c>
      <c r="I2232" t="s">
        <v>219</v>
      </c>
      <c r="J2232">
        <v>20</v>
      </c>
      <c r="L2232">
        <v>20</v>
      </c>
      <c r="N2232">
        <f>Таблица1[[#This Row],[Часов на заказчика  в работе]]+Таблица1[[#This Row],[Часов на заказчика  дежурство]]</f>
        <v>20</v>
      </c>
      <c r="O22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2" s="9">
        <v>170000</v>
      </c>
      <c r="R2232" s="9"/>
      <c r="S2232" s="5">
        <v>1</v>
      </c>
      <c r="T22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табеле]])*S2232,0)</f>
        <v>10303.030303030302</v>
      </c>
      <c r="U2232" s="5">
        <f>IF(Таблица1[[#This Row],[ТТН]]&gt;0,Таблица1[[#This Row],[Ставка за ТТН]]*Таблица1[[#This Row],[ТТН]],0)</f>
        <v>0</v>
      </c>
    </row>
    <row r="2233" spans="1:21" x14ac:dyDescent="0.25">
      <c r="A2233" t="s">
        <v>84</v>
      </c>
      <c r="B2233" s="24">
        <v>9</v>
      </c>
      <c r="C2233" t="s">
        <v>154</v>
      </c>
      <c r="D2233" t="s">
        <v>12</v>
      </c>
      <c r="E2233" t="s">
        <v>215</v>
      </c>
      <c r="F2233" t="s">
        <v>68</v>
      </c>
      <c r="H2233" t="s">
        <v>10</v>
      </c>
      <c r="I2233" t="s">
        <v>219</v>
      </c>
      <c r="J2233">
        <v>16</v>
      </c>
      <c r="L2233">
        <v>16</v>
      </c>
      <c r="N2233">
        <f>Таблица1[[#This Row],[Часов на заказчика  в работе]]+Таблица1[[#This Row],[Часов на заказчика  дежурство]]</f>
        <v>16</v>
      </c>
      <c r="O22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3" s="9">
        <v>170000</v>
      </c>
      <c r="R2233" s="9"/>
      <c r="S2233" s="5">
        <v>1</v>
      </c>
      <c r="T22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табеле]])*S2233,0)</f>
        <v>8242.424242424242</v>
      </c>
      <c r="U2233" s="5">
        <f>IF(Таблица1[[#This Row],[ТТН]]&gt;0,Таблица1[[#This Row],[Ставка за ТТН]]*Таблица1[[#This Row],[ТТН]],0)</f>
        <v>0</v>
      </c>
    </row>
    <row r="2234" spans="1:21" x14ac:dyDescent="0.25">
      <c r="A2234" t="s">
        <v>84</v>
      </c>
      <c r="B2234" s="24">
        <v>10</v>
      </c>
      <c r="C2234" t="s">
        <v>154</v>
      </c>
      <c r="D2234" t="s">
        <v>12</v>
      </c>
      <c r="E2234" t="s">
        <v>215</v>
      </c>
      <c r="F2234" t="s">
        <v>68</v>
      </c>
      <c r="H2234" t="s">
        <v>10</v>
      </c>
      <c r="I2234" t="s">
        <v>219</v>
      </c>
      <c r="J2234">
        <v>11</v>
      </c>
      <c r="L2234">
        <v>11</v>
      </c>
      <c r="N2234">
        <f>Таблица1[[#This Row],[Часов на заказчика  в работе]]+Таблица1[[#This Row],[Часов на заказчика  дежурство]]</f>
        <v>11</v>
      </c>
      <c r="O22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4" s="9">
        <v>170000</v>
      </c>
      <c r="R2234" s="9"/>
      <c r="S2234" s="5">
        <v>1</v>
      </c>
      <c r="T22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табеле]])*S2234,0)</f>
        <v>5666.6666666666661</v>
      </c>
      <c r="U2234" s="5">
        <f>IF(Таблица1[[#This Row],[ТТН]]&gt;0,Таблица1[[#This Row],[Ставка за ТТН]]*Таблица1[[#This Row],[ТТН]],0)</f>
        <v>0</v>
      </c>
    </row>
    <row r="2235" spans="1:21" x14ac:dyDescent="0.25">
      <c r="A2235" t="s">
        <v>84</v>
      </c>
      <c r="B2235" s="24">
        <v>11</v>
      </c>
      <c r="C2235" t="s">
        <v>154</v>
      </c>
      <c r="D2235" t="s">
        <v>12</v>
      </c>
      <c r="E2235" t="s">
        <v>215</v>
      </c>
      <c r="F2235" t="s">
        <v>68</v>
      </c>
      <c r="H2235" t="s">
        <v>10</v>
      </c>
      <c r="I2235" t="s">
        <v>219</v>
      </c>
      <c r="J2235">
        <v>11</v>
      </c>
      <c r="L2235">
        <v>11</v>
      </c>
      <c r="N2235">
        <f>Таблица1[[#This Row],[Часов на заказчика  в работе]]+Таблица1[[#This Row],[Часов на заказчика  дежурство]]</f>
        <v>11</v>
      </c>
      <c r="O22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5" s="9">
        <v>170000</v>
      </c>
      <c r="R2235" s="9"/>
      <c r="S2235" s="5">
        <v>1</v>
      </c>
      <c r="T22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табеле]])*S2235,0)</f>
        <v>5666.6666666666661</v>
      </c>
      <c r="U2235" s="5">
        <f>IF(Таблица1[[#This Row],[ТТН]]&gt;0,Таблица1[[#This Row],[Ставка за ТТН]]*Таблица1[[#This Row],[ТТН]],0)</f>
        <v>0</v>
      </c>
    </row>
    <row r="2236" spans="1:21" x14ac:dyDescent="0.25">
      <c r="A2236" t="s">
        <v>84</v>
      </c>
      <c r="B2236" s="24">
        <v>12</v>
      </c>
      <c r="C2236" t="s">
        <v>154</v>
      </c>
      <c r="D2236" t="s">
        <v>12</v>
      </c>
      <c r="E2236" t="s">
        <v>215</v>
      </c>
      <c r="F2236" t="s">
        <v>68</v>
      </c>
      <c r="H2236" t="s">
        <v>10</v>
      </c>
      <c r="I2236" t="s">
        <v>219</v>
      </c>
      <c r="J2236">
        <v>11</v>
      </c>
      <c r="L2236">
        <v>11</v>
      </c>
      <c r="N2236">
        <f>Таблица1[[#This Row],[Часов на заказчика  в работе]]+Таблица1[[#This Row],[Часов на заказчика  дежурство]]</f>
        <v>11</v>
      </c>
      <c r="O22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6" s="9">
        <v>170000</v>
      </c>
      <c r="R2236" s="9"/>
      <c r="S2236" s="5">
        <v>1</v>
      </c>
      <c r="T22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табеле]])*S2236,0)</f>
        <v>5666.6666666666661</v>
      </c>
      <c r="U2236" s="5">
        <f>IF(Таблица1[[#This Row],[ТТН]]&gt;0,Таблица1[[#This Row],[Ставка за ТТН]]*Таблица1[[#This Row],[ТТН]],0)</f>
        <v>0</v>
      </c>
    </row>
    <row r="2237" spans="1:21" x14ac:dyDescent="0.25">
      <c r="A2237" t="s">
        <v>84</v>
      </c>
      <c r="B2237" s="24">
        <v>13</v>
      </c>
      <c r="C2237" t="s">
        <v>154</v>
      </c>
      <c r="D2237" t="s">
        <v>12</v>
      </c>
      <c r="E2237" t="s">
        <v>215</v>
      </c>
      <c r="F2237" t="s">
        <v>68</v>
      </c>
      <c r="H2237" t="s">
        <v>10</v>
      </c>
      <c r="I2237" t="s">
        <v>219</v>
      </c>
      <c r="J2237">
        <v>19</v>
      </c>
      <c r="L2237">
        <v>19</v>
      </c>
      <c r="N2237">
        <f>Таблица1[[#This Row],[Часов на заказчика  в работе]]+Таблица1[[#This Row],[Часов на заказчика  дежурство]]</f>
        <v>19</v>
      </c>
      <c r="O22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7" s="9">
        <v>170000</v>
      </c>
      <c r="R2237" s="9"/>
      <c r="S2237" s="5">
        <v>1</v>
      </c>
      <c r="T22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табеле]])*S2237,0)</f>
        <v>9787.878787878788</v>
      </c>
      <c r="U2237" s="5">
        <f>IF(Таблица1[[#This Row],[ТТН]]&gt;0,Таблица1[[#This Row],[Ставка за ТТН]]*Таблица1[[#This Row],[ТТН]],0)</f>
        <v>0</v>
      </c>
    </row>
    <row r="2238" spans="1:21" x14ac:dyDescent="0.25">
      <c r="A2238" t="s">
        <v>84</v>
      </c>
      <c r="B2238" s="24">
        <v>14</v>
      </c>
      <c r="C2238" t="s">
        <v>154</v>
      </c>
      <c r="D2238" t="s">
        <v>12</v>
      </c>
      <c r="E2238" t="s">
        <v>215</v>
      </c>
      <c r="F2238" t="s">
        <v>68</v>
      </c>
      <c r="H2238" t="s">
        <v>10</v>
      </c>
      <c r="I2238" t="s">
        <v>219</v>
      </c>
      <c r="J2238">
        <v>14</v>
      </c>
      <c r="L2238">
        <v>14</v>
      </c>
      <c r="N2238">
        <f>Таблица1[[#This Row],[Часов на заказчика  в работе]]+Таблица1[[#This Row],[Часов на заказчика  дежурство]]</f>
        <v>14</v>
      </c>
      <c r="O22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8" s="9">
        <v>170000</v>
      </c>
      <c r="R2238" s="9"/>
      <c r="S2238" s="5">
        <v>1</v>
      </c>
      <c r="T22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табеле]])*S2238,0)</f>
        <v>7212.121212121212</v>
      </c>
      <c r="U2238" s="5">
        <f>IF(Таблица1[[#This Row],[ТТН]]&gt;0,Таблица1[[#This Row],[Ставка за ТТН]]*Таблица1[[#This Row],[ТТН]],0)</f>
        <v>0</v>
      </c>
    </row>
    <row r="2239" spans="1:21" x14ac:dyDescent="0.25">
      <c r="A2239" t="s">
        <v>84</v>
      </c>
      <c r="B2239" s="24">
        <v>15</v>
      </c>
      <c r="C2239" t="s">
        <v>154</v>
      </c>
      <c r="D2239" t="s">
        <v>12</v>
      </c>
      <c r="E2239" t="s">
        <v>215</v>
      </c>
      <c r="F2239" t="s">
        <v>68</v>
      </c>
      <c r="H2239" t="s">
        <v>10</v>
      </c>
      <c r="I2239" t="s">
        <v>219</v>
      </c>
      <c r="J2239">
        <v>15</v>
      </c>
      <c r="L2239">
        <v>15</v>
      </c>
      <c r="N2239">
        <f>Таблица1[[#This Row],[Часов на заказчика  в работе]]+Таблица1[[#This Row],[Часов на заказчика  дежурство]]</f>
        <v>15</v>
      </c>
      <c r="O22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39" s="9">
        <v>170000</v>
      </c>
      <c r="R2239" s="9"/>
      <c r="S2239" s="5">
        <v>1</v>
      </c>
      <c r="T22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табеле]])*S2239,0)</f>
        <v>7727.272727272727</v>
      </c>
      <c r="U2239" s="5">
        <f>IF(Таблица1[[#This Row],[ТТН]]&gt;0,Таблица1[[#This Row],[Ставка за ТТН]]*Таблица1[[#This Row],[ТТН]],0)</f>
        <v>0</v>
      </c>
    </row>
    <row r="2240" spans="1:21" x14ac:dyDescent="0.25">
      <c r="A2240" t="s">
        <v>84</v>
      </c>
      <c r="B2240" s="24">
        <v>16</v>
      </c>
      <c r="C2240" t="s">
        <v>154</v>
      </c>
      <c r="D2240" t="s">
        <v>12</v>
      </c>
      <c r="E2240" t="s">
        <v>215</v>
      </c>
      <c r="F2240" t="s">
        <v>68</v>
      </c>
      <c r="H2240" t="s">
        <v>10</v>
      </c>
      <c r="I2240" t="s">
        <v>219</v>
      </c>
      <c r="J2240">
        <v>11</v>
      </c>
      <c r="L2240">
        <v>11</v>
      </c>
      <c r="N2240">
        <f>Таблица1[[#This Row],[Часов на заказчика  в работе]]+Таблица1[[#This Row],[Часов на заказчика  дежурство]]</f>
        <v>11</v>
      </c>
      <c r="O22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0" s="9">
        <v>170000</v>
      </c>
      <c r="R2240" s="9"/>
      <c r="S2240" s="5">
        <v>1</v>
      </c>
      <c r="T22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табеле]])*S2240,0)</f>
        <v>5666.6666666666661</v>
      </c>
      <c r="U2240" s="5">
        <f>IF(Таблица1[[#This Row],[ТТН]]&gt;0,Таблица1[[#This Row],[Ставка за ТТН]]*Таблица1[[#This Row],[ТТН]],0)</f>
        <v>0</v>
      </c>
    </row>
    <row r="2241" spans="1:21" x14ac:dyDescent="0.25">
      <c r="A2241" t="s">
        <v>84</v>
      </c>
      <c r="B2241" s="24">
        <v>17</v>
      </c>
      <c r="C2241" t="s">
        <v>154</v>
      </c>
      <c r="D2241" t="s">
        <v>12</v>
      </c>
      <c r="E2241" t="s">
        <v>215</v>
      </c>
      <c r="F2241" t="s">
        <v>68</v>
      </c>
      <c r="H2241" t="s">
        <v>10</v>
      </c>
      <c r="I2241" t="s">
        <v>219</v>
      </c>
      <c r="J2241">
        <v>13</v>
      </c>
      <c r="L2241">
        <v>13</v>
      </c>
      <c r="N2241">
        <f>Таблица1[[#This Row],[Часов на заказчика  в работе]]+Таблица1[[#This Row],[Часов на заказчика  дежурство]]</f>
        <v>13</v>
      </c>
      <c r="O22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1" s="9">
        <v>170000</v>
      </c>
      <c r="R2241" s="9"/>
      <c r="S2241" s="5">
        <v>1</v>
      </c>
      <c r="T22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табеле]])*S2241,0)</f>
        <v>6696.969696969697</v>
      </c>
      <c r="U2241" s="5">
        <f>IF(Таблица1[[#This Row],[ТТН]]&gt;0,Таблица1[[#This Row],[Ставка за ТТН]]*Таблица1[[#This Row],[ТТН]],0)</f>
        <v>0</v>
      </c>
    </row>
    <row r="2242" spans="1:21" x14ac:dyDescent="0.25">
      <c r="A2242" t="s">
        <v>84</v>
      </c>
      <c r="B2242" s="24">
        <v>18</v>
      </c>
      <c r="C2242" t="s">
        <v>154</v>
      </c>
      <c r="D2242" t="s">
        <v>12</v>
      </c>
      <c r="E2242" t="s">
        <v>215</v>
      </c>
      <c r="F2242" t="s">
        <v>68</v>
      </c>
      <c r="H2242" t="s">
        <v>10</v>
      </c>
      <c r="I2242" t="s">
        <v>219</v>
      </c>
      <c r="J2242">
        <v>11</v>
      </c>
      <c r="L2242">
        <v>11</v>
      </c>
      <c r="N2242">
        <f>Таблица1[[#This Row],[Часов на заказчика  в работе]]+Таблица1[[#This Row],[Часов на заказчика  дежурство]]</f>
        <v>11</v>
      </c>
      <c r="O22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2" s="9">
        <v>170000</v>
      </c>
      <c r="R2242" s="9"/>
      <c r="S2242" s="5">
        <v>1</v>
      </c>
      <c r="T22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табеле]])*S2242,0)</f>
        <v>5666.6666666666661</v>
      </c>
      <c r="U2242" s="5">
        <f>IF(Таблица1[[#This Row],[ТТН]]&gt;0,Таблица1[[#This Row],[Ставка за ТТН]]*Таблица1[[#This Row],[ТТН]],0)</f>
        <v>0</v>
      </c>
    </row>
    <row r="2243" spans="1:21" x14ac:dyDescent="0.25">
      <c r="A2243" t="s">
        <v>84</v>
      </c>
      <c r="B2243" s="24">
        <v>19</v>
      </c>
      <c r="C2243" t="s">
        <v>154</v>
      </c>
      <c r="D2243" t="s">
        <v>12</v>
      </c>
      <c r="E2243" t="s">
        <v>215</v>
      </c>
      <c r="F2243" t="s">
        <v>68</v>
      </c>
      <c r="H2243" t="s">
        <v>10</v>
      </c>
      <c r="I2243" t="s">
        <v>219</v>
      </c>
      <c r="J2243">
        <v>16</v>
      </c>
      <c r="L2243">
        <v>16</v>
      </c>
      <c r="N2243">
        <f>Таблица1[[#This Row],[Часов на заказчика  в работе]]+Таблица1[[#This Row],[Часов на заказчика  дежурство]]</f>
        <v>16</v>
      </c>
      <c r="O22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3" s="9">
        <v>170000</v>
      </c>
      <c r="R2243" s="9"/>
      <c r="S2243" s="5">
        <v>1</v>
      </c>
      <c r="T22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табеле]])*S2243,0)</f>
        <v>8242.424242424242</v>
      </c>
      <c r="U2243" s="5">
        <f>IF(Таблица1[[#This Row],[ТТН]]&gt;0,Таблица1[[#This Row],[Ставка за ТТН]]*Таблица1[[#This Row],[ТТН]],0)</f>
        <v>0</v>
      </c>
    </row>
    <row r="2244" spans="1:21" x14ac:dyDescent="0.25">
      <c r="A2244" t="s">
        <v>84</v>
      </c>
      <c r="B2244" s="24">
        <v>20</v>
      </c>
      <c r="C2244" t="s">
        <v>154</v>
      </c>
      <c r="D2244" t="s">
        <v>12</v>
      </c>
      <c r="E2244" t="s">
        <v>215</v>
      </c>
      <c r="F2244" t="s">
        <v>68</v>
      </c>
      <c r="H2244" t="s">
        <v>10</v>
      </c>
      <c r="I2244" t="s">
        <v>219</v>
      </c>
      <c r="J2244">
        <v>16</v>
      </c>
      <c r="L2244">
        <v>16</v>
      </c>
      <c r="N2244">
        <f>Таблица1[[#This Row],[Часов на заказчика  в работе]]+Таблица1[[#This Row],[Часов на заказчика  дежурство]]</f>
        <v>16</v>
      </c>
      <c r="O22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4" s="9">
        <v>170000</v>
      </c>
      <c r="R2244" s="9"/>
      <c r="S2244" s="5">
        <v>1</v>
      </c>
      <c r="T22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табеле]])*S2244,0)</f>
        <v>8242.424242424242</v>
      </c>
      <c r="U2244" s="5">
        <f>IF(Таблица1[[#This Row],[ТТН]]&gt;0,Таблица1[[#This Row],[Ставка за ТТН]]*Таблица1[[#This Row],[ТТН]],0)</f>
        <v>0</v>
      </c>
    </row>
    <row r="2245" spans="1:21" x14ac:dyDescent="0.25">
      <c r="A2245" t="s">
        <v>84</v>
      </c>
      <c r="B2245" s="24">
        <v>21</v>
      </c>
      <c r="C2245" t="s">
        <v>154</v>
      </c>
      <c r="D2245" t="s">
        <v>12</v>
      </c>
      <c r="E2245" t="s">
        <v>215</v>
      </c>
      <c r="F2245" t="s">
        <v>68</v>
      </c>
      <c r="H2245" t="s">
        <v>10</v>
      </c>
      <c r="I2245" t="s">
        <v>219</v>
      </c>
      <c r="J2245">
        <v>22</v>
      </c>
      <c r="L2245">
        <v>22</v>
      </c>
      <c r="N2245">
        <f>Таблица1[[#This Row],[Часов на заказчика  в работе]]+Таблица1[[#This Row],[Часов на заказчика  дежурство]]</f>
        <v>22</v>
      </c>
      <c r="O22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5" s="9">
        <v>170000</v>
      </c>
      <c r="R2245" s="9"/>
      <c r="S2245" s="5">
        <v>1</v>
      </c>
      <c r="T22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табеле]])*S2245,0)</f>
        <v>11333.333333333332</v>
      </c>
      <c r="U2245" s="5">
        <f>IF(Таблица1[[#This Row],[ТТН]]&gt;0,Таблица1[[#This Row],[Ставка за ТТН]]*Таблица1[[#This Row],[ТТН]],0)</f>
        <v>0</v>
      </c>
    </row>
    <row r="2246" spans="1:21" x14ac:dyDescent="0.25">
      <c r="A2246" t="s">
        <v>84</v>
      </c>
      <c r="B2246" s="24">
        <v>22</v>
      </c>
      <c r="C2246" t="s">
        <v>154</v>
      </c>
      <c r="D2246" t="s">
        <v>12</v>
      </c>
      <c r="E2246" t="s">
        <v>215</v>
      </c>
      <c r="F2246" t="s">
        <v>68</v>
      </c>
      <c r="H2246" t="s">
        <v>10</v>
      </c>
      <c r="I2246" t="s">
        <v>219</v>
      </c>
      <c r="J2246">
        <v>11</v>
      </c>
      <c r="L2246">
        <v>11</v>
      </c>
      <c r="N2246">
        <f>Таблица1[[#This Row],[Часов на заказчика  в работе]]+Таблица1[[#This Row],[Часов на заказчика  дежурство]]</f>
        <v>11</v>
      </c>
      <c r="O22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6" s="9">
        <v>170000</v>
      </c>
      <c r="R2246" s="9"/>
      <c r="S2246" s="5">
        <v>1</v>
      </c>
      <c r="T22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табеле]])*S2246,0)</f>
        <v>5666.6666666666661</v>
      </c>
      <c r="U2246" s="5">
        <f>IF(Таблица1[[#This Row],[ТТН]]&gt;0,Таблица1[[#This Row],[Ставка за ТТН]]*Таблица1[[#This Row],[ТТН]],0)</f>
        <v>0</v>
      </c>
    </row>
    <row r="2247" spans="1:21" x14ac:dyDescent="0.25">
      <c r="A2247" t="s">
        <v>84</v>
      </c>
      <c r="B2247" s="24">
        <v>22</v>
      </c>
      <c r="C2247" t="s">
        <v>154</v>
      </c>
      <c r="D2247" t="s">
        <v>12</v>
      </c>
      <c r="E2247" t="s">
        <v>215</v>
      </c>
      <c r="F2247" t="s">
        <v>68</v>
      </c>
      <c r="H2247" t="s">
        <v>70</v>
      </c>
      <c r="I2247" t="s">
        <v>219</v>
      </c>
      <c r="J2247">
        <v>11</v>
      </c>
      <c r="L2247">
        <v>11</v>
      </c>
      <c r="N2247">
        <f>Таблица1[[#This Row],[Часов на заказчика  в работе]]+Таблица1[[#This Row],[Часов на заказчика  дежурство]]</f>
        <v>11</v>
      </c>
      <c r="O22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7" s="9">
        <v>170000</v>
      </c>
      <c r="R2247" s="9"/>
      <c r="S2247" s="5">
        <v>1</v>
      </c>
      <c r="T22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табеле]])*S2247,0)</f>
        <v>5666.6666666666661</v>
      </c>
      <c r="U2247" s="5">
        <f>IF(Таблица1[[#This Row],[ТТН]]&gt;0,Таблица1[[#This Row],[Ставка за ТТН]]*Таблица1[[#This Row],[ТТН]],0)</f>
        <v>0</v>
      </c>
    </row>
    <row r="2248" spans="1:21" x14ac:dyDescent="0.25">
      <c r="A2248" t="s">
        <v>84</v>
      </c>
      <c r="B2248" s="24">
        <v>23</v>
      </c>
      <c r="C2248" t="s">
        <v>154</v>
      </c>
      <c r="D2248" t="s">
        <v>12</v>
      </c>
      <c r="E2248" t="s">
        <v>215</v>
      </c>
      <c r="F2248" t="s">
        <v>68</v>
      </c>
      <c r="H2248" t="s">
        <v>10</v>
      </c>
      <c r="I2248" t="s">
        <v>219</v>
      </c>
      <c r="J2248">
        <v>22</v>
      </c>
      <c r="L2248">
        <v>22</v>
      </c>
      <c r="N2248">
        <f>Таблица1[[#This Row],[Часов на заказчика  в работе]]+Таблица1[[#This Row],[Часов на заказчика  дежурство]]</f>
        <v>22</v>
      </c>
      <c r="O22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8" s="9">
        <v>170000</v>
      </c>
      <c r="R2248" s="9"/>
      <c r="S2248" s="5">
        <v>1</v>
      </c>
      <c r="T22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табеле]])*S2248,0)</f>
        <v>11333.333333333332</v>
      </c>
      <c r="U2248" s="5">
        <f>IF(Таблица1[[#This Row],[ТТН]]&gt;0,Таблица1[[#This Row],[Ставка за ТТН]]*Таблица1[[#This Row],[ТТН]],0)</f>
        <v>0</v>
      </c>
    </row>
    <row r="2249" spans="1:21" x14ac:dyDescent="0.25">
      <c r="A2249" t="s">
        <v>84</v>
      </c>
      <c r="B2249" s="24">
        <v>24</v>
      </c>
      <c r="C2249" t="s">
        <v>154</v>
      </c>
      <c r="D2249" t="s">
        <v>12</v>
      </c>
      <c r="E2249" t="s">
        <v>215</v>
      </c>
      <c r="F2249" t="s">
        <v>68</v>
      </c>
      <c r="H2249" t="s">
        <v>10</v>
      </c>
      <c r="I2249" t="s">
        <v>219</v>
      </c>
      <c r="J2249">
        <v>22</v>
      </c>
      <c r="L2249">
        <v>22</v>
      </c>
      <c r="N2249">
        <f>Таблица1[[#This Row],[Часов на заказчика  в работе]]+Таблица1[[#This Row],[Часов на заказчика  дежурство]]</f>
        <v>22</v>
      </c>
      <c r="O22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49" s="9">
        <v>170000</v>
      </c>
      <c r="R2249" s="9"/>
      <c r="S2249" s="5">
        <v>1</v>
      </c>
      <c r="T22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табеле]])*S2249,0)</f>
        <v>11333.333333333332</v>
      </c>
      <c r="U2249" s="5">
        <f>IF(Таблица1[[#This Row],[ТТН]]&gt;0,Таблица1[[#This Row],[Ставка за ТТН]]*Таблица1[[#This Row],[ТТН]],0)</f>
        <v>0</v>
      </c>
    </row>
    <row r="2250" spans="1:21" x14ac:dyDescent="0.25">
      <c r="A2250" t="s">
        <v>84</v>
      </c>
      <c r="B2250" s="24">
        <v>25</v>
      </c>
      <c r="C2250" t="s">
        <v>154</v>
      </c>
      <c r="D2250" t="s">
        <v>12</v>
      </c>
      <c r="E2250" t="s">
        <v>215</v>
      </c>
      <c r="F2250" t="s">
        <v>68</v>
      </c>
      <c r="H2250" t="s">
        <v>10</v>
      </c>
      <c r="I2250" t="s">
        <v>219</v>
      </c>
      <c r="J2250">
        <v>22</v>
      </c>
      <c r="L2250">
        <v>22</v>
      </c>
      <c r="N2250">
        <f>Таблица1[[#This Row],[Часов на заказчика  в работе]]+Таблица1[[#This Row],[Часов на заказчика  дежурство]]</f>
        <v>22</v>
      </c>
      <c r="O22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0" s="9">
        <v>170000</v>
      </c>
      <c r="R2250" s="9"/>
      <c r="S2250" s="5">
        <v>1</v>
      </c>
      <c r="T22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табеле]])*S2250,0)</f>
        <v>11333.333333333332</v>
      </c>
      <c r="U2250" s="5">
        <f>IF(Таблица1[[#This Row],[ТТН]]&gt;0,Таблица1[[#This Row],[Ставка за ТТН]]*Таблица1[[#This Row],[ТТН]],0)</f>
        <v>0</v>
      </c>
    </row>
    <row r="2251" spans="1:21" x14ac:dyDescent="0.25">
      <c r="A2251" t="s">
        <v>84</v>
      </c>
      <c r="B2251" s="24">
        <v>26</v>
      </c>
      <c r="C2251" t="s">
        <v>154</v>
      </c>
      <c r="D2251" t="s">
        <v>12</v>
      </c>
      <c r="E2251" t="s">
        <v>215</v>
      </c>
      <c r="F2251" t="s">
        <v>68</v>
      </c>
      <c r="H2251" t="s">
        <v>10</v>
      </c>
      <c r="I2251" t="s">
        <v>219</v>
      </c>
      <c r="J2251">
        <v>22</v>
      </c>
      <c r="L2251">
        <v>22</v>
      </c>
      <c r="N2251">
        <f>Таблица1[[#This Row],[Часов на заказчика  в работе]]+Таблица1[[#This Row],[Часов на заказчика  дежурство]]</f>
        <v>22</v>
      </c>
      <c r="O22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1" s="9">
        <v>170000</v>
      </c>
      <c r="R2251" s="9"/>
      <c r="S2251" s="5">
        <v>1</v>
      </c>
      <c r="T22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табеле]])*S2251,0)</f>
        <v>11333.333333333332</v>
      </c>
      <c r="U2251" s="5">
        <f>IF(Таблица1[[#This Row],[ТТН]]&gt;0,Таблица1[[#This Row],[Ставка за ТТН]]*Таблица1[[#This Row],[ТТН]],0)</f>
        <v>0</v>
      </c>
    </row>
    <row r="2252" spans="1:21" x14ac:dyDescent="0.25">
      <c r="A2252" t="s">
        <v>84</v>
      </c>
      <c r="B2252" s="24">
        <v>27</v>
      </c>
      <c r="C2252" t="s">
        <v>154</v>
      </c>
      <c r="D2252" t="s">
        <v>12</v>
      </c>
      <c r="E2252" t="s">
        <v>215</v>
      </c>
      <c r="F2252" t="s">
        <v>68</v>
      </c>
      <c r="H2252" t="s">
        <v>10</v>
      </c>
      <c r="I2252" t="s">
        <v>219</v>
      </c>
      <c r="J2252">
        <v>17</v>
      </c>
      <c r="L2252">
        <v>17</v>
      </c>
      <c r="N2252">
        <f>Таблица1[[#This Row],[Часов на заказчика  в работе]]+Таблица1[[#This Row],[Часов на заказчика  дежурство]]</f>
        <v>17</v>
      </c>
      <c r="O22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2" s="9">
        <v>170000</v>
      </c>
      <c r="R2252" s="9"/>
      <c r="S2252" s="5">
        <v>1</v>
      </c>
      <c r="T22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табеле]])*S2252,0)</f>
        <v>8757.575757575758</v>
      </c>
      <c r="U2252" s="5">
        <f>IF(Таблица1[[#This Row],[ТТН]]&gt;0,Таблица1[[#This Row],[Ставка за ТТН]]*Таблица1[[#This Row],[ТТН]],0)</f>
        <v>0</v>
      </c>
    </row>
    <row r="2253" spans="1:21" x14ac:dyDescent="0.25">
      <c r="A2253" t="s">
        <v>84</v>
      </c>
      <c r="B2253" s="24">
        <v>27</v>
      </c>
      <c r="C2253" t="s">
        <v>154</v>
      </c>
      <c r="D2253" t="s">
        <v>12</v>
      </c>
      <c r="E2253" t="s">
        <v>215</v>
      </c>
      <c r="F2253" t="s">
        <v>68</v>
      </c>
      <c r="H2253" t="s">
        <v>70</v>
      </c>
      <c r="I2253" t="s">
        <v>219</v>
      </c>
      <c r="J2253">
        <v>5</v>
      </c>
      <c r="L2253">
        <v>5</v>
      </c>
      <c r="N2253">
        <f>Таблица1[[#This Row],[Часов на заказчика  в работе]]+Таблица1[[#This Row],[Часов на заказчика  дежурство]]</f>
        <v>5</v>
      </c>
      <c r="O22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3" s="9">
        <v>170000</v>
      </c>
      <c r="R2253" s="9"/>
      <c r="S2253" s="5">
        <v>1</v>
      </c>
      <c r="T22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табеле]])*S2253,0)</f>
        <v>2575.7575757575755</v>
      </c>
      <c r="U2253" s="5">
        <f>IF(Таблица1[[#This Row],[ТТН]]&gt;0,Таблица1[[#This Row],[Ставка за ТТН]]*Таблица1[[#This Row],[ТТН]],0)</f>
        <v>0</v>
      </c>
    </row>
    <row r="2254" spans="1:21" x14ac:dyDescent="0.25">
      <c r="A2254" t="s">
        <v>84</v>
      </c>
      <c r="B2254" s="24">
        <v>28</v>
      </c>
      <c r="C2254" t="s">
        <v>154</v>
      </c>
      <c r="D2254" t="s">
        <v>12</v>
      </c>
      <c r="E2254" t="s">
        <v>215</v>
      </c>
      <c r="F2254" t="s">
        <v>68</v>
      </c>
      <c r="H2254" t="s">
        <v>10</v>
      </c>
      <c r="I2254" t="s">
        <v>219</v>
      </c>
      <c r="J2254">
        <v>11</v>
      </c>
      <c r="L2254">
        <v>11</v>
      </c>
      <c r="N2254">
        <f>Таблица1[[#This Row],[Часов на заказчика  в работе]]+Таблица1[[#This Row],[Часов на заказчика  дежурство]]</f>
        <v>11</v>
      </c>
      <c r="O22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4" s="9">
        <v>170000</v>
      </c>
      <c r="R2254" s="9"/>
      <c r="S2254" s="5">
        <v>1</v>
      </c>
      <c r="T22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табеле]])*S2254,0)</f>
        <v>5666.6666666666661</v>
      </c>
      <c r="U2254" s="5">
        <f>IF(Таблица1[[#This Row],[ТТН]]&gt;0,Таблица1[[#This Row],[Ставка за ТТН]]*Таблица1[[#This Row],[ТТН]],0)</f>
        <v>0</v>
      </c>
    </row>
    <row r="2255" spans="1:21" x14ac:dyDescent="0.25">
      <c r="A2255" t="s">
        <v>84</v>
      </c>
      <c r="B2255" s="24">
        <v>28</v>
      </c>
      <c r="C2255" t="s">
        <v>154</v>
      </c>
      <c r="D2255" t="s">
        <v>12</v>
      </c>
      <c r="E2255" t="s">
        <v>215</v>
      </c>
      <c r="F2255" t="s">
        <v>68</v>
      </c>
      <c r="H2255" t="s">
        <v>70</v>
      </c>
      <c r="I2255" t="s">
        <v>219</v>
      </c>
      <c r="J2255">
        <v>11</v>
      </c>
      <c r="L2255">
        <v>11</v>
      </c>
      <c r="N2255">
        <f>Таблица1[[#This Row],[Часов на заказчика  в работе]]+Таблица1[[#This Row],[Часов на заказчика  дежурство]]</f>
        <v>11</v>
      </c>
      <c r="O22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5" s="9">
        <v>170000</v>
      </c>
      <c r="R2255" s="9"/>
      <c r="S2255" s="5">
        <v>1</v>
      </c>
      <c r="T22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табеле]])*S2255,0)</f>
        <v>5666.6666666666661</v>
      </c>
      <c r="U2255" s="5">
        <f>IF(Таблица1[[#This Row],[ТТН]]&gt;0,Таблица1[[#This Row],[Ставка за ТТН]]*Таблица1[[#This Row],[ТТН]],0)</f>
        <v>0</v>
      </c>
    </row>
    <row r="2256" spans="1:21" x14ac:dyDescent="0.25">
      <c r="A2256" t="s">
        <v>84</v>
      </c>
      <c r="B2256" s="24">
        <v>29</v>
      </c>
      <c r="C2256" t="s">
        <v>154</v>
      </c>
      <c r="D2256" t="s">
        <v>12</v>
      </c>
      <c r="E2256" t="s">
        <v>215</v>
      </c>
      <c r="F2256" t="s">
        <v>68</v>
      </c>
      <c r="H2256" t="s">
        <v>10</v>
      </c>
      <c r="I2256" t="s">
        <v>219</v>
      </c>
      <c r="J2256">
        <v>22</v>
      </c>
      <c r="L2256">
        <v>22</v>
      </c>
      <c r="N2256">
        <f>Таблица1[[#This Row],[Часов на заказчика  в работе]]+Таблица1[[#This Row],[Часов на заказчика  дежурство]]</f>
        <v>22</v>
      </c>
      <c r="O22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6" s="9">
        <v>170000</v>
      </c>
      <c r="R2256" s="9"/>
      <c r="S2256" s="5">
        <v>1</v>
      </c>
      <c r="T22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табеле]])*S2256,0)</f>
        <v>11333.333333333332</v>
      </c>
      <c r="U2256" s="5">
        <f>IF(Таблица1[[#This Row],[ТТН]]&gt;0,Таблица1[[#This Row],[Ставка за ТТН]]*Таблица1[[#This Row],[ТТН]],0)</f>
        <v>0</v>
      </c>
    </row>
    <row r="2257" spans="1:21" x14ac:dyDescent="0.25">
      <c r="A2257" t="s">
        <v>84</v>
      </c>
      <c r="B2257" s="24">
        <v>30</v>
      </c>
      <c r="C2257" t="s">
        <v>164</v>
      </c>
      <c r="D2257" t="s">
        <v>12</v>
      </c>
      <c r="E2257" t="s">
        <v>215</v>
      </c>
      <c r="F2257" t="s">
        <v>68</v>
      </c>
      <c r="H2257" t="s">
        <v>10</v>
      </c>
      <c r="I2257" t="s">
        <v>219</v>
      </c>
      <c r="J2257">
        <v>22</v>
      </c>
      <c r="L2257">
        <v>22</v>
      </c>
      <c r="N2257">
        <f>Таблица1[[#This Row],[Часов на заказчика  в работе]]+Таблица1[[#This Row],[Часов на заказчика  дежурство]]</f>
        <v>22</v>
      </c>
      <c r="O22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7" s="9">
        <v>170000</v>
      </c>
      <c r="R2257" s="9"/>
      <c r="S2257" s="5">
        <v>1</v>
      </c>
      <c r="T22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табеле]])*S2257,0)</f>
        <v>11333.333333333332</v>
      </c>
      <c r="U2257" s="5">
        <f>IF(Таблица1[[#This Row],[ТТН]]&gt;0,Таблица1[[#This Row],[Ставка за ТТН]]*Таблица1[[#This Row],[ТТН]],0)</f>
        <v>0</v>
      </c>
    </row>
    <row r="2258" spans="1:21" x14ac:dyDescent="0.25">
      <c r="A2258" t="s">
        <v>84</v>
      </c>
      <c r="B2258" s="24">
        <v>1</v>
      </c>
      <c r="C2258" t="s">
        <v>164</v>
      </c>
      <c r="D2258" t="s">
        <v>28</v>
      </c>
      <c r="E2258" t="s">
        <v>215</v>
      </c>
      <c r="F2258" t="s">
        <v>28</v>
      </c>
      <c r="H2258" t="s">
        <v>10</v>
      </c>
      <c r="I2258" t="s">
        <v>219</v>
      </c>
      <c r="J2258">
        <v>16</v>
      </c>
      <c r="N2258">
        <f>Таблица1[[#This Row],[Часов на заказчика  в работе]]+Таблица1[[#This Row],[Часов на заказчика  дежурство]]</f>
        <v>0</v>
      </c>
      <c r="O22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8" s="9">
        <v>110000</v>
      </c>
      <c r="R2258" s="9"/>
      <c r="S2258" s="5">
        <v>1</v>
      </c>
      <c r="T22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табеле]])*S2258,0)</f>
        <v>5333.333333333333</v>
      </c>
      <c r="U2258" s="5">
        <f>IF(Таблица1[[#This Row],[ТТН]]&gt;0,Таблица1[[#This Row],[Ставка за ТТН]]*Таблица1[[#This Row],[ТТН]],0)</f>
        <v>0</v>
      </c>
    </row>
    <row r="2259" spans="1:21" x14ac:dyDescent="0.25">
      <c r="A2259" t="s">
        <v>84</v>
      </c>
      <c r="B2259" s="24">
        <v>2</v>
      </c>
      <c r="C2259" t="s">
        <v>164</v>
      </c>
      <c r="D2259" t="s">
        <v>28</v>
      </c>
      <c r="E2259" t="s">
        <v>215</v>
      </c>
      <c r="F2259" t="s">
        <v>28</v>
      </c>
      <c r="H2259" t="s">
        <v>10</v>
      </c>
      <c r="I2259" t="s">
        <v>219</v>
      </c>
      <c r="J2259">
        <v>16</v>
      </c>
      <c r="N2259">
        <f>Таблица1[[#This Row],[Часов на заказчика  в работе]]+Таблица1[[#This Row],[Часов на заказчика  дежурство]]</f>
        <v>0</v>
      </c>
      <c r="O22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59" s="9">
        <v>110000</v>
      </c>
      <c r="R2259" s="9"/>
      <c r="S2259" s="5">
        <v>1</v>
      </c>
      <c r="T22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табеле]])*S2259,0)</f>
        <v>5333.333333333333</v>
      </c>
      <c r="U2259" s="5">
        <f>IF(Таблица1[[#This Row],[ТТН]]&gt;0,Таблица1[[#This Row],[Ставка за ТТН]]*Таблица1[[#This Row],[ТТН]],0)</f>
        <v>0</v>
      </c>
    </row>
    <row r="2260" spans="1:21" x14ac:dyDescent="0.25">
      <c r="A2260" t="s">
        <v>84</v>
      </c>
      <c r="B2260" s="24">
        <v>3</v>
      </c>
      <c r="C2260" t="s">
        <v>164</v>
      </c>
      <c r="D2260" t="s">
        <v>28</v>
      </c>
      <c r="E2260" t="s">
        <v>215</v>
      </c>
      <c r="F2260" t="s">
        <v>28</v>
      </c>
      <c r="H2260" t="s">
        <v>10</v>
      </c>
      <c r="I2260" t="s">
        <v>219</v>
      </c>
      <c r="J2260">
        <v>16</v>
      </c>
      <c r="N2260">
        <f>Таблица1[[#This Row],[Часов на заказчика  в работе]]+Таблица1[[#This Row],[Часов на заказчика  дежурство]]</f>
        <v>0</v>
      </c>
      <c r="O22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0" s="9">
        <v>110000</v>
      </c>
      <c r="R2260" s="9"/>
      <c r="S2260" s="5">
        <v>1</v>
      </c>
      <c r="T22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табеле]])*S2260,0)</f>
        <v>5333.333333333333</v>
      </c>
      <c r="U2260" s="5">
        <f>IF(Таблица1[[#This Row],[ТТН]]&gt;0,Таблица1[[#This Row],[Ставка за ТТН]]*Таблица1[[#This Row],[ТТН]],0)</f>
        <v>0</v>
      </c>
    </row>
    <row r="2261" spans="1:21" x14ac:dyDescent="0.25">
      <c r="A2261" t="s">
        <v>84</v>
      </c>
      <c r="B2261" s="24">
        <v>4</v>
      </c>
      <c r="C2261" t="s">
        <v>164</v>
      </c>
      <c r="D2261" t="s">
        <v>28</v>
      </c>
      <c r="E2261" t="s">
        <v>215</v>
      </c>
      <c r="F2261" t="s">
        <v>28</v>
      </c>
      <c r="H2261" t="s">
        <v>10</v>
      </c>
      <c r="I2261" t="s">
        <v>219</v>
      </c>
      <c r="J2261">
        <v>16</v>
      </c>
      <c r="N2261">
        <f>Таблица1[[#This Row],[Часов на заказчика  в работе]]+Таблица1[[#This Row],[Часов на заказчика  дежурство]]</f>
        <v>0</v>
      </c>
      <c r="O22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1" s="9">
        <v>110000</v>
      </c>
      <c r="R2261" s="9"/>
      <c r="S2261" s="5">
        <v>1</v>
      </c>
      <c r="T22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табеле]])*S2261,0)</f>
        <v>5333.333333333333</v>
      </c>
      <c r="U2261" s="5">
        <f>IF(Таблица1[[#This Row],[ТТН]]&gt;0,Таблица1[[#This Row],[Ставка за ТТН]]*Таблица1[[#This Row],[ТТН]],0)</f>
        <v>0</v>
      </c>
    </row>
    <row r="2262" spans="1:21" x14ac:dyDescent="0.25">
      <c r="A2262" t="s">
        <v>84</v>
      </c>
      <c r="B2262" s="24">
        <v>5</v>
      </c>
      <c r="C2262" t="s">
        <v>164</v>
      </c>
      <c r="D2262" t="s">
        <v>28</v>
      </c>
      <c r="E2262" t="s">
        <v>215</v>
      </c>
      <c r="F2262" t="s">
        <v>28</v>
      </c>
      <c r="H2262" t="s">
        <v>38</v>
      </c>
      <c r="I2262" t="s">
        <v>219</v>
      </c>
      <c r="J2262">
        <v>11</v>
      </c>
      <c r="N2262">
        <f>Таблица1[[#This Row],[Часов на заказчика  в работе]]+Таблица1[[#This Row],[Часов на заказчика  дежурство]]</f>
        <v>0</v>
      </c>
      <c r="O22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2" s="9">
        <v>110000</v>
      </c>
      <c r="R2262" s="9"/>
      <c r="S2262" s="5">
        <v>1</v>
      </c>
      <c r="T22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табеле]])*S2262,0)</f>
        <v>3666.6666666666665</v>
      </c>
      <c r="U2262" s="5">
        <f>IF(Таблица1[[#This Row],[ТТН]]&gt;0,Таблица1[[#This Row],[Ставка за ТТН]]*Таблица1[[#This Row],[ТТН]],0)</f>
        <v>0</v>
      </c>
    </row>
    <row r="2263" spans="1:21" x14ac:dyDescent="0.25">
      <c r="A2263" t="s">
        <v>84</v>
      </c>
      <c r="B2263" s="24">
        <v>6</v>
      </c>
      <c r="C2263" t="s">
        <v>164</v>
      </c>
      <c r="D2263" t="s">
        <v>28</v>
      </c>
      <c r="E2263" t="s">
        <v>215</v>
      </c>
      <c r="F2263" t="s">
        <v>28</v>
      </c>
      <c r="H2263" t="s">
        <v>38</v>
      </c>
      <c r="I2263" t="s">
        <v>219</v>
      </c>
      <c r="J2263">
        <v>11</v>
      </c>
      <c r="N2263">
        <f>Таблица1[[#This Row],[Часов на заказчика  в работе]]+Таблица1[[#This Row],[Часов на заказчика  дежурство]]</f>
        <v>0</v>
      </c>
      <c r="O22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3" s="9">
        <v>110000</v>
      </c>
      <c r="R2263" s="9"/>
      <c r="S2263" s="5">
        <v>1</v>
      </c>
      <c r="T22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табеле]])*S2263,0)</f>
        <v>3666.6666666666665</v>
      </c>
      <c r="U2263" s="5">
        <f>IF(Таблица1[[#This Row],[ТТН]]&gt;0,Таблица1[[#This Row],[Ставка за ТТН]]*Таблица1[[#This Row],[ТТН]],0)</f>
        <v>0</v>
      </c>
    </row>
    <row r="2264" spans="1:21" x14ac:dyDescent="0.25">
      <c r="A2264" t="s">
        <v>84</v>
      </c>
      <c r="B2264" s="24">
        <v>7</v>
      </c>
      <c r="C2264" t="s">
        <v>164</v>
      </c>
      <c r="D2264" t="s">
        <v>28</v>
      </c>
      <c r="E2264" t="s">
        <v>215</v>
      </c>
      <c r="F2264" t="s">
        <v>28</v>
      </c>
      <c r="H2264" t="s">
        <v>38</v>
      </c>
      <c r="I2264" t="s">
        <v>219</v>
      </c>
      <c r="J2264">
        <v>11</v>
      </c>
      <c r="N2264">
        <f>Таблица1[[#This Row],[Часов на заказчика  в работе]]+Таблица1[[#This Row],[Часов на заказчика  дежурство]]</f>
        <v>0</v>
      </c>
      <c r="O22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4" s="9">
        <v>110000</v>
      </c>
      <c r="R2264" s="9"/>
      <c r="S2264" s="5">
        <v>1</v>
      </c>
      <c r="T22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табеле]])*S2264,0)</f>
        <v>3666.6666666666665</v>
      </c>
      <c r="U2264" s="5">
        <f>IF(Таблица1[[#This Row],[ТТН]]&gt;0,Таблица1[[#This Row],[Ставка за ТТН]]*Таблица1[[#This Row],[ТТН]],0)</f>
        <v>0</v>
      </c>
    </row>
    <row r="2265" spans="1:21" x14ac:dyDescent="0.25">
      <c r="A2265" t="s">
        <v>84</v>
      </c>
      <c r="B2265" s="24">
        <v>8</v>
      </c>
      <c r="C2265" t="s">
        <v>164</v>
      </c>
      <c r="D2265" t="s">
        <v>28</v>
      </c>
      <c r="E2265" t="s">
        <v>215</v>
      </c>
      <c r="F2265" t="s">
        <v>28</v>
      </c>
      <c r="H2265" t="s">
        <v>10</v>
      </c>
      <c r="I2265" t="s">
        <v>219</v>
      </c>
      <c r="J2265">
        <v>16</v>
      </c>
      <c r="N2265">
        <f>Таблица1[[#This Row],[Часов на заказчика  в работе]]+Таблица1[[#This Row],[Часов на заказчика  дежурство]]</f>
        <v>0</v>
      </c>
      <c r="O22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5" s="9">
        <v>110000</v>
      </c>
      <c r="R2265" s="9"/>
      <c r="S2265" s="5">
        <v>1</v>
      </c>
      <c r="T22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табеле]])*S2265,0)</f>
        <v>5333.333333333333</v>
      </c>
      <c r="U2265" s="5">
        <f>IF(Таблица1[[#This Row],[ТТН]]&gt;0,Таблица1[[#This Row],[Ставка за ТТН]]*Таблица1[[#This Row],[ТТН]],0)</f>
        <v>0</v>
      </c>
    </row>
    <row r="2266" spans="1:21" x14ac:dyDescent="0.25">
      <c r="A2266" t="s">
        <v>84</v>
      </c>
      <c r="B2266" s="24">
        <v>9</v>
      </c>
      <c r="C2266" t="s">
        <v>164</v>
      </c>
      <c r="D2266" t="s">
        <v>28</v>
      </c>
      <c r="E2266" t="s">
        <v>215</v>
      </c>
      <c r="F2266" t="s">
        <v>28</v>
      </c>
      <c r="H2266" t="s">
        <v>10</v>
      </c>
      <c r="I2266" t="s">
        <v>219</v>
      </c>
      <c r="J2266">
        <v>16</v>
      </c>
      <c r="N2266">
        <f>Таблица1[[#This Row],[Часов на заказчика  в работе]]+Таблица1[[#This Row],[Часов на заказчика  дежурство]]</f>
        <v>0</v>
      </c>
      <c r="O22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6" s="9">
        <v>110000</v>
      </c>
      <c r="R2266" s="9"/>
      <c r="S2266" s="5">
        <v>1</v>
      </c>
      <c r="T22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табеле]])*S2266,0)</f>
        <v>5333.333333333333</v>
      </c>
      <c r="U2266" s="5">
        <f>IF(Таблица1[[#This Row],[ТТН]]&gt;0,Таблица1[[#This Row],[Ставка за ТТН]]*Таблица1[[#This Row],[ТТН]],0)</f>
        <v>0</v>
      </c>
    </row>
    <row r="2267" spans="1:21" x14ac:dyDescent="0.25">
      <c r="A2267" t="s">
        <v>84</v>
      </c>
      <c r="B2267" s="24">
        <v>10</v>
      </c>
      <c r="C2267" t="s">
        <v>164</v>
      </c>
      <c r="D2267" t="s">
        <v>28</v>
      </c>
      <c r="E2267" t="s">
        <v>215</v>
      </c>
      <c r="F2267" t="s">
        <v>28</v>
      </c>
      <c r="H2267" t="s">
        <v>10</v>
      </c>
      <c r="I2267" t="s">
        <v>219</v>
      </c>
      <c r="J2267">
        <v>16</v>
      </c>
      <c r="N2267">
        <f>Таблица1[[#This Row],[Часов на заказчика  в работе]]+Таблица1[[#This Row],[Часов на заказчика  дежурство]]</f>
        <v>0</v>
      </c>
      <c r="O22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7" s="9">
        <v>110000</v>
      </c>
      <c r="R2267" s="9"/>
      <c r="S2267" s="5">
        <v>1</v>
      </c>
      <c r="T22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табеле]])*S2267,0)</f>
        <v>5333.333333333333</v>
      </c>
      <c r="U2267" s="5">
        <f>IF(Таблица1[[#This Row],[ТТН]]&gt;0,Таблица1[[#This Row],[Ставка за ТТН]]*Таблица1[[#This Row],[ТТН]],0)</f>
        <v>0</v>
      </c>
    </row>
    <row r="2268" spans="1:21" x14ac:dyDescent="0.25">
      <c r="A2268" t="s">
        <v>84</v>
      </c>
      <c r="B2268" s="24">
        <v>11</v>
      </c>
      <c r="C2268" t="s">
        <v>164</v>
      </c>
      <c r="D2268" t="s">
        <v>28</v>
      </c>
      <c r="E2268" t="s">
        <v>215</v>
      </c>
      <c r="F2268" t="s">
        <v>28</v>
      </c>
      <c r="H2268" t="s">
        <v>10</v>
      </c>
      <c r="I2268" t="s">
        <v>219</v>
      </c>
      <c r="J2268">
        <v>16</v>
      </c>
      <c r="N2268">
        <f>Таблица1[[#This Row],[Часов на заказчика  в работе]]+Таблица1[[#This Row],[Часов на заказчика  дежурство]]</f>
        <v>0</v>
      </c>
      <c r="O22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8" s="9">
        <v>110000</v>
      </c>
      <c r="R2268" s="9"/>
      <c r="S2268" s="5">
        <v>1</v>
      </c>
      <c r="T22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табеле]])*S2268,0)</f>
        <v>5333.333333333333</v>
      </c>
      <c r="U2268" s="5">
        <f>IF(Таблица1[[#This Row],[ТТН]]&gt;0,Таблица1[[#This Row],[Ставка за ТТН]]*Таблица1[[#This Row],[ТТН]],0)</f>
        <v>0</v>
      </c>
    </row>
    <row r="2269" spans="1:21" x14ac:dyDescent="0.25">
      <c r="A2269" t="s">
        <v>84</v>
      </c>
      <c r="B2269" s="24">
        <v>12</v>
      </c>
      <c r="C2269" t="s">
        <v>164</v>
      </c>
      <c r="D2269" t="s">
        <v>28</v>
      </c>
      <c r="E2269" t="s">
        <v>215</v>
      </c>
      <c r="F2269" t="s">
        <v>28</v>
      </c>
      <c r="H2269" t="s">
        <v>10</v>
      </c>
      <c r="I2269" t="s">
        <v>219</v>
      </c>
      <c r="J2269">
        <v>16</v>
      </c>
      <c r="N2269">
        <f>Таблица1[[#This Row],[Часов на заказчика  в работе]]+Таблица1[[#This Row],[Часов на заказчика  дежурство]]</f>
        <v>0</v>
      </c>
      <c r="O22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69" s="9">
        <v>110000</v>
      </c>
      <c r="R2269" s="9"/>
      <c r="S2269" s="5">
        <v>1</v>
      </c>
      <c r="T22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табеле]])*S2269,0)</f>
        <v>5333.333333333333</v>
      </c>
      <c r="U2269" s="5">
        <f>IF(Таблица1[[#This Row],[ТТН]]&gt;0,Таблица1[[#This Row],[Ставка за ТТН]]*Таблица1[[#This Row],[ТТН]],0)</f>
        <v>0</v>
      </c>
    </row>
    <row r="2270" spans="1:21" x14ac:dyDescent="0.25">
      <c r="A2270" t="s">
        <v>84</v>
      </c>
      <c r="B2270" s="24">
        <v>13</v>
      </c>
      <c r="C2270" t="s">
        <v>164</v>
      </c>
      <c r="D2270" t="s">
        <v>28</v>
      </c>
      <c r="E2270" t="s">
        <v>215</v>
      </c>
      <c r="F2270" t="s">
        <v>28</v>
      </c>
      <c r="H2270" t="s">
        <v>10</v>
      </c>
      <c r="I2270" t="s">
        <v>219</v>
      </c>
      <c r="J2270">
        <v>16</v>
      </c>
      <c r="N2270">
        <f>Таблица1[[#This Row],[Часов на заказчика  в работе]]+Таблица1[[#This Row],[Часов на заказчика  дежурство]]</f>
        <v>0</v>
      </c>
      <c r="O22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0" s="9">
        <v>110000</v>
      </c>
      <c r="R2270" s="9"/>
      <c r="S2270" s="5">
        <v>1</v>
      </c>
      <c r="T22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табеле]])*S2270,0)</f>
        <v>5333.333333333333</v>
      </c>
      <c r="U2270" s="5">
        <f>IF(Таблица1[[#This Row],[ТТН]]&gt;0,Таблица1[[#This Row],[Ставка за ТТН]]*Таблица1[[#This Row],[ТТН]],0)</f>
        <v>0</v>
      </c>
    </row>
    <row r="2271" spans="1:21" x14ac:dyDescent="0.25">
      <c r="A2271" t="s">
        <v>84</v>
      </c>
      <c r="B2271" s="24">
        <v>14</v>
      </c>
      <c r="C2271" t="s">
        <v>164</v>
      </c>
      <c r="D2271" t="s">
        <v>28</v>
      </c>
      <c r="E2271" t="s">
        <v>215</v>
      </c>
      <c r="F2271" t="s">
        <v>28</v>
      </c>
      <c r="H2271" t="s">
        <v>10</v>
      </c>
      <c r="I2271" t="s">
        <v>219</v>
      </c>
      <c r="J2271">
        <v>16</v>
      </c>
      <c r="N2271">
        <f>Таблица1[[#This Row],[Часов на заказчика  в работе]]+Таблица1[[#This Row],[Часов на заказчика  дежурство]]</f>
        <v>0</v>
      </c>
      <c r="O22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1" s="9">
        <v>110000</v>
      </c>
      <c r="R2271" s="9"/>
      <c r="S2271" s="5">
        <v>1</v>
      </c>
      <c r="T22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табеле]])*S2271,0)</f>
        <v>5333.333333333333</v>
      </c>
      <c r="U2271" s="5">
        <f>IF(Таблица1[[#This Row],[ТТН]]&gt;0,Таблица1[[#This Row],[Ставка за ТТН]]*Таблица1[[#This Row],[ТТН]],0)</f>
        <v>0</v>
      </c>
    </row>
    <row r="2272" spans="1:21" x14ac:dyDescent="0.25">
      <c r="A2272" t="s">
        <v>84</v>
      </c>
      <c r="B2272" s="24">
        <v>15</v>
      </c>
      <c r="C2272" t="s">
        <v>164</v>
      </c>
      <c r="D2272" t="s">
        <v>28</v>
      </c>
      <c r="E2272" t="s">
        <v>215</v>
      </c>
      <c r="F2272" t="s">
        <v>28</v>
      </c>
      <c r="H2272" t="s">
        <v>10</v>
      </c>
      <c r="I2272" t="s">
        <v>219</v>
      </c>
      <c r="J2272">
        <v>16</v>
      </c>
      <c r="N2272">
        <f>Таблица1[[#This Row],[Часов на заказчика  в работе]]+Таблица1[[#This Row],[Часов на заказчика  дежурство]]</f>
        <v>0</v>
      </c>
      <c r="O22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2" s="9">
        <v>110000</v>
      </c>
      <c r="R2272" s="9"/>
      <c r="S2272" s="5">
        <v>1</v>
      </c>
      <c r="T22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табеле]])*S2272,0)</f>
        <v>5333.333333333333</v>
      </c>
      <c r="U2272" s="5">
        <f>IF(Таблица1[[#This Row],[ТТН]]&gt;0,Таблица1[[#This Row],[Ставка за ТТН]]*Таблица1[[#This Row],[ТТН]],0)</f>
        <v>0</v>
      </c>
    </row>
    <row r="2273" spans="1:21" x14ac:dyDescent="0.25">
      <c r="A2273" t="s">
        <v>84</v>
      </c>
      <c r="B2273" s="24">
        <v>16</v>
      </c>
      <c r="C2273" t="s">
        <v>164</v>
      </c>
      <c r="D2273" t="s">
        <v>28</v>
      </c>
      <c r="E2273" t="s">
        <v>215</v>
      </c>
      <c r="F2273" t="s">
        <v>28</v>
      </c>
      <c r="H2273" t="s">
        <v>10</v>
      </c>
      <c r="I2273" t="s">
        <v>219</v>
      </c>
      <c r="J2273">
        <v>16</v>
      </c>
      <c r="N2273">
        <f>Таблица1[[#This Row],[Часов на заказчика  в работе]]+Таблица1[[#This Row],[Часов на заказчика  дежурство]]</f>
        <v>0</v>
      </c>
      <c r="O22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3" s="9">
        <v>110000</v>
      </c>
      <c r="R2273" s="9"/>
      <c r="S2273" s="5">
        <v>1</v>
      </c>
      <c r="T22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табеле]])*S2273,0)</f>
        <v>5333.333333333333</v>
      </c>
      <c r="U2273" s="5">
        <f>IF(Таблица1[[#This Row],[ТТН]]&gt;0,Таблица1[[#This Row],[Ставка за ТТН]]*Таблица1[[#This Row],[ТТН]],0)</f>
        <v>0</v>
      </c>
    </row>
    <row r="2274" spans="1:21" x14ac:dyDescent="0.25">
      <c r="A2274" t="s">
        <v>84</v>
      </c>
      <c r="B2274" s="24">
        <v>17</v>
      </c>
      <c r="C2274" t="s">
        <v>164</v>
      </c>
      <c r="D2274" t="s">
        <v>28</v>
      </c>
      <c r="E2274" t="s">
        <v>215</v>
      </c>
      <c r="F2274" t="s">
        <v>28</v>
      </c>
      <c r="H2274" t="s">
        <v>10</v>
      </c>
      <c r="I2274" t="s">
        <v>219</v>
      </c>
      <c r="J2274">
        <v>16</v>
      </c>
      <c r="N2274">
        <f>Таблица1[[#This Row],[Часов на заказчика  в работе]]+Таблица1[[#This Row],[Часов на заказчика  дежурство]]</f>
        <v>0</v>
      </c>
      <c r="O22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4" s="9">
        <v>110000</v>
      </c>
      <c r="R2274" s="9"/>
      <c r="S2274" s="5">
        <v>1</v>
      </c>
      <c r="T22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табеле]])*S2274,0)</f>
        <v>5333.333333333333</v>
      </c>
      <c r="U2274" s="5">
        <f>IF(Таблица1[[#This Row],[ТТН]]&gt;0,Таблица1[[#This Row],[Ставка за ТТН]]*Таблица1[[#This Row],[ТТН]],0)</f>
        <v>0</v>
      </c>
    </row>
    <row r="2275" spans="1:21" x14ac:dyDescent="0.25">
      <c r="A2275" t="s">
        <v>84</v>
      </c>
      <c r="B2275" s="24">
        <v>18</v>
      </c>
      <c r="C2275" t="s">
        <v>164</v>
      </c>
      <c r="D2275" t="s">
        <v>28</v>
      </c>
      <c r="E2275" t="s">
        <v>215</v>
      </c>
      <c r="F2275" t="s">
        <v>28</v>
      </c>
      <c r="H2275" t="s">
        <v>10</v>
      </c>
      <c r="I2275" t="s">
        <v>219</v>
      </c>
      <c r="J2275">
        <v>16</v>
      </c>
      <c r="N2275">
        <f>Таблица1[[#This Row],[Часов на заказчика  в работе]]+Таблица1[[#This Row],[Часов на заказчика  дежурство]]</f>
        <v>0</v>
      </c>
      <c r="O22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5" s="9">
        <v>110000</v>
      </c>
      <c r="R2275" s="9"/>
      <c r="S2275" s="5">
        <v>1</v>
      </c>
      <c r="T22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табеле]])*S2275,0)</f>
        <v>5333.333333333333</v>
      </c>
      <c r="U2275" s="5">
        <f>IF(Таблица1[[#This Row],[ТТН]]&gt;0,Таблица1[[#This Row],[Ставка за ТТН]]*Таблица1[[#This Row],[ТТН]],0)</f>
        <v>0</v>
      </c>
    </row>
    <row r="2276" spans="1:21" x14ac:dyDescent="0.25">
      <c r="A2276" t="s">
        <v>84</v>
      </c>
      <c r="B2276" s="24">
        <v>19</v>
      </c>
      <c r="C2276" t="s">
        <v>164</v>
      </c>
      <c r="D2276" t="s">
        <v>28</v>
      </c>
      <c r="E2276" t="s">
        <v>215</v>
      </c>
      <c r="F2276" t="s">
        <v>28</v>
      </c>
      <c r="H2276" t="s">
        <v>10</v>
      </c>
      <c r="I2276" t="s">
        <v>219</v>
      </c>
      <c r="J2276">
        <v>16</v>
      </c>
      <c r="N2276">
        <f>Таблица1[[#This Row],[Часов на заказчика  в работе]]+Таблица1[[#This Row],[Часов на заказчика  дежурство]]</f>
        <v>0</v>
      </c>
      <c r="O22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6" s="9">
        <v>110000</v>
      </c>
      <c r="R2276" s="9"/>
      <c r="S2276" s="5">
        <v>1</v>
      </c>
      <c r="T22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табеле]])*S2276,0)</f>
        <v>5333.333333333333</v>
      </c>
      <c r="U2276" s="5">
        <f>IF(Таблица1[[#This Row],[ТТН]]&gt;0,Таблица1[[#This Row],[Ставка за ТТН]]*Таблица1[[#This Row],[ТТН]],0)</f>
        <v>0</v>
      </c>
    </row>
    <row r="2277" spans="1:21" x14ac:dyDescent="0.25">
      <c r="A2277" t="s">
        <v>84</v>
      </c>
      <c r="B2277" s="24">
        <v>20</v>
      </c>
      <c r="C2277" t="s">
        <v>164</v>
      </c>
      <c r="D2277" t="s">
        <v>28</v>
      </c>
      <c r="E2277" t="s">
        <v>215</v>
      </c>
      <c r="F2277" t="s">
        <v>28</v>
      </c>
      <c r="H2277" t="s">
        <v>10</v>
      </c>
      <c r="I2277" t="s">
        <v>219</v>
      </c>
      <c r="J2277">
        <v>16</v>
      </c>
      <c r="N2277">
        <f>Таблица1[[#This Row],[Часов на заказчика  в работе]]+Таблица1[[#This Row],[Часов на заказчика  дежурство]]</f>
        <v>0</v>
      </c>
      <c r="O22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7" s="9">
        <v>110000</v>
      </c>
      <c r="R2277" s="9"/>
      <c r="S2277" s="5">
        <v>1</v>
      </c>
      <c r="T22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табеле]])*S2277,0)</f>
        <v>5333.333333333333</v>
      </c>
      <c r="U2277" s="5">
        <f>IF(Таблица1[[#This Row],[ТТН]]&gt;0,Таблица1[[#This Row],[Ставка за ТТН]]*Таблица1[[#This Row],[ТТН]],0)</f>
        <v>0</v>
      </c>
    </row>
    <row r="2278" spans="1:21" x14ac:dyDescent="0.25">
      <c r="A2278" t="s">
        <v>84</v>
      </c>
      <c r="B2278" s="24">
        <v>21</v>
      </c>
      <c r="C2278" t="s">
        <v>164</v>
      </c>
      <c r="D2278" t="s">
        <v>28</v>
      </c>
      <c r="E2278" t="s">
        <v>215</v>
      </c>
      <c r="F2278" t="s">
        <v>28</v>
      </c>
      <c r="H2278" t="s">
        <v>10</v>
      </c>
      <c r="I2278" t="s">
        <v>219</v>
      </c>
      <c r="J2278">
        <v>16</v>
      </c>
      <c r="N2278">
        <f>Таблица1[[#This Row],[Часов на заказчика  в работе]]+Таблица1[[#This Row],[Часов на заказчика  дежурство]]</f>
        <v>0</v>
      </c>
      <c r="O22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8" s="9">
        <v>110000</v>
      </c>
      <c r="R2278" s="9"/>
      <c r="S2278" s="5">
        <v>1</v>
      </c>
      <c r="T22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табеле]])*S2278,0)</f>
        <v>5333.333333333333</v>
      </c>
      <c r="U2278" s="5">
        <f>IF(Таблица1[[#This Row],[ТТН]]&gt;0,Таблица1[[#This Row],[Ставка за ТТН]]*Таблица1[[#This Row],[ТТН]],0)</f>
        <v>0</v>
      </c>
    </row>
    <row r="2279" spans="1:21" x14ac:dyDescent="0.25">
      <c r="A2279" t="s">
        <v>84</v>
      </c>
      <c r="B2279" s="24">
        <v>22</v>
      </c>
      <c r="C2279" t="s">
        <v>164</v>
      </c>
      <c r="D2279" t="s">
        <v>28</v>
      </c>
      <c r="E2279" t="s">
        <v>215</v>
      </c>
      <c r="F2279" t="s">
        <v>28</v>
      </c>
      <c r="H2279" t="s">
        <v>10</v>
      </c>
      <c r="I2279" t="s">
        <v>219</v>
      </c>
      <c r="J2279">
        <v>16</v>
      </c>
      <c r="N2279">
        <f>Таблица1[[#This Row],[Часов на заказчика  в работе]]+Таблица1[[#This Row],[Часов на заказчика  дежурство]]</f>
        <v>0</v>
      </c>
      <c r="O22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79" s="9">
        <v>110000</v>
      </c>
      <c r="R2279" s="9"/>
      <c r="S2279" s="5">
        <v>1</v>
      </c>
      <c r="T22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табеле]])*S2279,0)</f>
        <v>5333.333333333333</v>
      </c>
      <c r="U2279" s="5">
        <f>IF(Таблица1[[#This Row],[ТТН]]&gt;0,Таблица1[[#This Row],[Ставка за ТТН]]*Таблица1[[#This Row],[ТТН]],0)</f>
        <v>0</v>
      </c>
    </row>
    <row r="2280" spans="1:21" x14ac:dyDescent="0.25">
      <c r="A2280" t="s">
        <v>84</v>
      </c>
      <c r="B2280" s="24">
        <v>23</v>
      </c>
      <c r="C2280" t="s">
        <v>164</v>
      </c>
      <c r="D2280" t="s">
        <v>28</v>
      </c>
      <c r="E2280" t="s">
        <v>215</v>
      </c>
      <c r="F2280" t="s">
        <v>28</v>
      </c>
      <c r="H2280" t="s">
        <v>10</v>
      </c>
      <c r="I2280" t="s">
        <v>219</v>
      </c>
      <c r="J2280">
        <v>16</v>
      </c>
      <c r="N2280">
        <f>Таблица1[[#This Row],[Часов на заказчика  в работе]]+Таблица1[[#This Row],[Часов на заказчика  дежурство]]</f>
        <v>0</v>
      </c>
      <c r="O22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0" s="9">
        <v>110000</v>
      </c>
      <c r="R2280" s="9"/>
      <c r="S2280" s="5">
        <v>1</v>
      </c>
      <c r="T22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табеле]])*S2280,0)</f>
        <v>5333.333333333333</v>
      </c>
      <c r="U2280" s="5">
        <f>IF(Таблица1[[#This Row],[ТТН]]&gt;0,Таблица1[[#This Row],[Ставка за ТТН]]*Таблица1[[#This Row],[ТТН]],0)</f>
        <v>0</v>
      </c>
    </row>
    <row r="2281" spans="1:21" x14ac:dyDescent="0.25">
      <c r="A2281" t="s">
        <v>84</v>
      </c>
      <c r="B2281" s="24">
        <v>24</v>
      </c>
      <c r="C2281" t="s">
        <v>164</v>
      </c>
      <c r="D2281" t="s">
        <v>28</v>
      </c>
      <c r="E2281" t="s">
        <v>215</v>
      </c>
      <c r="F2281" t="s">
        <v>28</v>
      </c>
      <c r="H2281" t="s">
        <v>10</v>
      </c>
      <c r="I2281" t="s">
        <v>219</v>
      </c>
      <c r="J2281">
        <v>16</v>
      </c>
      <c r="N2281">
        <f>Таблица1[[#This Row],[Часов на заказчика  в работе]]+Таблица1[[#This Row],[Часов на заказчика  дежурство]]</f>
        <v>0</v>
      </c>
      <c r="O22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1" s="9">
        <v>110000</v>
      </c>
      <c r="R2281" s="9"/>
      <c r="S2281" s="5">
        <v>1</v>
      </c>
      <c r="T22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табеле]])*S2281,0)</f>
        <v>5333.333333333333</v>
      </c>
      <c r="U2281" s="5">
        <f>IF(Таблица1[[#This Row],[ТТН]]&gt;0,Таблица1[[#This Row],[Ставка за ТТН]]*Таблица1[[#This Row],[ТТН]],0)</f>
        <v>0</v>
      </c>
    </row>
    <row r="2282" spans="1:21" x14ac:dyDescent="0.25">
      <c r="A2282" t="s">
        <v>84</v>
      </c>
      <c r="B2282" s="24">
        <v>25</v>
      </c>
      <c r="C2282" t="s">
        <v>164</v>
      </c>
      <c r="D2282" t="s">
        <v>28</v>
      </c>
      <c r="E2282" t="s">
        <v>215</v>
      </c>
      <c r="F2282" t="s">
        <v>28</v>
      </c>
      <c r="H2282" t="s">
        <v>10</v>
      </c>
      <c r="I2282" t="s">
        <v>219</v>
      </c>
      <c r="J2282">
        <v>16</v>
      </c>
      <c r="N2282">
        <f>Таблица1[[#This Row],[Часов на заказчика  в работе]]+Таблица1[[#This Row],[Часов на заказчика  дежурство]]</f>
        <v>0</v>
      </c>
      <c r="O22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2" s="9">
        <v>110000</v>
      </c>
      <c r="R2282" s="9"/>
      <c r="S2282" s="5">
        <v>1</v>
      </c>
      <c r="T22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табеле]])*S2282,0)</f>
        <v>5333.333333333333</v>
      </c>
      <c r="U2282" s="5">
        <f>IF(Таблица1[[#This Row],[ТТН]]&gt;0,Таблица1[[#This Row],[Ставка за ТТН]]*Таблица1[[#This Row],[ТТН]],0)</f>
        <v>0</v>
      </c>
    </row>
    <row r="2283" spans="1:21" x14ac:dyDescent="0.25">
      <c r="A2283" t="s">
        <v>84</v>
      </c>
      <c r="B2283" s="24">
        <v>26</v>
      </c>
      <c r="C2283" t="s">
        <v>164</v>
      </c>
      <c r="D2283" t="s">
        <v>28</v>
      </c>
      <c r="E2283" t="s">
        <v>215</v>
      </c>
      <c r="F2283" t="s">
        <v>28</v>
      </c>
      <c r="H2283" t="s">
        <v>10</v>
      </c>
      <c r="I2283" t="s">
        <v>219</v>
      </c>
      <c r="J2283">
        <v>16</v>
      </c>
      <c r="N2283">
        <f>Таблица1[[#This Row],[Часов на заказчика  в работе]]+Таблица1[[#This Row],[Часов на заказчика  дежурство]]</f>
        <v>0</v>
      </c>
      <c r="O22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3" s="9">
        <v>110000</v>
      </c>
      <c r="R2283" s="9"/>
      <c r="S2283" s="5">
        <v>1</v>
      </c>
      <c r="T22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табеле]])*S2283,0)</f>
        <v>5333.333333333333</v>
      </c>
      <c r="U2283" s="5">
        <f>IF(Таблица1[[#This Row],[ТТН]]&gt;0,Таблица1[[#This Row],[Ставка за ТТН]]*Таблица1[[#This Row],[ТТН]],0)</f>
        <v>0</v>
      </c>
    </row>
    <row r="2284" spans="1:21" x14ac:dyDescent="0.25">
      <c r="A2284" t="s">
        <v>84</v>
      </c>
      <c r="B2284" s="24">
        <v>27</v>
      </c>
      <c r="C2284" t="s">
        <v>164</v>
      </c>
      <c r="D2284" t="s">
        <v>28</v>
      </c>
      <c r="E2284" t="s">
        <v>215</v>
      </c>
      <c r="F2284" t="s">
        <v>28</v>
      </c>
      <c r="H2284" t="s">
        <v>10</v>
      </c>
      <c r="I2284" t="s">
        <v>219</v>
      </c>
      <c r="J2284">
        <v>16</v>
      </c>
      <c r="N2284">
        <f>Таблица1[[#This Row],[Часов на заказчика  в работе]]+Таблица1[[#This Row],[Часов на заказчика  дежурство]]</f>
        <v>0</v>
      </c>
      <c r="O22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4" s="9">
        <v>110000</v>
      </c>
      <c r="R2284" s="9"/>
      <c r="S2284" s="5">
        <v>1</v>
      </c>
      <c r="T22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табеле]])*S2284,0)</f>
        <v>5333.333333333333</v>
      </c>
      <c r="U2284" s="5">
        <f>IF(Таблица1[[#This Row],[ТТН]]&gt;0,Таблица1[[#This Row],[Ставка за ТТН]]*Таблица1[[#This Row],[ТТН]],0)</f>
        <v>0</v>
      </c>
    </row>
    <row r="2285" spans="1:21" x14ac:dyDescent="0.25">
      <c r="A2285" t="s">
        <v>84</v>
      </c>
      <c r="B2285" s="24">
        <v>28</v>
      </c>
      <c r="C2285" t="s">
        <v>164</v>
      </c>
      <c r="D2285" t="s">
        <v>28</v>
      </c>
      <c r="E2285" t="s">
        <v>215</v>
      </c>
      <c r="F2285" t="s">
        <v>28</v>
      </c>
      <c r="H2285" t="s">
        <v>10</v>
      </c>
      <c r="I2285" t="s">
        <v>219</v>
      </c>
      <c r="J2285">
        <v>16</v>
      </c>
      <c r="N2285">
        <f>Таблица1[[#This Row],[Часов на заказчика  в работе]]+Таблица1[[#This Row],[Часов на заказчика  дежурство]]</f>
        <v>0</v>
      </c>
      <c r="O22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5" s="9">
        <v>110000</v>
      </c>
      <c r="R2285" s="9"/>
      <c r="S2285" s="5">
        <v>1</v>
      </c>
      <c r="T22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табеле]])*S2285,0)</f>
        <v>5333.333333333333</v>
      </c>
      <c r="U2285" s="5">
        <f>IF(Таблица1[[#This Row],[ТТН]]&gt;0,Таблица1[[#This Row],[Ставка за ТТН]]*Таблица1[[#This Row],[ТТН]],0)</f>
        <v>0</v>
      </c>
    </row>
    <row r="2286" spans="1:21" x14ac:dyDescent="0.25">
      <c r="A2286" t="s">
        <v>84</v>
      </c>
      <c r="B2286" s="24">
        <v>29</v>
      </c>
      <c r="C2286" t="s">
        <v>164</v>
      </c>
      <c r="D2286" t="s">
        <v>28</v>
      </c>
      <c r="E2286" t="s">
        <v>215</v>
      </c>
      <c r="F2286" t="s">
        <v>28</v>
      </c>
      <c r="H2286" t="s">
        <v>10</v>
      </c>
      <c r="I2286" t="s">
        <v>219</v>
      </c>
      <c r="J2286">
        <v>16</v>
      </c>
      <c r="N2286">
        <f>Таблица1[[#This Row],[Часов на заказчика  в работе]]+Таблица1[[#This Row],[Часов на заказчика  дежурство]]</f>
        <v>0</v>
      </c>
      <c r="O22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6" s="9">
        <v>110000</v>
      </c>
      <c r="R2286" s="9"/>
      <c r="S2286" s="5">
        <v>1</v>
      </c>
      <c r="T22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табеле]])*S2286,0)</f>
        <v>5333.333333333333</v>
      </c>
      <c r="U2286" s="5">
        <f>IF(Таблица1[[#This Row],[ТТН]]&gt;0,Таблица1[[#This Row],[Ставка за ТТН]]*Таблица1[[#This Row],[ТТН]],0)</f>
        <v>0</v>
      </c>
    </row>
    <row r="2287" spans="1:21" x14ac:dyDescent="0.25">
      <c r="A2287" t="s">
        <v>84</v>
      </c>
      <c r="B2287" s="24">
        <v>30</v>
      </c>
      <c r="C2287" t="s">
        <v>165</v>
      </c>
      <c r="D2287" t="s">
        <v>28</v>
      </c>
      <c r="E2287" t="s">
        <v>215</v>
      </c>
      <c r="F2287" t="s">
        <v>28</v>
      </c>
      <c r="H2287" t="s">
        <v>10</v>
      </c>
      <c r="I2287" t="s">
        <v>219</v>
      </c>
      <c r="J2287">
        <v>16</v>
      </c>
      <c r="N2287">
        <f>Таблица1[[#This Row],[Часов на заказчика  в работе]]+Таблица1[[#This Row],[Часов на заказчика  дежурство]]</f>
        <v>0</v>
      </c>
      <c r="O22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7" s="9">
        <v>110000</v>
      </c>
      <c r="R2287" s="9"/>
      <c r="S2287" s="5">
        <v>1</v>
      </c>
      <c r="T22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табеле]])*S2287,0)</f>
        <v>5333.333333333333</v>
      </c>
      <c r="U2287" s="5">
        <f>IF(Таблица1[[#This Row],[ТТН]]&gt;0,Таблица1[[#This Row],[Ставка за ТТН]]*Таблица1[[#This Row],[ТТН]],0)</f>
        <v>0</v>
      </c>
    </row>
    <row r="2288" spans="1:21" x14ac:dyDescent="0.25">
      <c r="A2288" t="s">
        <v>84</v>
      </c>
      <c r="B2288" s="24">
        <v>1</v>
      </c>
      <c r="C2288" t="s">
        <v>165</v>
      </c>
      <c r="D2288" t="s">
        <v>94</v>
      </c>
      <c r="E2288" t="s">
        <v>215</v>
      </c>
      <c r="F2288" t="s">
        <v>94</v>
      </c>
      <c r="I2288" t="s">
        <v>218</v>
      </c>
      <c r="N2288">
        <f>Таблица1[[#This Row],[Часов на заказчика  в работе]]+Таблица1[[#This Row],[Часов на заказчика  дежурство]]</f>
        <v>0</v>
      </c>
      <c r="O22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8" s="9"/>
      <c r="R2288" s="9"/>
      <c r="S2288" s="5"/>
      <c r="T22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табеле]])*S2288,0)</f>
        <v>0</v>
      </c>
      <c r="U2288" s="5">
        <f>IF(Таблица1[[#This Row],[ТТН]]&gt;0,Таблица1[[#This Row],[Ставка за ТТН]]*Таблица1[[#This Row],[ТТН]],0)</f>
        <v>0</v>
      </c>
    </row>
    <row r="2289" spans="1:21" x14ac:dyDescent="0.25">
      <c r="A2289" t="s">
        <v>84</v>
      </c>
      <c r="B2289" s="24">
        <v>2</v>
      </c>
      <c r="C2289" t="s">
        <v>165</v>
      </c>
      <c r="D2289" t="s">
        <v>94</v>
      </c>
      <c r="E2289" t="s">
        <v>215</v>
      </c>
      <c r="F2289" t="s">
        <v>94</v>
      </c>
      <c r="I2289" t="s">
        <v>218</v>
      </c>
      <c r="N2289">
        <f>Таблица1[[#This Row],[Часов на заказчика  в работе]]+Таблица1[[#This Row],[Часов на заказчика  дежурство]]</f>
        <v>0</v>
      </c>
      <c r="O22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89" s="9"/>
      <c r="R2289" s="9"/>
      <c r="S2289" s="5"/>
      <c r="T22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табеле]])*S2289,0)</f>
        <v>0</v>
      </c>
      <c r="U2289" s="5">
        <f>IF(Таблица1[[#This Row],[ТТН]]&gt;0,Таблица1[[#This Row],[Ставка за ТТН]]*Таблица1[[#This Row],[ТТН]],0)</f>
        <v>0</v>
      </c>
    </row>
    <row r="2290" spans="1:21" x14ac:dyDescent="0.25">
      <c r="A2290" t="s">
        <v>84</v>
      </c>
      <c r="B2290" s="24">
        <v>3</v>
      </c>
      <c r="C2290" t="s">
        <v>165</v>
      </c>
      <c r="D2290" t="s">
        <v>94</v>
      </c>
      <c r="E2290" t="s">
        <v>215</v>
      </c>
      <c r="F2290" t="s">
        <v>94</v>
      </c>
      <c r="I2290" t="s">
        <v>218</v>
      </c>
      <c r="N2290">
        <f>Таблица1[[#This Row],[Часов на заказчика  в работе]]+Таблица1[[#This Row],[Часов на заказчика  дежурство]]</f>
        <v>0</v>
      </c>
      <c r="O22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0" s="9"/>
      <c r="R2290" s="9"/>
      <c r="S2290" s="5"/>
      <c r="T22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табеле]])*S2290,0)</f>
        <v>0</v>
      </c>
      <c r="U2290" s="5">
        <f>IF(Таблица1[[#This Row],[ТТН]]&gt;0,Таблица1[[#This Row],[Ставка за ТТН]]*Таблица1[[#This Row],[ТТН]],0)</f>
        <v>0</v>
      </c>
    </row>
    <row r="2291" spans="1:21" x14ac:dyDescent="0.25">
      <c r="A2291" t="s">
        <v>84</v>
      </c>
      <c r="B2291" s="24">
        <v>4</v>
      </c>
      <c r="C2291" t="s">
        <v>165</v>
      </c>
      <c r="D2291" t="s">
        <v>94</v>
      </c>
      <c r="E2291" t="s">
        <v>215</v>
      </c>
      <c r="F2291" t="s">
        <v>94</v>
      </c>
      <c r="I2291" t="s">
        <v>218</v>
      </c>
      <c r="N2291">
        <f>Таблица1[[#This Row],[Часов на заказчика  в работе]]+Таблица1[[#This Row],[Часов на заказчика  дежурство]]</f>
        <v>0</v>
      </c>
      <c r="O22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1" s="9"/>
      <c r="R2291" s="9"/>
      <c r="S2291" s="5"/>
      <c r="T22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табеле]])*S2291,0)</f>
        <v>0</v>
      </c>
      <c r="U2291" s="5">
        <f>IF(Таблица1[[#This Row],[ТТН]]&gt;0,Таблица1[[#This Row],[Ставка за ТТН]]*Таблица1[[#This Row],[ТТН]],0)</f>
        <v>0</v>
      </c>
    </row>
    <row r="2292" spans="1:21" x14ac:dyDescent="0.25">
      <c r="A2292" t="s">
        <v>84</v>
      </c>
      <c r="B2292" s="24">
        <v>5</v>
      </c>
      <c r="C2292" t="s">
        <v>165</v>
      </c>
      <c r="D2292" t="s">
        <v>94</v>
      </c>
      <c r="E2292" t="s">
        <v>215</v>
      </c>
      <c r="F2292" t="s">
        <v>94</v>
      </c>
      <c r="I2292" t="s">
        <v>218</v>
      </c>
      <c r="N2292">
        <f>Таблица1[[#This Row],[Часов на заказчика  в работе]]+Таблица1[[#This Row],[Часов на заказчика  дежурство]]</f>
        <v>0</v>
      </c>
      <c r="O22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2" s="9"/>
      <c r="R2292" s="9"/>
      <c r="S2292" s="5"/>
      <c r="T22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табеле]])*S2292,0)</f>
        <v>0</v>
      </c>
      <c r="U2292" s="5">
        <f>IF(Таблица1[[#This Row],[ТТН]]&gt;0,Таблица1[[#This Row],[Ставка за ТТН]]*Таблица1[[#This Row],[ТТН]],0)</f>
        <v>0</v>
      </c>
    </row>
    <row r="2293" spans="1:21" x14ac:dyDescent="0.25">
      <c r="A2293" t="s">
        <v>84</v>
      </c>
      <c r="B2293" s="24">
        <v>6</v>
      </c>
      <c r="C2293" t="s">
        <v>165</v>
      </c>
      <c r="D2293" t="s">
        <v>94</v>
      </c>
      <c r="E2293" t="s">
        <v>215</v>
      </c>
      <c r="F2293" t="s">
        <v>94</v>
      </c>
      <c r="I2293" t="s">
        <v>218</v>
      </c>
      <c r="N2293">
        <f>Таблица1[[#This Row],[Часов на заказчика  в работе]]+Таблица1[[#This Row],[Часов на заказчика  дежурство]]</f>
        <v>0</v>
      </c>
      <c r="O22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3" s="9"/>
      <c r="R2293" s="9"/>
      <c r="S2293" s="5"/>
      <c r="T22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табеле]])*S2293,0)</f>
        <v>0</v>
      </c>
      <c r="U2293" s="5">
        <f>IF(Таблица1[[#This Row],[ТТН]]&gt;0,Таблица1[[#This Row],[Ставка за ТТН]]*Таблица1[[#This Row],[ТТН]],0)</f>
        <v>0</v>
      </c>
    </row>
    <row r="2294" spans="1:21" x14ac:dyDescent="0.25">
      <c r="A2294" t="s">
        <v>84</v>
      </c>
      <c r="B2294" s="24">
        <v>7</v>
      </c>
      <c r="C2294" t="s">
        <v>165</v>
      </c>
      <c r="D2294" t="s">
        <v>94</v>
      </c>
      <c r="E2294" t="s">
        <v>215</v>
      </c>
      <c r="F2294" t="s">
        <v>94</v>
      </c>
      <c r="I2294" t="s">
        <v>218</v>
      </c>
      <c r="N2294">
        <f>Таблица1[[#This Row],[Часов на заказчика  в работе]]+Таблица1[[#This Row],[Часов на заказчика  дежурство]]</f>
        <v>0</v>
      </c>
      <c r="O22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4" s="9"/>
      <c r="R2294" s="9"/>
      <c r="S2294" s="5"/>
      <c r="T22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табеле]])*S2294,0)</f>
        <v>0</v>
      </c>
      <c r="U2294" s="5">
        <f>IF(Таблица1[[#This Row],[ТТН]]&gt;0,Таблица1[[#This Row],[Ставка за ТТН]]*Таблица1[[#This Row],[ТТН]],0)</f>
        <v>0</v>
      </c>
    </row>
    <row r="2295" spans="1:21" x14ac:dyDescent="0.25">
      <c r="A2295" t="s">
        <v>84</v>
      </c>
      <c r="B2295" s="24">
        <v>8</v>
      </c>
      <c r="C2295" t="s">
        <v>165</v>
      </c>
      <c r="D2295" t="s">
        <v>94</v>
      </c>
      <c r="E2295" t="s">
        <v>215</v>
      </c>
      <c r="F2295" t="s">
        <v>94</v>
      </c>
      <c r="I2295" t="s">
        <v>218</v>
      </c>
      <c r="N2295">
        <f>Таблица1[[#This Row],[Часов на заказчика  в работе]]+Таблица1[[#This Row],[Часов на заказчика  дежурство]]</f>
        <v>0</v>
      </c>
      <c r="O22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5" s="9"/>
      <c r="R2295" s="9"/>
      <c r="S2295" s="5"/>
      <c r="T22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табеле]])*S2295,0)</f>
        <v>0</v>
      </c>
      <c r="U2295" s="5">
        <f>IF(Таблица1[[#This Row],[ТТН]]&gt;0,Таблица1[[#This Row],[Ставка за ТТН]]*Таблица1[[#This Row],[ТТН]],0)</f>
        <v>0</v>
      </c>
    </row>
    <row r="2296" spans="1:21" x14ac:dyDescent="0.25">
      <c r="A2296" t="s">
        <v>84</v>
      </c>
      <c r="B2296" s="24">
        <v>9</v>
      </c>
      <c r="C2296" t="s">
        <v>165</v>
      </c>
      <c r="D2296" t="s">
        <v>94</v>
      </c>
      <c r="E2296" t="s">
        <v>215</v>
      </c>
      <c r="F2296" t="s">
        <v>94</v>
      </c>
      <c r="I2296" t="s">
        <v>218</v>
      </c>
      <c r="N2296">
        <f>Таблица1[[#This Row],[Часов на заказчика  в работе]]+Таблица1[[#This Row],[Часов на заказчика  дежурство]]</f>
        <v>0</v>
      </c>
      <c r="O22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6" s="9"/>
      <c r="R2296" s="9"/>
      <c r="S2296" s="5"/>
      <c r="T22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табеле]])*S2296,0)</f>
        <v>0</v>
      </c>
      <c r="U2296" s="5">
        <f>IF(Таблица1[[#This Row],[ТТН]]&gt;0,Таблица1[[#This Row],[Ставка за ТТН]]*Таблица1[[#This Row],[ТТН]],0)</f>
        <v>0</v>
      </c>
    </row>
    <row r="2297" spans="1:21" x14ac:dyDescent="0.25">
      <c r="A2297" t="s">
        <v>84</v>
      </c>
      <c r="B2297" s="24">
        <v>10</v>
      </c>
      <c r="C2297" t="s">
        <v>165</v>
      </c>
      <c r="D2297" t="s">
        <v>94</v>
      </c>
      <c r="E2297" t="s">
        <v>215</v>
      </c>
      <c r="F2297" t="s">
        <v>94</v>
      </c>
      <c r="I2297" t="s">
        <v>218</v>
      </c>
      <c r="N2297">
        <f>Таблица1[[#This Row],[Часов на заказчика  в работе]]+Таблица1[[#This Row],[Часов на заказчика  дежурство]]</f>
        <v>0</v>
      </c>
      <c r="O22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7" s="9"/>
      <c r="R2297" s="9"/>
      <c r="S2297" s="5"/>
      <c r="T22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табеле]])*S2297,0)</f>
        <v>0</v>
      </c>
      <c r="U2297" s="5">
        <f>IF(Таблица1[[#This Row],[ТТН]]&gt;0,Таблица1[[#This Row],[Ставка за ТТН]]*Таблица1[[#This Row],[ТТН]],0)</f>
        <v>0</v>
      </c>
    </row>
    <row r="2298" spans="1:21" x14ac:dyDescent="0.25">
      <c r="A2298" t="s">
        <v>84</v>
      </c>
      <c r="B2298" s="24">
        <v>11</v>
      </c>
      <c r="C2298" t="s">
        <v>165</v>
      </c>
      <c r="D2298" t="s">
        <v>94</v>
      </c>
      <c r="E2298" t="s">
        <v>215</v>
      </c>
      <c r="F2298" t="s">
        <v>94</v>
      </c>
      <c r="I2298" t="s">
        <v>218</v>
      </c>
      <c r="N2298">
        <f>Таблица1[[#This Row],[Часов на заказчика  в работе]]+Таблица1[[#This Row],[Часов на заказчика  дежурство]]</f>
        <v>0</v>
      </c>
      <c r="O22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8" s="9"/>
      <c r="R2298" s="9"/>
      <c r="S2298" s="5"/>
      <c r="T22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табеле]])*S2298,0)</f>
        <v>0</v>
      </c>
      <c r="U2298" s="5">
        <f>IF(Таблица1[[#This Row],[ТТН]]&gt;0,Таблица1[[#This Row],[Ставка за ТТН]]*Таблица1[[#This Row],[ТТН]],0)</f>
        <v>0</v>
      </c>
    </row>
    <row r="2299" spans="1:21" x14ac:dyDescent="0.25">
      <c r="A2299" t="s">
        <v>84</v>
      </c>
      <c r="B2299" s="24">
        <v>12</v>
      </c>
      <c r="C2299" t="s">
        <v>165</v>
      </c>
      <c r="D2299" t="s">
        <v>94</v>
      </c>
      <c r="E2299" t="s">
        <v>215</v>
      </c>
      <c r="F2299" t="s">
        <v>94</v>
      </c>
      <c r="I2299" t="s">
        <v>218</v>
      </c>
      <c r="N2299">
        <f>Таблица1[[#This Row],[Часов на заказчика  в работе]]+Таблица1[[#This Row],[Часов на заказчика  дежурство]]</f>
        <v>0</v>
      </c>
      <c r="O22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299" s="9"/>
      <c r="R2299" s="9"/>
      <c r="S2299" s="5"/>
      <c r="T22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табеле]])*S2299,0)</f>
        <v>0</v>
      </c>
      <c r="U2299" s="5">
        <f>IF(Таблица1[[#This Row],[ТТН]]&gt;0,Таблица1[[#This Row],[Ставка за ТТН]]*Таблица1[[#This Row],[ТТН]],0)</f>
        <v>0</v>
      </c>
    </row>
    <row r="2300" spans="1:21" x14ac:dyDescent="0.25">
      <c r="A2300" t="s">
        <v>84</v>
      </c>
      <c r="B2300" s="24">
        <v>13</v>
      </c>
      <c r="C2300" t="s">
        <v>165</v>
      </c>
      <c r="D2300" t="s">
        <v>94</v>
      </c>
      <c r="E2300" t="s">
        <v>215</v>
      </c>
      <c r="F2300" t="s">
        <v>94</v>
      </c>
      <c r="I2300" t="s">
        <v>218</v>
      </c>
      <c r="N2300">
        <f>Таблица1[[#This Row],[Часов на заказчика  в работе]]+Таблица1[[#This Row],[Часов на заказчика  дежурство]]</f>
        <v>0</v>
      </c>
      <c r="O23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0" s="9"/>
      <c r="R2300" s="9"/>
      <c r="S2300" s="5"/>
      <c r="T23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табеле]])*S2300,0)</f>
        <v>0</v>
      </c>
      <c r="U2300" s="5">
        <f>IF(Таблица1[[#This Row],[ТТН]]&gt;0,Таблица1[[#This Row],[Ставка за ТТН]]*Таблица1[[#This Row],[ТТН]],0)</f>
        <v>0</v>
      </c>
    </row>
    <row r="2301" spans="1:21" x14ac:dyDescent="0.25">
      <c r="A2301" t="s">
        <v>84</v>
      </c>
      <c r="B2301" s="24">
        <v>14</v>
      </c>
      <c r="C2301" t="s">
        <v>165</v>
      </c>
      <c r="D2301" t="s">
        <v>94</v>
      </c>
      <c r="E2301" t="s">
        <v>215</v>
      </c>
      <c r="F2301" t="s">
        <v>94</v>
      </c>
      <c r="I2301" t="s">
        <v>218</v>
      </c>
      <c r="N2301">
        <f>Таблица1[[#This Row],[Часов на заказчика  в работе]]+Таблица1[[#This Row],[Часов на заказчика  дежурство]]</f>
        <v>0</v>
      </c>
      <c r="O23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1" s="9"/>
      <c r="R2301" s="9"/>
      <c r="S2301" s="5"/>
      <c r="T23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табеле]])*S2301,0)</f>
        <v>0</v>
      </c>
      <c r="U2301" s="5">
        <f>IF(Таблица1[[#This Row],[ТТН]]&gt;0,Таблица1[[#This Row],[Ставка за ТТН]]*Таблица1[[#This Row],[ТТН]],0)</f>
        <v>0</v>
      </c>
    </row>
    <row r="2302" spans="1:21" x14ac:dyDescent="0.25">
      <c r="A2302" t="s">
        <v>84</v>
      </c>
      <c r="B2302" s="24">
        <v>15</v>
      </c>
      <c r="C2302" t="s">
        <v>165</v>
      </c>
      <c r="D2302" t="s">
        <v>94</v>
      </c>
      <c r="E2302" t="s">
        <v>215</v>
      </c>
      <c r="F2302" t="s">
        <v>94</v>
      </c>
      <c r="I2302" t="s">
        <v>218</v>
      </c>
      <c r="N2302">
        <f>Таблица1[[#This Row],[Часов на заказчика  в работе]]+Таблица1[[#This Row],[Часов на заказчика  дежурство]]</f>
        <v>0</v>
      </c>
      <c r="O23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2" s="9"/>
      <c r="R2302" s="9"/>
      <c r="S2302" s="5"/>
      <c r="T23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табеле]])*S2302,0)</f>
        <v>0</v>
      </c>
      <c r="U2302" s="5">
        <f>IF(Таблица1[[#This Row],[ТТН]]&gt;0,Таблица1[[#This Row],[Ставка за ТТН]]*Таблица1[[#This Row],[ТТН]],0)</f>
        <v>0</v>
      </c>
    </row>
    <row r="2303" spans="1:21" x14ac:dyDescent="0.25">
      <c r="A2303" t="s">
        <v>84</v>
      </c>
      <c r="B2303" s="24">
        <v>16</v>
      </c>
      <c r="C2303" t="s">
        <v>165</v>
      </c>
      <c r="D2303" t="s">
        <v>94</v>
      </c>
      <c r="E2303" t="s">
        <v>215</v>
      </c>
      <c r="F2303" t="s">
        <v>94</v>
      </c>
      <c r="H2303" t="s">
        <v>24</v>
      </c>
      <c r="I2303" t="s">
        <v>217</v>
      </c>
      <c r="J2303">
        <v>8</v>
      </c>
      <c r="N2303">
        <f>Таблица1[[#This Row],[Часов на заказчика  в работе]]+Таблица1[[#This Row],[Часов на заказчика  дежурство]]</f>
        <v>0</v>
      </c>
      <c r="O23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3" s="9"/>
      <c r="R2303" s="9"/>
      <c r="S2303" s="5"/>
      <c r="T23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табеле]])*S2303,0)</f>
        <v>0</v>
      </c>
      <c r="U2303" s="5">
        <f>IF(Таблица1[[#This Row],[ТТН]]&gt;0,Таблица1[[#This Row],[Ставка за ТТН]]*Таблица1[[#This Row],[ТТН]],0)</f>
        <v>0</v>
      </c>
    </row>
    <row r="2304" spans="1:21" x14ac:dyDescent="0.25">
      <c r="A2304" t="s">
        <v>84</v>
      </c>
      <c r="B2304" s="24">
        <v>17</v>
      </c>
      <c r="C2304" t="s">
        <v>165</v>
      </c>
      <c r="D2304" t="s">
        <v>94</v>
      </c>
      <c r="E2304" t="s">
        <v>215</v>
      </c>
      <c r="F2304" t="s">
        <v>94</v>
      </c>
      <c r="H2304" t="s">
        <v>24</v>
      </c>
      <c r="I2304" t="s">
        <v>217</v>
      </c>
      <c r="J2304">
        <v>8</v>
      </c>
      <c r="N2304">
        <f>Таблица1[[#This Row],[Часов на заказчика  в работе]]+Таблица1[[#This Row],[Часов на заказчика  дежурство]]</f>
        <v>0</v>
      </c>
      <c r="O23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4" s="9"/>
      <c r="R2304" s="9"/>
      <c r="S2304" s="5"/>
      <c r="T23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табеле]])*S2304,0)</f>
        <v>0</v>
      </c>
      <c r="U2304" s="5">
        <f>IF(Таблица1[[#This Row],[ТТН]]&gt;0,Таблица1[[#This Row],[Ставка за ТТН]]*Таблица1[[#This Row],[ТТН]],0)</f>
        <v>0</v>
      </c>
    </row>
    <row r="2305" spans="1:21" x14ac:dyDescent="0.25">
      <c r="A2305" t="s">
        <v>84</v>
      </c>
      <c r="B2305" s="24">
        <v>18</v>
      </c>
      <c r="C2305" t="s">
        <v>165</v>
      </c>
      <c r="D2305" t="s">
        <v>94</v>
      </c>
      <c r="E2305" t="s">
        <v>215</v>
      </c>
      <c r="F2305" t="s">
        <v>94</v>
      </c>
      <c r="H2305" t="s">
        <v>24</v>
      </c>
      <c r="I2305" t="s">
        <v>217</v>
      </c>
      <c r="J2305">
        <v>8</v>
      </c>
      <c r="N2305">
        <f>Таблица1[[#This Row],[Часов на заказчика  в работе]]+Таблица1[[#This Row],[Часов на заказчика  дежурство]]</f>
        <v>0</v>
      </c>
      <c r="O23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5" s="9"/>
      <c r="R2305" s="9"/>
      <c r="S2305" s="5"/>
      <c r="T23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табеле]])*S2305,0)</f>
        <v>0</v>
      </c>
      <c r="U2305" s="5">
        <f>IF(Таблица1[[#This Row],[ТТН]]&gt;0,Таблица1[[#This Row],[Ставка за ТТН]]*Таблица1[[#This Row],[ТТН]],0)</f>
        <v>0</v>
      </c>
    </row>
    <row r="2306" spans="1:21" x14ac:dyDescent="0.25">
      <c r="A2306" t="s">
        <v>84</v>
      </c>
      <c r="B2306" s="24">
        <v>19</v>
      </c>
      <c r="C2306" t="s">
        <v>165</v>
      </c>
      <c r="D2306" t="s">
        <v>94</v>
      </c>
      <c r="E2306" t="s">
        <v>215</v>
      </c>
      <c r="F2306" t="s">
        <v>94</v>
      </c>
      <c r="H2306" t="s">
        <v>24</v>
      </c>
      <c r="I2306" t="s">
        <v>217</v>
      </c>
      <c r="J2306">
        <v>8</v>
      </c>
      <c r="N2306">
        <f>Таблица1[[#This Row],[Часов на заказчика  в работе]]+Таблица1[[#This Row],[Часов на заказчика  дежурство]]</f>
        <v>0</v>
      </c>
      <c r="O23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6" s="9"/>
      <c r="R2306" s="9"/>
      <c r="S2306" s="5"/>
      <c r="T23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табеле]])*S2306,0)</f>
        <v>0</v>
      </c>
      <c r="U2306" s="5">
        <f>IF(Таблица1[[#This Row],[ТТН]]&gt;0,Таблица1[[#This Row],[Ставка за ТТН]]*Таблица1[[#This Row],[ТТН]],0)</f>
        <v>0</v>
      </c>
    </row>
    <row r="2307" spans="1:21" x14ac:dyDescent="0.25">
      <c r="A2307" t="s">
        <v>84</v>
      </c>
      <c r="B2307" s="24">
        <v>20</v>
      </c>
      <c r="C2307" t="s">
        <v>165</v>
      </c>
      <c r="D2307" t="s">
        <v>94</v>
      </c>
      <c r="E2307" t="s">
        <v>215</v>
      </c>
      <c r="F2307" t="s">
        <v>94</v>
      </c>
      <c r="H2307" t="s">
        <v>10</v>
      </c>
      <c r="I2307" t="s">
        <v>217</v>
      </c>
      <c r="J2307">
        <v>11</v>
      </c>
      <c r="N2307">
        <f>Таблица1[[#This Row],[Часов на заказчика  в работе]]+Таблица1[[#This Row],[Часов на заказчика  дежурство]]</f>
        <v>0</v>
      </c>
      <c r="O23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7" s="9"/>
      <c r="R2307" s="9"/>
      <c r="S2307" s="5"/>
      <c r="T23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табеле]])*S2307,0)</f>
        <v>0</v>
      </c>
      <c r="U2307" s="5">
        <f>IF(Таблица1[[#This Row],[ТТН]]&gt;0,Таблица1[[#This Row],[Ставка за ТТН]]*Таблица1[[#This Row],[ТТН]],0)</f>
        <v>0</v>
      </c>
    </row>
    <row r="2308" spans="1:21" x14ac:dyDescent="0.25">
      <c r="A2308" t="s">
        <v>84</v>
      </c>
      <c r="B2308" s="24">
        <v>21</v>
      </c>
      <c r="C2308" t="s">
        <v>165</v>
      </c>
      <c r="D2308" t="s">
        <v>94</v>
      </c>
      <c r="E2308" t="s">
        <v>215</v>
      </c>
      <c r="F2308" t="s">
        <v>94</v>
      </c>
      <c r="H2308" t="s">
        <v>10</v>
      </c>
      <c r="I2308" t="s">
        <v>217</v>
      </c>
      <c r="J2308">
        <v>11</v>
      </c>
      <c r="N2308">
        <f>Таблица1[[#This Row],[Часов на заказчика  в работе]]+Таблица1[[#This Row],[Часов на заказчика  дежурство]]</f>
        <v>0</v>
      </c>
      <c r="O23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8" s="9"/>
      <c r="R2308" s="9"/>
      <c r="S2308" s="5"/>
      <c r="T23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табеле]])*S2308,0)</f>
        <v>0</v>
      </c>
      <c r="U2308" s="5">
        <f>IF(Таблица1[[#This Row],[ТТН]]&gt;0,Таблица1[[#This Row],[Ставка за ТТН]]*Таблица1[[#This Row],[ТТН]],0)</f>
        <v>0</v>
      </c>
    </row>
    <row r="2309" spans="1:21" x14ac:dyDescent="0.25">
      <c r="A2309" t="s">
        <v>84</v>
      </c>
      <c r="B2309" s="24">
        <v>22</v>
      </c>
      <c r="C2309" t="s">
        <v>165</v>
      </c>
      <c r="D2309" t="s">
        <v>94</v>
      </c>
      <c r="E2309" t="s">
        <v>215</v>
      </c>
      <c r="F2309" t="s">
        <v>94</v>
      </c>
      <c r="H2309" t="s">
        <v>10</v>
      </c>
      <c r="I2309" t="s">
        <v>217</v>
      </c>
      <c r="J2309">
        <v>11</v>
      </c>
      <c r="N2309">
        <f>Таблица1[[#This Row],[Часов на заказчика  в работе]]+Таблица1[[#This Row],[Часов на заказчика  дежурство]]</f>
        <v>0</v>
      </c>
      <c r="O23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09" s="9"/>
      <c r="R2309" s="9"/>
      <c r="S2309" s="5"/>
      <c r="T23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табеле]])*S2309,0)</f>
        <v>0</v>
      </c>
      <c r="U2309" s="5">
        <f>IF(Таблица1[[#This Row],[ТТН]]&gt;0,Таблица1[[#This Row],[Ставка за ТТН]]*Таблица1[[#This Row],[ТТН]],0)</f>
        <v>0</v>
      </c>
    </row>
    <row r="2310" spans="1:21" x14ac:dyDescent="0.25">
      <c r="A2310" t="s">
        <v>84</v>
      </c>
      <c r="B2310" s="24">
        <v>23</v>
      </c>
      <c r="C2310" t="s">
        <v>165</v>
      </c>
      <c r="D2310" t="s">
        <v>94</v>
      </c>
      <c r="E2310" t="s">
        <v>215</v>
      </c>
      <c r="F2310" t="s">
        <v>94</v>
      </c>
      <c r="H2310" t="s">
        <v>10</v>
      </c>
      <c r="I2310" t="s">
        <v>217</v>
      </c>
      <c r="J2310">
        <v>11</v>
      </c>
      <c r="N2310">
        <f>Таблица1[[#This Row],[Часов на заказчика  в работе]]+Таблица1[[#This Row],[Часов на заказчика  дежурство]]</f>
        <v>0</v>
      </c>
      <c r="O23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0" s="9"/>
      <c r="R2310" s="9"/>
      <c r="S2310" s="5"/>
      <c r="T23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табеле]])*S2310,0)</f>
        <v>0</v>
      </c>
      <c r="U2310" s="5">
        <f>IF(Таблица1[[#This Row],[ТТН]]&gt;0,Таблица1[[#This Row],[Ставка за ТТН]]*Таблица1[[#This Row],[ТТН]],0)</f>
        <v>0</v>
      </c>
    </row>
    <row r="2311" spans="1:21" x14ac:dyDescent="0.25">
      <c r="A2311" t="s">
        <v>84</v>
      </c>
      <c r="B2311" s="24">
        <v>24</v>
      </c>
      <c r="C2311" t="s">
        <v>165</v>
      </c>
      <c r="D2311" t="s">
        <v>94</v>
      </c>
      <c r="E2311" t="s">
        <v>215</v>
      </c>
      <c r="F2311" t="s">
        <v>94</v>
      </c>
      <c r="H2311" t="s">
        <v>10</v>
      </c>
      <c r="I2311" t="s">
        <v>217</v>
      </c>
      <c r="J2311">
        <v>11</v>
      </c>
      <c r="N2311">
        <f>Таблица1[[#This Row],[Часов на заказчика  в работе]]+Таблица1[[#This Row],[Часов на заказчика  дежурство]]</f>
        <v>0</v>
      </c>
      <c r="O23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1" s="9"/>
      <c r="R2311" s="9"/>
      <c r="S2311" s="5"/>
      <c r="T23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табеле]])*S2311,0)</f>
        <v>0</v>
      </c>
      <c r="U2311" s="5">
        <f>IF(Таблица1[[#This Row],[ТТН]]&gt;0,Таблица1[[#This Row],[Ставка за ТТН]]*Таблица1[[#This Row],[ТТН]],0)</f>
        <v>0</v>
      </c>
    </row>
    <row r="2312" spans="1:21" x14ac:dyDescent="0.25">
      <c r="A2312" t="s">
        <v>84</v>
      </c>
      <c r="B2312" s="24">
        <v>25</v>
      </c>
      <c r="C2312" t="s">
        <v>165</v>
      </c>
      <c r="D2312" t="s">
        <v>94</v>
      </c>
      <c r="E2312" t="s">
        <v>215</v>
      </c>
      <c r="F2312" t="s">
        <v>94</v>
      </c>
      <c r="H2312" t="s">
        <v>10</v>
      </c>
      <c r="I2312" t="s">
        <v>217</v>
      </c>
      <c r="J2312">
        <v>11</v>
      </c>
      <c r="N2312">
        <f>Таблица1[[#This Row],[Часов на заказчика  в работе]]+Таблица1[[#This Row],[Часов на заказчика  дежурство]]</f>
        <v>0</v>
      </c>
      <c r="O23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2" s="9"/>
      <c r="R2312" s="9"/>
      <c r="S2312" s="5"/>
      <c r="T23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табеле]])*S2312,0)</f>
        <v>0</v>
      </c>
      <c r="U2312" s="5">
        <f>IF(Таблица1[[#This Row],[ТТН]]&gt;0,Таблица1[[#This Row],[Ставка за ТТН]]*Таблица1[[#This Row],[ТТН]],0)</f>
        <v>0</v>
      </c>
    </row>
    <row r="2313" spans="1:21" x14ac:dyDescent="0.25">
      <c r="A2313" t="s">
        <v>84</v>
      </c>
      <c r="B2313" s="24">
        <v>26</v>
      </c>
      <c r="C2313" t="s">
        <v>165</v>
      </c>
      <c r="D2313" t="s">
        <v>94</v>
      </c>
      <c r="E2313" t="s">
        <v>215</v>
      </c>
      <c r="F2313" t="s">
        <v>94</v>
      </c>
      <c r="H2313" t="s">
        <v>10</v>
      </c>
      <c r="I2313" t="s">
        <v>217</v>
      </c>
      <c r="J2313">
        <v>11</v>
      </c>
      <c r="N2313">
        <f>Таблица1[[#This Row],[Часов на заказчика  в работе]]+Таблица1[[#This Row],[Часов на заказчика  дежурство]]</f>
        <v>0</v>
      </c>
      <c r="O23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3" s="9"/>
      <c r="R2313" s="9"/>
      <c r="S2313" s="5"/>
      <c r="T23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табеле]])*S2313,0)</f>
        <v>0</v>
      </c>
      <c r="U2313" s="5">
        <f>IF(Таблица1[[#This Row],[ТТН]]&gt;0,Таблица1[[#This Row],[Ставка за ТТН]]*Таблица1[[#This Row],[ТТН]],0)</f>
        <v>0</v>
      </c>
    </row>
    <row r="2314" spans="1:21" x14ac:dyDescent="0.25">
      <c r="A2314" t="s">
        <v>84</v>
      </c>
      <c r="B2314" s="24">
        <v>27</v>
      </c>
      <c r="C2314" t="s">
        <v>165</v>
      </c>
      <c r="D2314" t="s">
        <v>94</v>
      </c>
      <c r="E2314" t="s">
        <v>215</v>
      </c>
      <c r="F2314" t="s">
        <v>94</v>
      </c>
      <c r="H2314" t="s">
        <v>10</v>
      </c>
      <c r="I2314" t="s">
        <v>217</v>
      </c>
      <c r="J2314">
        <v>11</v>
      </c>
      <c r="N2314">
        <f>Таблица1[[#This Row],[Часов на заказчика  в работе]]+Таблица1[[#This Row],[Часов на заказчика  дежурство]]</f>
        <v>0</v>
      </c>
      <c r="O23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4" s="9"/>
      <c r="R2314" s="9"/>
      <c r="S2314" s="5"/>
      <c r="T23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табеле]])*S2314,0)</f>
        <v>0</v>
      </c>
      <c r="U2314" s="5">
        <f>IF(Таблица1[[#This Row],[ТТН]]&gt;0,Таблица1[[#This Row],[Ставка за ТТН]]*Таблица1[[#This Row],[ТТН]],0)</f>
        <v>0</v>
      </c>
    </row>
    <row r="2315" spans="1:21" x14ac:dyDescent="0.25">
      <c r="A2315" t="s">
        <v>84</v>
      </c>
      <c r="B2315" s="24">
        <v>28</v>
      </c>
      <c r="C2315" t="s">
        <v>165</v>
      </c>
      <c r="D2315" t="s">
        <v>94</v>
      </c>
      <c r="E2315" t="s">
        <v>215</v>
      </c>
      <c r="F2315" t="s">
        <v>94</v>
      </c>
      <c r="H2315" t="s">
        <v>10</v>
      </c>
      <c r="I2315" t="s">
        <v>217</v>
      </c>
      <c r="J2315">
        <v>11</v>
      </c>
      <c r="N2315">
        <f>Таблица1[[#This Row],[Часов на заказчика  в работе]]+Таблица1[[#This Row],[Часов на заказчика  дежурство]]</f>
        <v>0</v>
      </c>
      <c r="O23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5" s="9"/>
      <c r="R2315" s="9"/>
      <c r="S2315" s="5"/>
      <c r="T23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табеле]])*S2315,0)</f>
        <v>0</v>
      </c>
      <c r="U2315" s="5">
        <f>IF(Таблица1[[#This Row],[ТТН]]&gt;0,Таблица1[[#This Row],[Ставка за ТТН]]*Таблица1[[#This Row],[ТТН]],0)</f>
        <v>0</v>
      </c>
    </row>
    <row r="2316" spans="1:21" x14ac:dyDescent="0.25">
      <c r="A2316" t="s">
        <v>84</v>
      </c>
      <c r="B2316" s="24">
        <v>29</v>
      </c>
      <c r="C2316" t="s">
        <v>165</v>
      </c>
      <c r="D2316" t="s">
        <v>94</v>
      </c>
      <c r="E2316" t="s">
        <v>215</v>
      </c>
      <c r="F2316" t="s">
        <v>94</v>
      </c>
      <c r="H2316" t="s">
        <v>10</v>
      </c>
      <c r="I2316" t="s">
        <v>217</v>
      </c>
      <c r="J2316">
        <v>11</v>
      </c>
      <c r="N2316">
        <f>Таблица1[[#This Row],[Часов на заказчика  в работе]]+Таблица1[[#This Row],[Часов на заказчика  дежурство]]</f>
        <v>0</v>
      </c>
      <c r="O23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6" s="9"/>
      <c r="R2316" s="9"/>
      <c r="S2316" s="5"/>
      <c r="T23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табеле]])*S2316,0)</f>
        <v>0</v>
      </c>
      <c r="U2316" s="5">
        <f>IF(Таблица1[[#This Row],[ТТН]]&gt;0,Таблица1[[#This Row],[Ставка за ТТН]]*Таблица1[[#This Row],[ТТН]],0)</f>
        <v>0</v>
      </c>
    </row>
    <row r="2317" spans="1:21" x14ac:dyDescent="0.25">
      <c r="A2317" t="s">
        <v>84</v>
      </c>
      <c r="B2317" s="24">
        <v>30</v>
      </c>
      <c r="C2317" t="s">
        <v>166</v>
      </c>
      <c r="D2317" t="s">
        <v>94</v>
      </c>
      <c r="E2317" t="s">
        <v>215</v>
      </c>
      <c r="F2317" t="s">
        <v>94</v>
      </c>
      <c r="H2317" t="s">
        <v>10</v>
      </c>
      <c r="I2317" t="s">
        <v>217</v>
      </c>
      <c r="J2317">
        <v>11</v>
      </c>
      <c r="N2317">
        <f>Таблица1[[#This Row],[Часов на заказчика  в работе]]+Таблица1[[#This Row],[Часов на заказчика  дежурство]]</f>
        <v>0</v>
      </c>
      <c r="O23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7" s="9"/>
      <c r="R2317" s="9"/>
      <c r="S2317" s="5"/>
      <c r="T23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табеле]])*S2317,0)</f>
        <v>0</v>
      </c>
      <c r="U2317" s="5">
        <f>IF(Таблица1[[#This Row],[ТТН]]&gt;0,Таблица1[[#This Row],[Ставка за ТТН]]*Таблица1[[#This Row],[ТТН]],0)</f>
        <v>0</v>
      </c>
    </row>
    <row r="2318" spans="1:21" x14ac:dyDescent="0.25">
      <c r="A2318" t="s">
        <v>84</v>
      </c>
      <c r="B2318" s="24">
        <v>1</v>
      </c>
      <c r="C2318" t="s">
        <v>166</v>
      </c>
      <c r="D2318" t="s">
        <v>12</v>
      </c>
      <c r="E2318" t="s">
        <v>215</v>
      </c>
      <c r="H2318" t="s">
        <v>44</v>
      </c>
      <c r="I2318" t="s">
        <v>217</v>
      </c>
      <c r="J2318">
        <v>1</v>
      </c>
      <c r="N2318">
        <f>Таблица1[[#This Row],[Часов на заказчика  в работе]]+Таблица1[[#This Row],[Часов на заказчика  дежурство]]</f>
        <v>0</v>
      </c>
      <c r="O23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8" s="9"/>
      <c r="R2318" s="9"/>
      <c r="S2318" s="5"/>
      <c r="T23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табеле]])*S2318,0)</f>
        <v>0</v>
      </c>
      <c r="U2318" s="5">
        <f>IF(Таблица1[[#This Row],[ТТН]]&gt;0,Таблица1[[#This Row],[Ставка за ТТН]]*Таблица1[[#This Row],[ТТН]],0)</f>
        <v>0</v>
      </c>
    </row>
    <row r="2319" spans="1:21" x14ac:dyDescent="0.25">
      <c r="A2319" t="s">
        <v>84</v>
      </c>
      <c r="B2319" s="24">
        <v>2</v>
      </c>
      <c r="C2319" t="s">
        <v>166</v>
      </c>
      <c r="D2319" t="s">
        <v>12</v>
      </c>
      <c r="E2319" t="s">
        <v>215</v>
      </c>
      <c r="H2319" t="s">
        <v>44</v>
      </c>
      <c r="I2319" t="s">
        <v>217</v>
      </c>
      <c r="J2319">
        <v>1</v>
      </c>
      <c r="N2319">
        <f>Таблица1[[#This Row],[Часов на заказчика  в работе]]+Таблица1[[#This Row],[Часов на заказчика  дежурство]]</f>
        <v>0</v>
      </c>
      <c r="O23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19" s="9"/>
      <c r="R2319" s="9"/>
      <c r="S2319" s="5"/>
      <c r="T23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табеле]])*S2319,0)</f>
        <v>0</v>
      </c>
      <c r="U2319" s="5">
        <f>IF(Таблица1[[#This Row],[ТТН]]&gt;0,Таблица1[[#This Row],[Ставка за ТТН]]*Таблица1[[#This Row],[ТТН]],0)</f>
        <v>0</v>
      </c>
    </row>
    <row r="2320" spans="1:21" x14ac:dyDescent="0.25">
      <c r="A2320" t="s">
        <v>84</v>
      </c>
      <c r="B2320" s="24">
        <v>3</v>
      </c>
      <c r="C2320" t="s">
        <v>166</v>
      </c>
      <c r="D2320" t="s">
        <v>12</v>
      </c>
      <c r="E2320" t="s">
        <v>215</v>
      </c>
      <c r="H2320" t="s">
        <v>44</v>
      </c>
      <c r="I2320" t="s">
        <v>217</v>
      </c>
      <c r="J2320">
        <v>1</v>
      </c>
      <c r="N2320">
        <f>Таблица1[[#This Row],[Часов на заказчика  в работе]]+Таблица1[[#This Row],[Часов на заказчика  дежурство]]</f>
        <v>0</v>
      </c>
      <c r="O23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0" s="9"/>
      <c r="R2320" s="9"/>
      <c r="S2320" s="5"/>
      <c r="T23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табеле]])*S2320,0)</f>
        <v>0</v>
      </c>
      <c r="U2320" s="5">
        <f>IF(Таблица1[[#This Row],[ТТН]]&gt;0,Таблица1[[#This Row],[Ставка за ТТН]]*Таблица1[[#This Row],[ТТН]],0)</f>
        <v>0</v>
      </c>
    </row>
    <row r="2321" spans="1:21" x14ac:dyDescent="0.25">
      <c r="A2321" t="s">
        <v>84</v>
      </c>
      <c r="B2321" s="24">
        <v>4</v>
      </c>
      <c r="C2321" t="s">
        <v>166</v>
      </c>
      <c r="D2321" t="s">
        <v>12</v>
      </c>
      <c r="E2321" t="s">
        <v>215</v>
      </c>
      <c r="H2321" t="s">
        <v>44</v>
      </c>
      <c r="I2321" t="s">
        <v>217</v>
      </c>
      <c r="J2321">
        <v>1</v>
      </c>
      <c r="N2321">
        <f>Таблица1[[#This Row],[Часов на заказчика  в работе]]+Таблица1[[#This Row],[Часов на заказчика  дежурство]]</f>
        <v>0</v>
      </c>
      <c r="O23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1" s="9"/>
      <c r="R2321" s="9"/>
      <c r="S2321" s="5"/>
      <c r="T23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табеле]])*S2321,0)</f>
        <v>0</v>
      </c>
      <c r="U2321" s="5">
        <f>IF(Таблица1[[#This Row],[ТТН]]&gt;0,Таблица1[[#This Row],[Ставка за ТТН]]*Таблица1[[#This Row],[ТТН]],0)</f>
        <v>0</v>
      </c>
    </row>
    <row r="2322" spans="1:21" x14ac:dyDescent="0.25">
      <c r="A2322" t="s">
        <v>84</v>
      </c>
      <c r="B2322" s="24">
        <v>5</v>
      </c>
      <c r="C2322" t="s">
        <v>166</v>
      </c>
      <c r="D2322" t="s">
        <v>12</v>
      </c>
      <c r="E2322" t="s">
        <v>215</v>
      </c>
      <c r="H2322" t="s">
        <v>44</v>
      </c>
      <c r="I2322" t="s">
        <v>217</v>
      </c>
      <c r="J2322">
        <v>1</v>
      </c>
      <c r="N2322">
        <f>Таблица1[[#This Row],[Часов на заказчика  в работе]]+Таблица1[[#This Row],[Часов на заказчика  дежурство]]</f>
        <v>0</v>
      </c>
      <c r="O23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2" s="9"/>
      <c r="R2322" s="9"/>
      <c r="S2322" s="5"/>
      <c r="T23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табеле]])*S2322,0)</f>
        <v>0</v>
      </c>
      <c r="U2322" s="5">
        <f>IF(Таблица1[[#This Row],[ТТН]]&gt;0,Таблица1[[#This Row],[Ставка за ТТН]]*Таблица1[[#This Row],[ТТН]],0)</f>
        <v>0</v>
      </c>
    </row>
    <row r="2323" spans="1:21" x14ac:dyDescent="0.25">
      <c r="A2323" t="s">
        <v>84</v>
      </c>
      <c r="B2323" s="24">
        <v>6</v>
      </c>
      <c r="C2323" t="s">
        <v>166</v>
      </c>
      <c r="D2323" t="s">
        <v>12</v>
      </c>
      <c r="E2323" t="s">
        <v>215</v>
      </c>
      <c r="H2323" t="s">
        <v>44</v>
      </c>
      <c r="I2323" t="s">
        <v>217</v>
      </c>
      <c r="J2323">
        <v>1</v>
      </c>
      <c r="N2323">
        <f>Таблица1[[#This Row],[Часов на заказчика  в работе]]+Таблица1[[#This Row],[Часов на заказчика  дежурство]]</f>
        <v>0</v>
      </c>
      <c r="O23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3" s="9"/>
      <c r="R2323" s="9"/>
      <c r="S2323" s="5"/>
      <c r="T23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табеле]])*S2323,0)</f>
        <v>0</v>
      </c>
      <c r="U2323" s="5">
        <f>IF(Таблица1[[#This Row],[ТТН]]&gt;0,Таблица1[[#This Row],[Ставка за ТТН]]*Таблица1[[#This Row],[ТТН]],0)</f>
        <v>0</v>
      </c>
    </row>
    <row r="2324" spans="1:21" x14ac:dyDescent="0.25">
      <c r="A2324" t="s">
        <v>84</v>
      </c>
      <c r="B2324" s="24">
        <v>7</v>
      </c>
      <c r="C2324" t="s">
        <v>166</v>
      </c>
      <c r="D2324" t="s">
        <v>12</v>
      </c>
      <c r="E2324" t="s">
        <v>215</v>
      </c>
      <c r="H2324" t="s">
        <v>44</v>
      </c>
      <c r="I2324" t="s">
        <v>217</v>
      </c>
      <c r="J2324">
        <v>1</v>
      </c>
      <c r="N2324">
        <f>Таблица1[[#This Row],[Часов на заказчика  в работе]]+Таблица1[[#This Row],[Часов на заказчика  дежурство]]</f>
        <v>0</v>
      </c>
      <c r="O23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4" s="9"/>
      <c r="R2324" s="9"/>
      <c r="S2324" s="5"/>
      <c r="T23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табеле]])*S2324,0)</f>
        <v>0</v>
      </c>
      <c r="U2324" s="5">
        <f>IF(Таблица1[[#This Row],[ТТН]]&gt;0,Таблица1[[#This Row],[Ставка за ТТН]]*Таблица1[[#This Row],[ТТН]],0)</f>
        <v>0</v>
      </c>
    </row>
    <row r="2325" spans="1:21" x14ac:dyDescent="0.25">
      <c r="A2325" t="s">
        <v>84</v>
      </c>
      <c r="B2325" s="24">
        <v>8</v>
      </c>
      <c r="C2325" t="s">
        <v>166</v>
      </c>
      <c r="D2325" t="s">
        <v>12</v>
      </c>
      <c r="E2325" t="s">
        <v>215</v>
      </c>
      <c r="H2325" t="s">
        <v>44</v>
      </c>
      <c r="I2325" t="s">
        <v>217</v>
      </c>
      <c r="J2325">
        <v>1</v>
      </c>
      <c r="N2325">
        <f>Таблица1[[#This Row],[Часов на заказчика  в работе]]+Таблица1[[#This Row],[Часов на заказчика  дежурство]]</f>
        <v>0</v>
      </c>
      <c r="O23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5" s="9"/>
      <c r="R2325" s="9"/>
      <c r="S2325" s="5"/>
      <c r="T23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табеле]])*S2325,0)</f>
        <v>0</v>
      </c>
      <c r="U2325" s="5">
        <f>IF(Таблица1[[#This Row],[ТТН]]&gt;0,Таблица1[[#This Row],[Ставка за ТТН]]*Таблица1[[#This Row],[ТТН]],0)</f>
        <v>0</v>
      </c>
    </row>
    <row r="2326" spans="1:21" x14ac:dyDescent="0.25">
      <c r="A2326" t="s">
        <v>84</v>
      </c>
      <c r="B2326" s="24">
        <v>9</v>
      </c>
      <c r="C2326" t="s">
        <v>166</v>
      </c>
      <c r="D2326" t="s">
        <v>12</v>
      </c>
      <c r="E2326" t="s">
        <v>215</v>
      </c>
      <c r="H2326" t="s">
        <v>44</v>
      </c>
      <c r="I2326" t="s">
        <v>217</v>
      </c>
      <c r="J2326">
        <v>1</v>
      </c>
      <c r="N2326">
        <f>Таблица1[[#This Row],[Часов на заказчика  в работе]]+Таблица1[[#This Row],[Часов на заказчика  дежурство]]</f>
        <v>0</v>
      </c>
      <c r="O23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6" s="9"/>
      <c r="R2326" s="9"/>
      <c r="S2326" s="5"/>
      <c r="T23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табеле]])*S2326,0)</f>
        <v>0</v>
      </c>
      <c r="U2326" s="5">
        <f>IF(Таблица1[[#This Row],[ТТН]]&gt;0,Таблица1[[#This Row],[Ставка за ТТН]]*Таблица1[[#This Row],[ТТН]],0)</f>
        <v>0</v>
      </c>
    </row>
    <row r="2327" spans="1:21" x14ac:dyDescent="0.25">
      <c r="A2327" t="s">
        <v>84</v>
      </c>
      <c r="B2327" s="24">
        <v>10</v>
      </c>
      <c r="C2327" t="s">
        <v>166</v>
      </c>
      <c r="D2327" t="s">
        <v>12</v>
      </c>
      <c r="E2327" t="s">
        <v>215</v>
      </c>
      <c r="H2327" t="s">
        <v>52</v>
      </c>
      <c r="I2327" t="s">
        <v>217</v>
      </c>
      <c r="J2327">
        <v>1</v>
      </c>
      <c r="N2327">
        <f>Таблица1[[#This Row],[Часов на заказчика  в работе]]+Таблица1[[#This Row],[Часов на заказчика  дежурство]]</f>
        <v>0</v>
      </c>
      <c r="O23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7" s="9"/>
      <c r="R2327" s="9"/>
      <c r="S2327" s="5"/>
      <c r="T23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табеле]])*S2327,0)</f>
        <v>0</v>
      </c>
      <c r="U2327" s="5">
        <f>IF(Таблица1[[#This Row],[ТТН]]&gt;0,Таблица1[[#This Row],[Ставка за ТТН]]*Таблица1[[#This Row],[ТТН]],0)</f>
        <v>0</v>
      </c>
    </row>
    <row r="2328" spans="1:21" x14ac:dyDescent="0.25">
      <c r="A2328" t="s">
        <v>84</v>
      </c>
      <c r="B2328" s="24">
        <v>11</v>
      </c>
      <c r="C2328" t="s">
        <v>166</v>
      </c>
      <c r="D2328" t="s">
        <v>12</v>
      </c>
      <c r="E2328" t="s">
        <v>215</v>
      </c>
      <c r="H2328" t="s">
        <v>52</v>
      </c>
      <c r="I2328" t="s">
        <v>217</v>
      </c>
      <c r="J2328">
        <v>1</v>
      </c>
      <c r="N2328">
        <f>Таблица1[[#This Row],[Часов на заказчика  в работе]]+Таблица1[[#This Row],[Часов на заказчика  дежурство]]</f>
        <v>0</v>
      </c>
      <c r="O23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8" s="9"/>
      <c r="R2328" s="9"/>
      <c r="S2328" s="5"/>
      <c r="T23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табеле]])*S2328,0)</f>
        <v>0</v>
      </c>
      <c r="U2328" s="5">
        <f>IF(Таблица1[[#This Row],[ТТН]]&gt;0,Таблица1[[#This Row],[Ставка за ТТН]]*Таблица1[[#This Row],[ТТН]],0)</f>
        <v>0</v>
      </c>
    </row>
    <row r="2329" spans="1:21" x14ac:dyDescent="0.25">
      <c r="A2329" t="s">
        <v>84</v>
      </c>
      <c r="B2329" s="24">
        <v>12</v>
      </c>
      <c r="C2329" t="s">
        <v>166</v>
      </c>
      <c r="D2329" t="s">
        <v>12</v>
      </c>
      <c r="E2329" t="s">
        <v>215</v>
      </c>
      <c r="H2329" t="s">
        <v>52</v>
      </c>
      <c r="I2329" t="s">
        <v>217</v>
      </c>
      <c r="J2329">
        <v>1</v>
      </c>
      <c r="N2329">
        <f>Таблица1[[#This Row],[Часов на заказчика  в работе]]+Таблица1[[#This Row],[Часов на заказчика  дежурство]]</f>
        <v>0</v>
      </c>
      <c r="O23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29" s="9"/>
      <c r="R2329" s="9"/>
      <c r="S2329" s="5"/>
      <c r="T23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табеле]])*S2329,0)</f>
        <v>0</v>
      </c>
      <c r="U2329" s="5">
        <f>IF(Таблица1[[#This Row],[ТТН]]&gt;0,Таблица1[[#This Row],[Ставка за ТТН]]*Таблица1[[#This Row],[ТТН]],0)</f>
        <v>0</v>
      </c>
    </row>
    <row r="2330" spans="1:21" x14ac:dyDescent="0.25">
      <c r="A2330" t="s">
        <v>84</v>
      </c>
      <c r="B2330" s="24">
        <v>13</v>
      </c>
      <c r="C2330" t="s">
        <v>166</v>
      </c>
      <c r="D2330" t="s">
        <v>12</v>
      </c>
      <c r="E2330" t="s">
        <v>215</v>
      </c>
      <c r="H2330" t="s">
        <v>52</v>
      </c>
      <c r="I2330" t="s">
        <v>217</v>
      </c>
      <c r="J2330">
        <v>1</v>
      </c>
      <c r="N2330">
        <f>Таблица1[[#This Row],[Часов на заказчика  в работе]]+Таблица1[[#This Row],[Часов на заказчика  дежурство]]</f>
        <v>0</v>
      </c>
      <c r="O23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0" s="9"/>
      <c r="R2330" s="9"/>
      <c r="S2330" s="5"/>
      <c r="T23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табеле]])*S2330,0)</f>
        <v>0</v>
      </c>
      <c r="U2330" s="5">
        <f>IF(Таблица1[[#This Row],[ТТН]]&gt;0,Таблица1[[#This Row],[Ставка за ТТН]]*Таблица1[[#This Row],[ТТН]],0)</f>
        <v>0</v>
      </c>
    </row>
    <row r="2331" spans="1:21" x14ac:dyDescent="0.25">
      <c r="A2331" t="s">
        <v>84</v>
      </c>
      <c r="B2331" s="24">
        <v>14</v>
      </c>
      <c r="C2331" t="s">
        <v>166</v>
      </c>
      <c r="D2331" t="s">
        <v>12</v>
      </c>
      <c r="E2331" t="s">
        <v>215</v>
      </c>
      <c r="H2331" t="s">
        <v>52</v>
      </c>
      <c r="I2331" t="s">
        <v>217</v>
      </c>
      <c r="J2331">
        <v>1</v>
      </c>
      <c r="N2331">
        <f>Таблица1[[#This Row],[Часов на заказчика  в работе]]+Таблица1[[#This Row],[Часов на заказчика  дежурство]]</f>
        <v>0</v>
      </c>
      <c r="O23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1" s="9"/>
      <c r="R2331" s="9"/>
      <c r="S2331" s="5"/>
      <c r="T23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табеле]])*S2331,0)</f>
        <v>0</v>
      </c>
      <c r="U2331" s="5">
        <f>IF(Таблица1[[#This Row],[ТТН]]&gt;0,Таблица1[[#This Row],[Ставка за ТТН]]*Таблица1[[#This Row],[ТТН]],0)</f>
        <v>0</v>
      </c>
    </row>
    <row r="2332" spans="1:21" x14ac:dyDescent="0.25">
      <c r="A2332" t="s">
        <v>84</v>
      </c>
      <c r="B2332" s="24">
        <v>15</v>
      </c>
      <c r="C2332" t="s">
        <v>166</v>
      </c>
      <c r="D2332" t="s">
        <v>12</v>
      </c>
      <c r="E2332" t="s">
        <v>215</v>
      </c>
      <c r="H2332" t="s">
        <v>52</v>
      </c>
      <c r="I2332" t="s">
        <v>217</v>
      </c>
      <c r="J2332">
        <v>1</v>
      </c>
      <c r="N2332">
        <f>Таблица1[[#This Row],[Часов на заказчика  в работе]]+Таблица1[[#This Row],[Часов на заказчика  дежурство]]</f>
        <v>0</v>
      </c>
      <c r="O23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2" s="9"/>
      <c r="R2332" s="9"/>
      <c r="S2332" s="5"/>
      <c r="T23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табеле]])*S2332,0)</f>
        <v>0</v>
      </c>
      <c r="U2332" s="5">
        <f>IF(Таблица1[[#This Row],[ТТН]]&gt;0,Таблица1[[#This Row],[Ставка за ТТН]]*Таблица1[[#This Row],[ТТН]],0)</f>
        <v>0</v>
      </c>
    </row>
    <row r="2333" spans="1:21" x14ac:dyDescent="0.25">
      <c r="A2333" t="s">
        <v>84</v>
      </c>
      <c r="B2333" s="24">
        <v>16</v>
      </c>
      <c r="C2333" t="s">
        <v>166</v>
      </c>
      <c r="D2333" t="s">
        <v>12</v>
      </c>
      <c r="E2333" t="s">
        <v>215</v>
      </c>
      <c r="H2333" t="s">
        <v>52</v>
      </c>
      <c r="I2333" t="s">
        <v>217</v>
      </c>
      <c r="J2333">
        <v>1</v>
      </c>
      <c r="N2333">
        <f>Таблица1[[#This Row],[Часов на заказчика  в работе]]+Таблица1[[#This Row],[Часов на заказчика  дежурство]]</f>
        <v>0</v>
      </c>
      <c r="O23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3" s="9"/>
      <c r="R2333" s="9"/>
      <c r="S2333" s="5"/>
      <c r="T23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табеле]])*S2333,0)</f>
        <v>0</v>
      </c>
      <c r="U2333" s="5">
        <f>IF(Таблица1[[#This Row],[ТТН]]&gt;0,Таблица1[[#This Row],[Ставка за ТТН]]*Таблица1[[#This Row],[ТТН]],0)</f>
        <v>0</v>
      </c>
    </row>
    <row r="2334" spans="1:21" x14ac:dyDescent="0.25">
      <c r="A2334" t="s">
        <v>84</v>
      </c>
      <c r="B2334" s="24">
        <v>17</v>
      </c>
      <c r="C2334" t="s">
        <v>166</v>
      </c>
      <c r="D2334" t="s">
        <v>12</v>
      </c>
      <c r="E2334" t="s">
        <v>215</v>
      </c>
      <c r="H2334" t="s">
        <v>52</v>
      </c>
      <c r="I2334" t="s">
        <v>217</v>
      </c>
      <c r="J2334">
        <v>1</v>
      </c>
      <c r="N2334">
        <f>Таблица1[[#This Row],[Часов на заказчика  в работе]]+Таблица1[[#This Row],[Часов на заказчика  дежурство]]</f>
        <v>0</v>
      </c>
      <c r="O23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4" s="9"/>
      <c r="R2334" s="9"/>
      <c r="S2334" s="5"/>
      <c r="T23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табеле]])*S2334,0)</f>
        <v>0</v>
      </c>
      <c r="U2334" s="5">
        <f>IF(Таблица1[[#This Row],[ТТН]]&gt;0,Таблица1[[#This Row],[Ставка за ТТН]]*Таблица1[[#This Row],[ТТН]],0)</f>
        <v>0</v>
      </c>
    </row>
    <row r="2335" spans="1:21" x14ac:dyDescent="0.25">
      <c r="A2335" t="s">
        <v>84</v>
      </c>
      <c r="B2335" s="24">
        <v>18</v>
      </c>
      <c r="C2335" t="s">
        <v>166</v>
      </c>
      <c r="D2335" t="s">
        <v>12</v>
      </c>
      <c r="E2335" t="s">
        <v>215</v>
      </c>
      <c r="H2335" t="s">
        <v>52</v>
      </c>
      <c r="I2335" t="s">
        <v>217</v>
      </c>
      <c r="J2335">
        <v>1</v>
      </c>
      <c r="N2335">
        <f>Таблица1[[#This Row],[Часов на заказчика  в работе]]+Таблица1[[#This Row],[Часов на заказчика  дежурство]]</f>
        <v>0</v>
      </c>
      <c r="O23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5" s="9"/>
      <c r="R2335" s="9"/>
      <c r="S2335" s="5"/>
      <c r="T23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табеле]])*S2335,0)</f>
        <v>0</v>
      </c>
      <c r="U2335" s="5">
        <f>IF(Таблица1[[#This Row],[ТТН]]&gt;0,Таблица1[[#This Row],[Ставка за ТТН]]*Таблица1[[#This Row],[ТТН]],0)</f>
        <v>0</v>
      </c>
    </row>
    <row r="2336" spans="1:21" x14ac:dyDescent="0.25">
      <c r="A2336" t="s">
        <v>84</v>
      </c>
      <c r="B2336" s="24">
        <v>19</v>
      </c>
      <c r="C2336" t="s">
        <v>166</v>
      </c>
      <c r="D2336" t="s">
        <v>12</v>
      </c>
      <c r="E2336" t="s">
        <v>215</v>
      </c>
      <c r="H2336" t="s">
        <v>52</v>
      </c>
      <c r="I2336" t="s">
        <v>217</v>
      </c>
      <c r="J2336">
        <v>1</v>
      </c>
      <c r="N2336">
        <f>Таблица1[[#This Row],[Часов на заказчика  в работе]]+Таблица1[[#This Row],[Часов на заказчика  дежурство]]</f>
        <v>0</v>
      </c>
      <c r="O23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6" s="9"/>
      <c r="R2336" s="9"/>
      <c r="S2336" s="5"/>
      <c r="T23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табеле]])*S2336,0)</f>
        <v>0</v>
      </c>
      <c r="U2336" s="5">
        <f>IF(Таблица1[[#This Row],[ТТН]]&gt;0,Таблица1[[#This Row],[Ставка за ТТН]]*Таблица1[[#This Row],[ТТН]],0)</f>
        <v>0</v>
      </c>
    </row>
    <row r="2337" spans="1:21" x14ac:dyDescent="0.25">
      <c r="A2337" t="s">
        <v>84</v>
      </c>
      <c r="B2337" s="24">
        <v>20</v>
      </c>
      <c r="C2337" t="s">
        <v>166</v>
      </c>
      <c r="D2337" t="s">
        <v>12</v>
      </c>
      <c r="E2337" t="s">
        <v>215</v>
      </c>
      <c r="H2337" t="s">
        <v>52</v>
      </c>
      <c r="I2337" t="s">
        <v>217</v>
      </c>
      <c r="J2337">
        <v>1</v>
      </c>
      <c r="N2337">
        <f>Таблица1[[#This Row],[Часов на заказчика  в работе]]+Таблица1[[#This Row],[Часов на заказчика  дежурство]]</f>
        <v>0</v>
      </c>
      <c r="O23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7" s="9"/>
      <c r="R2337" s="9"/>
      <c r="S2337" s="5"/>
      <c r="T23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табеле]])*S2337,0)</f>
        <v>0</v>
      </c>
      <c r="U2337" s="5">
        <f>IF(Таблица1[[#This Row],[ТТН]]&gt;0,Таблица1[[#This Row],[Ставка за ТТН]]*Таблица1[[#This Row],[ТТН]],0)</f>
        <v>0</v>
      </c>
    </row>
    <row r="2338" spans="1:21" x14ac:dyDescent="0.25">
      <c r="A2338" t="s">
        <v>84</v>
      </c>
      <c r="B2338" s="24">
        <v>21</v>
      </c>
      <c r="C2338" t="s">
        <v>166</v>
      </c>
      <c r="D2338" t="s">
        <v>12</v>
      </c>
      <c r="E2338" t="s">
        <v>215</v>
      </c>
      <c r="H2338" t="s">
        <v>52</v>
      </c>
      <c r="I2338" t="s">
        <v>217</v>
      </c>
      <c r="J2338">
        <v>1</v>
      </c>
      <c r="N2338">
        <f>Таблица1[[#This Row],[Часов на заказчика  в работе]]+Таблица1[[#This Row],[Часов на заказчика  дежурство]]</f>
        <v>0</v>
      </c>
      <c r="O23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8" s="9"/>
      <c r="R2338" s="9"/>
      <c r="S2338" s="5"/>
      <c r="T23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табеле]])*S2338,0)</f>
        <v>0</v>
      </c>
      <c r="U2338" s="5">
        <f>IF(Таблица1[[#This Row],[ТТН]]&gt;0,Таблица1[[#This Row],[Ставка за ТТН]]*Таблица1[[#This Row],[ТТН]],0)</f>
        <v>0</v>
      </c>
    </row>
    <row r="2339" spans="1:21" x14ac:dyDescent="0.25">
      <c r="A2339" t="s">
        <v>84</v>
      </c>
      <c r="B2339" s="24">
        <v>22</v>
      </c>
      <c r="C2339" t="s">
        <v>166</v>
      </c>
      <c r="D2339" t="s">
        <v>12</v>
      </c>
      <c r="E2339" t="s">
        <v>215</v>
      </c>
      <c r="H2339" t="s">
        <v>52</v>
      </c>
      <c r="I2339" t="s">
        <v>217</v>
      </c>
      <c r="J2339">
        <v>1</v>
      </c>
      <c r="N2339">
        <f>Таблица1[[#This Row],[Часов на заказчика  в работе]]+Таблица1[[#This Row],[Часов на заказчика  дежурство]]</f>
        <v>0</v>
      </c>
      <c r="O23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39" s="9"/>
      <c r="R2339" s="9"/>
      <c r="S2339" s="5"/>
      <c r="T23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табеле]])*S2339,0)</f>
        <v>0</v>
      </c>
      <c r="U2339" s="5">
        <f>IF(Таблица1[[#This Row],[ТТН]]&gt;0,Таблица1[[#This Row],[Ставка за ТТН]]*Таблица1[[#This Row],[ТТН]],0)</f>
        <v>0</v>
      </c>
    </row>
    <row r="2340" spans="1:21" x14ac:dyDescent="0.25">
      <c r="A2340" t="s">
        <v>84</v>
      </c>
      <c r="B2340" s="24">
        <v>23</v>
      </c>
      <c r="C2340" t="s">
        <v>166</v>
      </c>
      <c r="D2340" t="s">
        <v>12</v>
      </c>
      <c r="E2340" t="s">
        <v>215</v>
      </c>
      <c r="H2340" t="s">
        <v>52</v>
      </c>
      <c r="I2340" t="s">
        <v>217</v>
      </c>
      <c r="J2340">
        <v>1</v>
      </c>
      <c r="N2340">
        <f>Таблица1[[#This Row],[Часов на заказчика  в работе]]+Таблица1[[#This Row],[Часов на заказчика  дежурство]]</f>
        <v>0</v>
      </c>
      <c r="O23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0" s="9"/>
      <c r="R2340" s="9"/>
      <c r="S2340" s="5"/>
      <c r="T23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табеле]])*S2340,0)</f>
        <v>0</v>
      </c>
      <c r="U2340" s="5">
        <f>IF(Таблица1[[#This Row],[ТТН]]&gt;0,Таблица1[[#This Row],[Ставка за ТТН]]*Таблица1[[#This Row],[ТТН]],0)</f>
        <v>0</v>
      </c>
    </row>
    <row r="2341" spans="1:21" x14ac:dyDescent="0.25">
      <c r="A2341" t="s">
        <v>84</v>
      </c>
      <c r="B2341" s="24">
        <v>24</v>
      </c>
      <c r="C2341" t="s">
        <v>166</v>
      </c>
      <c r="D2341" t="s">
        <v>12</v>
      </c>
      <c r="E2341" t="s">
        <v>215</v>
      </c>
      <c r="H2341" t="s">
        <v>52</v>
      </c>
      <c r="I2341" t="s">
        <v>217</v>
      </c>
      <c r="J2341">
        <v>1</v>
      </c>
      <c r="N2341">
        <f>Таблица1[[#This Row],[Часов на заказчика  в работе]]+Таблица1[[#This Row],[Часов на заказчика  дежурство]]</f>
        <v>0</v>
      </c>
      <c r="O23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1" s="9"/>
      <c r="R2341" s="9"/>
      <c r="S2341" s="5"/>
      <c r="T23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табеле]])*S2341,0)</f>
        <v>0</v>
      </c>
      <c r="U2341" s="5">
        <f>IF(Таблица1[[#This Row],[ТТН]]&gt;0,Таблица1[[#This Row],[Ставка за ТТН]]*Таблица1[[#This Row],[ТТН]],0)</f>
        <v>0</v>
      </c>
    </row>
    <row r="2342" spans="1:21" x14ac:dyDescent="0.25">
      <c r="A2342" t="s">
        <v>84</v>
      </c>
      <c r="B2342" s="24">
        <v>25</v>
      </c>
      <c r="C2342" t="s">
        <v>166</v>
      </c>
      <c r="D2342" t="s">
        <v>12</v>
      </c>
      <c r="E2342" t="s">
        <v>215</v>
      </c>
      <c r="H2342" t="s">
        <v>52</v>
      </c>
      <c r="I2342" t="s">
        <v>217</v>
      </c>
      <c r="J2342">
        <v>1</v>
      </c>
      <c r="N2342">
        <f>Таблица1[[#This Row],[Часов на заказчика  в работе]]+Таблица1[[#This Row],[Часов на заказчика  дежурство]]</f>
        <v>0</v>
      </c>
      <c r="O23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2" s="9"/>
      <c r="R2342" s="9"/>
      <c r="S2342" s="5"/>
      <c r="T23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табеле]])*S2342,0)</f>
        <v>0</v>
      </c>
      <c r="U2342" s="5">
        <f>IF(Таблица1[[#This Row],[ТТН]]&gt;0,Таблица1[[#This Row],[Ставка за ТТН]]*Таблица1[[#This Row],[ТТН]],0)</f>
        <v>0</v>
      </c>
    </row>
    <row r="2343" spans="1:21" x14ac:dyDescent="0.25">
      <c r="A2343" t="s">
        <v>84</v>
      </c>
      <c r="B2343" s="24">
        <v>26</v>
      </c>
      <c r="C2343" t="s">
        <v>166</v>
      </c>
      <c r="D2343" t="s">
        <v>12</v>
      </c>
      <c r="E2343" t="s">
        <v>215</v>
      </c>
      <c r="H2343" t="s">
        <v>52</v>
      </c>
      <c r="I2343" t="s">
        <v>217</v>
      </c>
      <c r="J2343">
        <v>1</v>
      </c>
      <c r="N2343">
        <f>Таблица1[[#This Row],[Часов на заказчика  в работе]]+Таблица1[[#This Row],[Часов на заказчика  дежурство]]</f>
        <v>0</v>
      </c>
      <c r="O23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3" s="9"/>
      <c r="R2343" s="9"/>
      <c r="S2343" s="5"/>
      <c r="T23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табеле]])*S2343,0)</f>
        <v>0</v>
      </c>
      <c r="U2343" s="5">
        <f>IF(Таблица1[[#This Row],[ТТН]]&gt;0,Таблица1[[#This Row],[Ставка за ТТН]]*Таблица1[[#This Row],[ТТН]],0)</f>
        <v>0</v>
      </c>
    </row>
    <row r="2344" spans="1:21" x14ac:dyDescent="0.25">
      <c r="A2344" t="s">
        <v>84</v>
      </c>
      <c r="B2344" s="24">
        <v>27</v>
      </c>
      <c r="C2344" t="s">
        <v>166</v>
      </c>
      <c r="D2344" t="s">
        <v>12</v>
      </c>
      <c r="E2344" t="s">
        <v>215</v>
      </c>
      <c r="H2344" t="s">
        <v>52</v>
      </c>
      <c r="I2344" t="s">
        <v>217</v>
      </c>
      <c r="J2344">
        <v>1</v>
      </c>
      <c r="N2344">
        <f>Таблица1[[#This Row],[Часов на заказчика  в работе]]+Таблица1[[#This Row],[Часов на заказчика  дежурство]]</f>
        <v>0</v>
      </c>
      <c r="O23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4" s="9"/>
      <c r="R2344" s="9"/>
      <c r="S2344" s="5"/>
      <c r="T23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табеле]])*S2344,0)</f>
        <v>0</v>
      </c>
      <c r="U2344" s="5">
        <f>IF(Таблица1[[#This Row],[ТТН]]&gt;0,Таблица1[[#This Row],[Ставка за ТТН]]*Таблица1[[#This Row],[ТТН]],0)</f>
        <v>0</v>
      </c>
    </row>
    <row r="2345" spans="1:21" x14ac:dyDescent="0.25">
      <c r="A2345" t="s">
        <v>84</v>
      </c>
      <c r="B2345" s="24">
        <v>28</v>
      </c>
      <c r="C2345" t="s">
        <v>166</v>
      </c>
      <c r="D2345" t="s">
        <v>12</v>
      </c>
      <c r="E2345" t="s">
        <v>215</v>
      </c>
      <c r="H2345" t="s">
        <v>52</v>
      </c>
      <c r="I2345" t="s">
        <v>217</v>
      </c>
      <c r="J2345">
        <v>1</v>
      </c>
      <c r="N2345">
        <f>Таблица1[[#This Row],[Часов на заказчика  в работе]]+Таблица1[[#This Row],[Часов на заказчика  дежурство]]</f>
        <v>0</v>
      </c>
      <c r="O23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5" s="9"/>
      <c r="R2345" s="9"/>
      <c r="S2345" s="5"/>
      <c r="T23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табеле]])*S2345,0)</f>
        <v>0</v>
      </c>
      <c r="U2345" s="5">
        <f>IF(Таблица1[[#This Row],[ТТН]]&gt;0,Таблица1[[#This Row],[Ставка за ТТН]]*Таблица1[[#This Row],[ТТН]],0)</f>
        <v>0</v>
      </c>
    </row>
    <row r="2346" spans="1:21" x14ac:dyDescent="0.25">
      <c r="A2346" t="s">
        <v>84</v>
      </c>
      <c r="B2346" s="24">
        <v>29</v>
      </c>
      <c r="C2346" t="s">
        <v>166</v>
      </c>
      <c r="D2346" t="s">
        <v>12</v>
      </c>
      <c r="E2346" t="s">
        <v>215</v>
      </c>
      <c r="H2346" t="s">
        <v>52</v>
      </c>
      <c r="I2346" t="s">
        <v>217</v>
      </c>
      <c r="J2346">
        <v>1</v>
      </c>
      <c r="N2346">
        <f>Таблица1[[#This Row],[Часов на заказчика  в работе]]+Таблица1[[#This Row],[Часов на заказчика  дежурство]]</f>
        <v>0</v>
      </c>
      <c r="O23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6" s="9"/>
      <c r="R2346" s="9"/>
      <c r="S2346" s="5"/>
      <c r="T23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табеле]])*S2346,0)</f>
        <v>0</v>
      </c>
      <c r="U2346" s="5">
        <f>IF(Таблица1[[#This Row],[ТТН]]&gt;0,Таблица1[[#This Row],[Ставка за ТТН]]*Таблица1[[#This Row],[ТТН]],0)</f>
        <v>0</v>
      </c>
    </row>
    <row r="2347" spans="1:21" x14ac:dyDescent="0.25">
      <c r="A2347" t="s">
        <v>84</v>
      </c>
      <c r="B2347" s="24">
        <v>30</v>
      </c>
      <c r="C2347" t="s">
        <v>167</v>
      </c>
      <c r="D2347" t="s">
        <v>12</v>
      </c>
      <c r="E2347" t="s">
        <v>215</v>
      </c>
      <c r="H2347" t="s">
        <v>52</v>
      </c>
      <c r="I2347" t="s">
        <v>217</v>
      </c>
      <c r="J2347">
        <v>1</v>
      </c>
      <c r="N2347">
        <f>Таблица1[[#This Row],[Часов на заказчика  в работе]]+Таблица1[[#This Row],[Часов на заказчика  дежурство]]</f>
        <v>0</v>
      </c>
      <c r="O23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7" s="9"/>
      <c r="R2347" s="9"/>
      <c r="S2347" s="5"/>
      <c r="T23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табеле]])*S2347,0)</f>
        <v>0</v>
      </c>
      <c r="U2347" s="5">
        <f>IF(Таблица1[[#This Row],[ТТН]]&gt;0,Таблица1[[#This Row],[Ставка за ТТН]]*Таблица1[[#This Row],[ТТН]],0)</f>
        <v>0</v>
      </c>
    </row>
    <row r="2348" spans="1:21" x14ac:dyDescent="0.25">
      <c r="A2348" t="s">
        <v>84</v>
      </c>
      <c r="B2348" s="24">
        <v>1</v>
      </c>
      <c r="C2348" t="s">
        <v>167</v>
      </c>
      <c r="D2348" t="s">
        <v>12</v>
      </c>
      <c r="E2348" t="s">
        <v>215</v>
      </c>
      <c r="F2348" t="s">
        <v>68</v>
      </c>
      <c r="H2348" t="s">
        <v>10</v>
      </c>
      <c r="I2348" t="s">
        <v>219</v>
      </c>
      <c r="J2348">
        <v>11</v>
      </c>
      <c r="L2348">
        <v>11</v>
      </c>
      <c r="N2348">
        <f>Таблица1[[#This Row],[Часов на заказчика  в работе]]+Таблица1[[#This Row],[Часов на заказчика  дежурство]]</f>
        <v>11</v>
      </c>
      <c r="O23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8" s="9">
        <v>170000</v>
      </c>
      <c r="R2348" s="9"/>
      <c r="S2348" s="5">
        <v>1</v>
      </c>
      <c r="T23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табеле]])*S2348,0)</f>
        <v>5666.6666666666661</v>
      </c>
      <c r="U2348" s="5">
        <f>IF(Таблица1[[#This Row],[ТТН]]&gt;0,Таблица1[[#This Row],[Ставка за ТТН]]*Таблица1[[#This Row],[ТТН]],0)</f>
        <v>0</v>
      </c>
    </row>
    <row r="2349" spans="1:21" x14ac:dyDescent="0.25">
      <c r="A2349" t="s">
        <v>84</v>
      </c>
      <c r="B2349" s="24">
        <v>2</v>
      </c>
      <c r="C2349" t="s">
        <v>167</v>
      </c>
      <c r="D2349" t="s">
        <v>12</v>
      </c>
      <c r="E2349" t="s">
        <v>215</v>
      </c>
      <c r="F2349" t="s">
        <v>68</v>
      </c>
      <c r="H2349" t="s">
        <v>10</v>
      </c>
      <c r="I2349" t="s">
        <v>219</v>
      </c>
      <c r="J2349">
        <v>11</v>
      </c>
      <c r="L2349">
        <v>11</v>
      </c>
      <c r="N2349">
        <f>Таблица1[[#This Row],[Часов на заказчика  в работе]]+Таблица1[[#This Row],[Часов на заказчика  дежурство]]</f>
        <v>11</v>
      </c>
      <c r="O23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49" s="9">
        <v>170000</v>
      </c>
      <c r="R2349" s="9"/>
      <c r="S2349" s="5">
        <v>1</v>
      </c>
      <c r="T23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табеле]])*S2349,0)</f>
        <v>5666.6666666666661</v>
      </c>
      <c r="U2349" s="5">
        <f>IF(Таблица1[[#This Row],[ТТН]]&gt;0,Таблица1[[#This Row],[Ставка за ТТН]]*Таблица1[[#This Row],[ТТН]],0)</f>
        <v>0</v>
      </c>
    </row>
    <row r="2350" spans="1:21" x14ac:dyDescent="0.25">
      <c r="A2350" t="s">
        <v>84</v>
      </c>
      <c r="B2350" s="24">
        <v>3</v>
      </c>
      <c r="C2350" t="s">
        <v>167</v>
      </c>
      <c r="D2350" t="s">
        <v>12</v>
      </c>
      <c r="E2350" t="s">
        <v>215</v>
      </c>
      <c r="F2350" t="s">
        <v>68</v>
      </c>
      <c r="H2350" t="s">
        <v>10</v>
      </c>
      <c r="I2350" t="s">
        <v>219</v>
      </c>
      <c r="J2350">
        <v>11</v>
      </c>
      <c r="L2350">
        <v>11</v>
      </c>
      <c r="N2350">
        <f>Таблица1[[#This Row],[Часов на заказчика  в работе]]+Таблица1[[#This Row],[Часов на заказчика  дежурство]]</f>
        <v>11</v>
      </c>
      <c r="O23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0" s="9">
        <v>170000</v>
      </c>
      <c r="R2350" s="9"/>
      <c r="S2350" s="5">
        <v>1</v>
      </c>
      <c r="T23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табеле]])*S2350,0)</f>
        <v>5666.6666666666661</v>
      </c>
      <c r="U2350" s="5">
        <f>IF(Таблица1[[#This Row],[ТТН]]&gt;0,Таблица1[[#This Row],[Ставка за ТТН]]*Таблица1[[#This Row],[ТТН]],0)</f>
        <v>0</v>
      </c>
    </row>
    <row r="2351" spans="1:21" x14ac:dyDescent="0.25">
      <c r="A2351" t="s">
        <v>84</v>
      </c>
      <c r="B2351" s="24">
        <v>4</v>
      </c>
      <c r="C2351" t="s">
        <v>167</v>
      </c>
      <c r="D2351" t="s">
        <v>12</v>
      </c>
      <c r="E2351" t="s">
        <v>215</v>
      </c>
      <c r="F2351" t="s">
        <v>68</v>
      </c>
      <c r="H2351" t="s">
        <v>10</v>
      </c>
      <c r="I2351" t="s">
        <v>219</v>
      </c>
      <c r="J2351">
        <v>11</v>
      </c>
      <c r="L2351">
        <v>11</v>
      </c>
      <c r="N2351">
        <f>Таблица1[[#This Row],[Часов на заказчика  в работе]]+Таблица1[[#This Row],[Часов на заказчика  дежурство]]</f>
        <v>11</v>
      </c>
      <c r="O23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1" s="9">
        <v>170000</v>
      </c>
      <c r="R2351" s="9"/>
      <c r="S2351" s="5">
        <v>1</v>
      </c>
      <c r="T23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табеле]])*S2351,0)</f>
        <v>5666.6666666666661</v>
      </c>
      <c r="U2351" s="5">
        <f>IF(Таблица1[[#This Row],[ТТН]]&gt;0,Таблица1[[#This Row],[Ставка за ТТН]]*Таблица1[[#This Row],[ТТН]],0)</f>
        <v>0</v>
      </c>
    </row>
    <row r="2352" spans="1:21" x14ac:dyDescent="0.25">
      <c r="A2352" t="s">
        <v>84</v>
      </c>
      <c r="B2352" s="24">
        <v>5</v>
      </c>
      <c r="C2352" t="s">
        <v>167</v>
      </c>
      <c r="D2352" t="s">
        <v>12</v>
      </c>
      <c r="E2352" t="s">
        <v>215</v>
      </c>
      <c r="F2352" t="s">
        <v>68</v>
      </c>
      <c r="H2352" t="s">
        <v>38</v>
      </c>
      <c r="I2352" t="s">
        <v>219</v>
      </c>
      <c r="J2352">
        <v>11</v>
      </c>
      <c r="L2352">
        <v>11</v>
      </c>
      <c r="N2352">
        <f>Таблица1[[#This Row],[Часов на заказчика  в работе]]+Таблица1[[#This Row],[Часов на заказчика  дежурство]]</f>
        <v>11</v>
      </c>
      <c r="O23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2" s="9">
        <v>170000</v>
      </c>
      <c r="R2352" s="9"/>
      <c r="S2352" s="5">
        <v>1</v>
      </c>
      <c r="T23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табеле]])*S2352,0)</f>
        <v>5666.6666666666661</v>
      </c>
      <c r="U2352" s="5">
        <f>IF(Таблица1[[#This Row],[ТТН]]&gt;0,Таблица1[[#This Row],[Ставка за ТТН]]*Таблица1[[#This Row],[ТТН]],0)</f>
        <v>0</v>
      </c>
    </row>
    <row r="2353" spans="1:21" x14ac:dyDescent="0.25">
      <c r="A2353" t="s">
        <v>84</v>
      </c>
      <c r="B2353" s="24">
        <v>6</v>
      </c>
      <c r="C2353" t="s">
        <v>167</v>
      </c>
      <c r="D2353" t="s">
        <v>12</v>
      </c>
      <c r="E2353" t="s">
        <v>215</v>
      </c>
      <c r="F2353" t="s">
        <v>68</v>
      </c>
      <c r="H2353" t="s">
        <v>38</v>
      </c>
      <c r="I2353" t="s">
        <v>219</v>
      </c>
      <c r="J2353">
        <v>11</v>
      </c>
      <c r="L2353">
        <v>11</v>
      </c>
      <c r="N2353">
        <f>Таблица1[[#This Row],[Часов на заказчика  в работе]]+Таблица1[[#This Row],[Часов на заказчика  дежурство]]</f>
        <v>11</v>
      </c>
      <c r="O23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3" s="9">
        <v>170000</v>
      </c>
      <c r="R2353" s="9"/>
      <c r="S2353" s="5">
        <v>1</v>
      </c>
      <c r="T23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табеле]])*S2353,0)</f>
        <v>5666.6666666666661</v>
      </c>
      <c r="U2353" s="5">
        <f>IF(Таблица1[[#This Row],[ТТН]]&gt;0,Таблица1[[#This Row],[Ставка за ТТН]]*Таблица1[[#This Row],[ТТН]],0)</f>
        <v>0</v>
      </c>
    </row>
    <row r="2354" spans="1:21" x14ac:dyDescent="0.25">
      <c r="A2354" t="s">
        <v>84</v>
      </c>
      <c r="B2354" s="24">
        <v>7</v>
      </c>
      <c r="C2354" t="s">
        <v>167</v>
      </c>
      <c r="D2354" t="s">
        <v>12</v>
      </c>
      <c r="E2354" t="s">
        <v>215</v>
      </c>
      <c r="F2354" t="s">
        <v>68</v>
      </c>
      <c r="H2354" t="s">
        <v>10</v>
      </c>
      <c r="I2354" t="s">
        <v>219</v>
      </c>
      <c r="J2354">
        <v>11</v>
      </c>
      <c r="L2354">
        <v>11</v>
      </c>
      <c r="N2354">
        <f>Таблица1[[#This Row],[Часов на заказчика  в работе]]+Таблица1[[#This Row],[Часов на заказчика  дежурство]]</f>
        <v>11</v>
      </c>
      <c r="O23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4" s="9">
        <v>170000</v>
      </c>
      <c r="R2354" s="9"/>
      <c r="S2354" s="5">
        <v>1</v>
      </c>
      <c r="T23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табеле]])*S2354,0)</f>
        <v>5666.6666666666661</v>
      </c>
      <c r="U2354" s="5">
        <f>IF(Таблица1[[#This Row],[ТТН]]&gt;0,Таблица1[[#This Row],[Ставка за ТТН]]*Таблица1[[#This Row],[ТТН]],0)</f>
        <v>0</v>
      </c>
    </row>
    <row r="2355" spans="1:21" x14ac:dyDescent="0.25">
      <c r="A2355" t="s">
        <v>84</v>
      </c>
      <c r="B2355" s="24">
        <v>8</v>
      </c>
      <c r="C2355" t="s">
        <v>167</v>
      </c>
      <c r="D2355" t="s">
        <v>12</v>
      </c>
      <c r="E2355" t="s">
        <v>215</v>
      </c>
      <c r="F2355" t="s">
        <v>68</v>
      </c>
      <c r="H2355" t="s">
        <v>10</v>
      </c>
      <c r="I2355" t="s">
        <v>219</v>
      </c>
      <c r="J2355">
        <v>11</v>
      </c>
      <c r="L2355">
        <v>11</v>
      </c>
      <c r="N2355">
        <f>Таблица1[[#This Row],[Часов на заказчика  в работе]]+Таблица1[[#This Row],[Часов на заказчика  дежурство]]</f>
        <v>11</v>
      </c>
      <c r="O23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5" s="9">
        <v>170000</v>
      </c>
      <c r="R2355" s="9"/>
      <c r="S2355" s="5">
        <v>1</v>
      </c>
      <c r="T23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табеле]])*S2355,0)</f>
        <v>5666.6666666666661</v>
      </c>
      <c r="U2355" s="5">
        <f>IF(Таблица1[[#This Row],[ТТН]]&gt;0,Таблица1[[#This Row],[Ставка за ТТН]]*Таблица1[[#This Row],[ТТН]],0)</f>
        <v>0</v>
      </c>
    </row>
    <row r="2356" spans="1:21" x14ac:dyDescent="0.25">
      <c r="A2356" t="s">
        <v>84</v>
      </c>
      <c r="B2356" s="24">
        <v>9</v>
      </c>
      <c r="C2356" t="s">
        <v>167</v>
      </c>
      <c r="D2356" t="s">
        <v>12</v>
      </c>
      <c r="E2356" t="s">
        <v>215</v>
      </c>
      <c r="F2356" t="s">
        <v>68</v>
      </c>
      <c r="H2356" t="s">
        <v>10</v>
      </c>
      <c r="I2356" t="s">
        <v>219</v>
      </c>
      <c r="J2356">
        <v>11</v>
      </c>
      <c r="L2356">
        <v>11</v>
      </c>
      <c r="N2356">
        <f>Таблица1[[#This Row],[Часов на заказчика  в работе]]+Таблица1[[#This Row],[Часов на заказчика  дежурство]]</f>
        <v>11</v>
      </c>
      <c r="O23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6" s="9">
        <v>170000</v>
      </c>
      <c r="R2356" s="9"/>
      <c r="S2356" s="5">
        <v>1</v>
      </c>
      <c r="T23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табеле]])*S2356,0)</f>
        <v>5666.6666666666661</v>
      </c>
      <c r="U2356" s="5">
        <f>IF(Таблица1[[#This Row],[ТТН]]&gt;0,Таблица1[[#This Row],[Ставка за ТТН]]*Таблица1[[#This Row],[ТТН]],0)</f>
        <v>0</v>
      </c>
    </row>
    <row r="2357" spans="1:21" x14ac:dyDescent="0.25">
      <c r="A2357" t="s">
        <v>84</v>
      </c>
      <c r="B2357" s="24">
        <v>10</v>
      </c>
      <c r="C2357" t="s">
        <v>167</v>
      </c>
      <c r="D2357" t="s">
        <v>12</v>
      </c>
      <c r="E2357" t="s">
        <v>215</v>
      </c>
      <c r="F2357" t="s">
        <v>68</v>
      </c>
      <c r="H2357" t="s">
        <v>10</v>
      </c>
      <c r="I2357" t="s">
        <v>219</v>
      </c>
      <c r="J2357">
        <v>11</v>
      </c>
      <c r="L2357">
        <v>11</v>
      </c>
      <c r="N2357">
        <f>Таблица1[[#This Row],[Часов на заказчика  в работе]]+Таблица1[[#This Row],[Часов на заказчика  дежурство]]</f>
        <v>11</v>
      </c>
      <c r="O23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7" s="9">
        <v>170000</v>
      </c>
      <c r="R2357" s="9"/>
      <c r="S2357" s="5">
        <v>1</v>
      </c>
      <c r="T23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табеле]])*S2357,0)</f>
        <v>5666.6666666666661</v>
      </c>
      <c r="U2357" s="5">
        <f>IF(Таблица1[[#This Row],[ТТН]]&gt;0,Таблица1[[#This Row],[Ставка за ТТН]]*Таблица1[[#This Row],[ТТН]],0)</f>
        <v>0</v>
      </c>
    </row>
    <row r="2358" spans="1:21" x14ac:dyDescent="0.25">
      <c r="A2358" t="s">
        <v>84</v>
      </c>
      <c r="B2358" s="24">
        <v>11</v>
      </c>
      <c r="C2358" t="s">
        <v>167</v>
      </c>
      <c r="D2358" t="s">
        <v>12</v>
      </c>
      <c r="E2358" t="s">
        <v>215</v>
      </c>
      <c r="F2358" t="s">
        <v>68</v>
      </c>
      <c r="H2358" t="s">
        <v>10</v>
      </c>
      <c r="I2358" t="s">
        <v>219</v>
      </c>
      <c r="J2358">
        <v>11</v>
      </c>
      <c r="L2358">
        <v>11</v>
      </c>
      <c r="N2358">
        <f>Таблица1[[#This Row],[Часов на заказчика  в работе]]+Таблица1[[#This Row],[Часов на заказчика  дежурство]]</f>
        <v>11</v>
      </c>
      <c r="O23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8" s="9">
        <v>170000</v>
      </c>
      <c r="R2358" s="9"/>
      <c r="S2358" s="5">
        <v>1</v>
      </c>
      <c r="T23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табеле]])*S2358,0)</f>
        <v>5666.6666666666661</v>
      </c>
      <c r="U2358" s="5">
        <f>IF(Таблица1[[#This Row],[ТТН]]&gt;0,Таблица1[[#This Row],[Ставка за ТТН]]*Таблица1[[#This Row],[ТТН]],0)</f>
        <v>0</v>
      </c>
    </row>
    <row r="2359" spans="1:21" x14ac:dyDescent="0.25">
      <c r="A2359" t="s">
        <v>84</v>
      </c>
      <c r="B2359" s="24">
        <v>12</v>
      </c>
      <c r="C2359" t="s">
        <v>167</v>
      </c>
      <c r="D2359" t="s">
        <v>12</v>
      </c>
      <c r="E2359" t="s">
        <v>215</v>
      </c>
      <c r="F2359" t="s">
        <v>68</v>
      </c>
      <c r="H2359" t="s">
        <v>10</v>
      </c>
      <c r="I2359" t="s">
        <v>219</v>
      </c>
      <c r="J2359">
        <v>11</v>
      </c>
      <c r="L2359">
        <v>11</v>
      </c>
      <c r="N2359">
        <f>Таблица1[[#This Row],[Часов на заказчика  в работе]]+Таблица1[[#This Row],[Часов на заказчика  дежурство]]</f>
        <v>11</v>
      </c>
      <c r="O23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59" s="9">
        <v>170000</v>
      </c>
      <c r="R2359" s="9"/>
      <c r="S2359" s="5">
        <v>1</v>
      </c>
      <c r="T23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табеле]])*S2359,0)</f>
        <v>5666.6666666666661</v>
      </c>
      <c r="U2359" s="5">
        <f>IF(Таблица1[[#This Row],[ТТН]]&gt;0,Таблица1[[#This Row],[Ставка за ТТН]]*Таблица1[[#This Row],[ТТН]],0)</f>
        <v>0</v>
      </c>
    </row>
    <row r="2360" spans="1:21" x14ac:dyDescent="0.25">
      <c r="A2360" t="s">
        <v>84</v>
      </c>
      <c r="B2360" s="24">
        <v>13</v>
      </c>
      <c r="C2360" t="s">
        <v>167</v>
      </c>
      <c r="D2360" t="s">
        <v>12</v>
      </c>
      <c r="E2360" t="s">
        <v>215</v>
      </c>
      <c r="F2360" t="s">
        <v>68</v>
      </c>
      <c r="H2360" t="s">
        <v>10</v>
      </c>
      <c r="I2360" t="s">
        <v>219</v>
      </c>
      <c r="J2360">
        <v>11</v>
      </c>
      <c r="L2360">
        <v>11</v>
      </c>
      <c r="N2360">
        <f>Таблица1[[#This Row],[Часов на заказчика  в работе]]+Таблица1[[#This Row],[Часов на заказчика  дежурство]]</f>
        <v>11</v>
      </c>
      <c r="O23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0" s="9">
        <v>170000</v>
      </c>
      <c r="R2360" s="9"/>
      <c r="S2360" s="5">
        <v>1</v>
      </c>
      <c r="T23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табеле]])*S2360,0)</f>
        <v>5666.6666666666661</v>
      </c>
      <c r="U2360" s="5">
        <f>IF(Таблица1[[#This Row],[ТТН]]&gt;0,Таблица1[[#This Row],[Ставка за ТТН]]*Таблица1[[#This Row],[ТТН]],0)</f>
        <v>0</v>
      </c>
    </row>
    <row r="2361" spans="1:21" x14ac:dyDescent="0.25">
      <c r="A2361" t="s">
        <v>84</v>
      </c>
      <c r="B2361" s="24">
        <v>14</v>
      </c>
      <c r="C2361" t="s">
        <v>167</v>
      </c>
      <c r="D2361" t="s">
        <v>12</v>
      </c>
      <c r="E2361" t="s">
        <v>215</v>
      </c>
      <c r="F2361" t="s">
        <v>68</v>
      </c>
      <c r="H2361" t="s">
        <v>10</v>
      </c>
      <c r="I2361" t="s">
        <v>219</v>
      </c>
      <c r="J2361">
        <v>11</v>
      </c>
      <c r="L2361">
        <v>11</v>
      </c>
      <c r="N2361">
        <f>Таблица1[[#This Row],[Часов на заказчика  в работе]]+Таблица1[[#This Row],[Часов на заказчика  дежурство]]</f>
        <v>11</v>
      </c>
      <c r="O23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1" s="9">
        <v>170000</v>
      </c>
      <c r="R2361" s="9"/>
      <c r="S2361" s="5">
        <v>1</v>
      </c>
      <c r="T23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табеле]])*S2361,0)</f>
        <v>5666.6666666666661</v>
      </c>
      <c r="U2361" s="5">
        <f>IF(Таблица1[[#This Row],[ТТН]]&gt;0,Таблица1[[#This Row],[Ставка за ТТН]]*Таблица1[[#This Row],[ТТН]],0)</f>
        <v>0</v>
      </c>
    </row>
    <row r="2362" spans="1:21" x14ac:dyDescent="0.25">
      <c r="A2362" t="s">
        <v>84</v>
      </c>
      <c r="B2362" s="24">
        <v>15</v>
      </c>
      <c r="C2362" t="s">
        <v>167</v>
      </c>
      <c r="D2362" t="s">
        <v>12</v>
      </c>
      <c r="E2362" t="s">
        <v>215</v>
      </c>
      <c r="F2362" t="s">
        <v>68</v>
      </c>
      <c r="H2362" t="s">
        <v>10</v>
      </c>
      <c r="I2362" t="s">
        <v>219</v>
      </c>
      <c r="J2362">
        <v>11</v>
      </c>
      <c r="L2362">
        <v>11</v>
      </c>
      <c r="N2362">
        <f>Таблица1[[#This Row],[Часов на заказчика  в работе]]+Таблица1[[#This Row],[Часов на заказчика  дежурство]]</f>
        <v>11</v>
      </c>
      <c r="O23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2" s="9">
        <v>170000</v>
      </c>
      <c r="R2362" s="9"/>
      <c r="S2362" s="5">
        <v>1</v>
      </c>
      <c r="T23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табеле]])*S2362,0)</f>
        <v>5666.6666666666661</v>
      </c>
      <c r="U2362" s="5">
        <f>IF(Таблица1[[#This Row],[ТТН]]&gt;0,Таблица1[[#This Row],[Ставка за ТТН]]*Таблица1[[#This Row],[ТТН]],0)</f>
        <v>0</v>
      </c>
    </row>
    <row r="2363" spans="1:21" x14ac:dyDescent="0.25">
      <c r="A2363" t="s">
        <v>84</v>
      </c>
      <c r="B2363" s="24">
        <v>16</v>
      </c>
      <c r="C2363" t="s">
        <v>167</v>
      </c>
      <c r="D2363" t="s">
        <v>12</v>
      </c>
      <c r="E2363" t="s">
        <v>215</v>
      </c>
      <c r="F2363" t="s">
        <v>68</v>
      </c>
      <c r="H2363" t="s">
        <v>10</v>
      </c>
      <c r="I2363" t="s">
        <v>219</v>
      </c>
      <c r="J2363">
        <v>11</v>
      </c>
      <c r="L2363">
        <v>11</v>
      </c>
      <c r="N2363">
        <f>Таблица1[[#This Row],[Часов на заказчика  в работе]]+Таблица1[[#This Row],[Часов на заказчика  дежурство]]</f>
        <v>11</v>
      </c>
      <c r="O23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3" s="9">
        <v>170000</v>
      </c>
      <c r="R2363" s="9"/>
      <c r="S2363" s="5">
        <v>1</v>
      </c>
      <c r="T23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табеле]])*S2363,0)</f>
        <v>5666.6666666666661</v>
      </c>
      <c r="U2363" s="5">
        <f>IF(Таблица1[[#This Row],[ТТН]]&gt;0,Таблица1[[#This Row],[Ставка за ТТН]]*Таблица1[[#This Row],[ТТН]],0)</f>
        <v>0</v>
      </c>
    </row>
    <row r="2364" spans="1:21" x14ac:dyDescent="0.25">
      <c r="A2364" t="s">
        <v>84</v>
      </c>
      <c r="B2364" s="24">
        <v>17</v>
      </c>
      <c r="C2364" t="s">
        <v>167</v>
      </c>
      <c r="D2364" t="s">
        <v>12</v>
      </c>
      <c r="E2364" t="s">
        <v>215</v>
      </c>
      <c r="F2364" t="s">
        <v>68</v>
      </c>
      <c r="H2364" t="s">
        <v>10</v>
      </c>
      <c r="I2364" t="s">
        <v>219</v>
      </c>
      <c r="J2364">
        <v>11</v>
      </c>
      <c r="L2364">
        <v>11</v>
      </c>
      <c r="N2364">
        <f>Таблица1[[#This Row],[Часов на заказчика  в работе]]+Таблица1[[#This Row],[Часов на заказчика  дежурство]]</f>
        <v>11</v>
      </c>
      <c r="O23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4" s="9">
        <v>170000</v>
      </c>
      <c r="R2364" s="9"/>
      <c r="S2364" s="5">
        <v>1</v>
      </c>
      <c r="T23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табеле]])*S2364,0)</f>
        <v>5666.6666666666661</v>
      </c>
      <c r="U2364" s="5">
        <f>IF(Таблица1[[#This Row],[ТТН]]&gt;0,Таблица1[[#This Row],[Ставка за ТТН]]*Таблица1[[#This Row],[ТТН]],0)</f>
        <v>0</v>
      </c>
    </row>
    <row r="2365" spans="1:21" x14ac:dyDescent="0.25">
      <c r="A2365" t="s">
        <v>84</v>
      </c>
      <c r="B2365" s="24">
        <v>18</v>
      </c>
      <c r="C2365" t="s">
        <v>167</v>
      </c>
      <c r="D2365" t="s">
        <v>12</v>
      </c>
      <c r="E2365" t="s">
        <v>215</v>
      </c>
      <c r="F2365" t="s">
        <v>68</v>
      </c>
      <c r="H2365" t="s">
        <v>10</v>
      </c>
      <c r="I2365" t="s">
        <v>219</v>
      </c>
      <c r="J2365">
        <v>11</v>
      </c>
      <c r="L2365">
        <v>11</v>
      </c>
      <c r="N2365">
        <f>Таблица1[[#This Row],[Часов на заказчика  в работе]]+Таблица1[[#This Row],[Часов на заказчика  дежурство]]</f>
        <v>11</v>
      </c>
      <c r="O23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5" s="9">
        <v>170000</v>
      </c>
      <c r="R2365" s="9"/>
      <c r="S2365" s="5">
        <v>1</v>
      </c>
      <c r="T23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табеле]])*S2365,0)</f>
        <v>5666.6666666666661</v>
      </c>
      <c r="U2365" s="5">
        <f>IF(Таблица1[[#This Row],[ТТН]]&gt;0,Таблица1[[#This Row],[Ставка за ТТН]]*Таблица1[[#This Row],[ТТН]],0)</f>
        <v>0</v>
      </c>
    </row>
    <row r="2366" spans="1:21" x14ac:dyDescent="0.25">
      <c r="A2366" t="s">
        <v>84</v>
      </c>
      <c r="B2366" s="24">
        <v>19</v>
      </c>
      <c r="C2366" t="s">
        <v>167</v>
      </c>
      <c r="D2366" t="s">
        <v>12</v>
      </c>
      <c r="E2366" t="s">
        <v>215</v>
      </c>
      <c r="F2366" t="s">
        <v>68</v>
      </c>
      <c r="H2366" t="s">
        <v>10</v>
      </c>
      <c r="I2366" t="s">
        <v>219</v>
      </c>
      <c r="J2366">
        <v>11</v>
      </c>
      <c r="L2366">
        <v>11</v>
      </c>
      <c r="N2366">
        <f>Таблица1[[#This Row],[Часов на заказчика  в работе]]+Таблица1[[#This Row],[Часов на заказчика  дежурство]]</f>
        <v>11</v>
      </c>
      <c r="O23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6" s="9">
        <v>170000</v>
      </c>
      <c r="R2366" s="9"/>
      <c r="S2366" s="5">
        <v>1</v>
      </c>
      <c r="T23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табеле]])*S2366,0)</f>
        <v>5666.6666666666661</v>
      </c>
      <c r="U2366" s="5">
        <f>IF(Таблица1[[#This Row],[ТТН]]&gt;0,Таблица1[[#This Row],[Ставка за ТТН]]*Таблица1[[#This Row],[ТТН]],0)</f>
        <v>0</v>
      </c>
    </row>
    <row r="2367" spans="1:21" x14ac:dyDescent="0.25">
      <c r="A2367" t="s">
        <v>84</v>
      </c>
      <c r="B2367" s="24">
        <v>20</v>
      </c>
      <c r="C2367" t="s">
        <v>167</v>
      </c>
      <c r="D2367" t="s">
        <v>12</v>
      </c>
      <c r="E2367" t="s">
        <v>215</v>
      </c>
      <c r="F2367" t="s">
        <v>68</v>
      </c>
      <c r="H2367" t="s">
        <v>10</v>
      </c>
      <c r="I2367" t="s">
        <v>219</v>
      </c>
      <c r="J2367">
        <v>11</v>
      </c>
      <c r="L2367">
        <v>11</v>
      </c>
      <c r="N2367">
        <f>Таблица1[[#This Row],[Часов на заказчика  в работе]]+Таблица1[[#This Row],[Часов на заказчика  дежурство]]</f>
        <v>11</v>
      </c>
      <c r="O23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7" s="9">
        <v>170000</v>
      </c>
      <c r="R2367" s="9"/>
      <c r="S2367" s="5">
        <v>1</v>
      </c>
      <c r="T23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табеле]])*S2367,0)</f>
        <v>5666.6666666666661</v>
      </c>
      <c r="U2367" s="5">
        <f>IF(Таблица1[[#This Row],[ТТН]]&gt;0,Таблица1[[#This Row],[Ставка за ТТН]]*Таблица1[[#This Row],[ТТН]],0)</f>
        <v>0</v>
      </c>
    </row>
    <row r="2368" spans="1:21" x14ac:dyDescent="0.25">
      <c r="A2368" t="s">
        <v>84</v>
      </c>
      <c r="B2368" s="24">
        <v>21</v>
      </c>
      <c r="C2368" t="s">
        <v>167</v>
      </c>
      <c r="D2368" t="s">
        <v>12</v>
      </c>
      <c r="E2368" t="s">
        <v>215</v>
      </c>
      <c r="F2368" t="s">
        <v>68</v>
      </c>
      <c r="H2368" t="s">
        <v>10</v>
      </c>
      <c r="I2368" t="s">
        <v>219</v>
      </c>
      <c r="J2368">
        <v>11</v>
      </c>
      <c r="L2368">
        <v>11</v>
      </c>
      <c r="N2368">
        <f>Таблица1[[#This Row],[Часов на заказчика  в работе]]+Таблица1[[#This Row],[Часов на заказчика  дежурство]]</f>
        <v>11</v>
      </c>
      <c r="O23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8" s="9">
        <v>170000</v>
      </c>
      <c r="R2368" s="9"/>
      <c r="S2368" s="5">
        <v>1</v>
      </c>
      <c r="T23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табеле]])*S2368,0)</f>
        <v>5666.6666666666661</v>
      </c>
      <c r="U2368" s="5">
        <f>IF(Таблица1[[#This Row],[ТТН]]&gt;0,Таблица1[[#This Row],[Ставка за ТТН]]*Таблица1[[#This Row],[ТТН]],0)</f>
        <v>0</v>
      </c>
    </row>
    <row r="2369" spans="1:21" x14ac:dyDescent="0.25">
      <c r="A2369" t="s">
        <v>84</v>
      </c>
      <c r="B2369" s="24">
        <v>22</v>
      </c>
      <c r="C2369" t="s">
        <v>167</v>
      </c>
      <c r="D2369" t="s">
        <v>12</v>
      </c>
      <c r="E2369" t="s">
        <v>215</v>
      </c>
      <c r="F2369" t="s">
        <v>68</v>
      </c>
      <c r="H2369" t="s">
        <v>10</v>
      </c>
      <c r="I2369" t="s">
        <v>219</v>
      </c>
      <c r="J2369">
        <v>11</v>
      </c>
      <c r="L2369">
        <v>11</v>
      </c>
      <c r="N2369">
        <f>Таблица1[[#This Row],[Часов на заказчика  в работе]]+Таблица1[[#This Row],[Часов на заказчика  дежурство]]</f>
        <v>11</v>
      </c>
      <c r="O23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69" s="9">
        <v>170000</v>
      </c>
      <c r="R2369" s="9"/>
      <c r="S2369" s="5">
        <v>1</v>
      </c>
      <c r="T23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табеле]])*S2369,0)</f>
        <v>5666.6666666666661</v>
      </c>
      <c r="U2369" s="5">
        <f>IF(Таблица1[[#This Row],[ТТН]]&gt;0,Таблица1[[#This Row],[Ставка за ТТН]]*Таблица1[[#This Row],[ТТН]],0)</f>
        <v>0</v>
      </c>
    </row>
    <row r="2370" spans="1:21" x14ac:dyDescent="0.25">
      <c r="A2370" t="s">
        <v>84</v>
      </c>
      <c r="B2370" s="24">
        <v>23</v>
      </c>
      <c r="C2370" t="s">
        <v>167</v>
      </c>
      <c r="D2370" t="s">
        <v>12</v>
      </c>
      <c r="E2370" t="s">
        <v>215</v>
      </c>
      <c r="F2370" t="s">
        <v>68</v>
      </c>
      <c r="H2370" t="s">
        <v>10</v>
      </c>
      <c r="I2370" t="s">
        <v>219</v>
      </c>
      <c r="J2370">
        <v>11</v>
      </c>
      <c r="L2370">
        <v>11</v>
      </c>
      <c r="N2370">
        <f>Таблица1[[#This Row],[Часов на заказчика  в работе]]+Таблица1[[#This Row],[Часов на заказчика  дежурство]]</f>
        <v>11</v>
      </c>
      <c r="O23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0" s="9">
        <v>170000</v>
      </c>
      <c r="R2370" s="9"/>
      <c r="S2370" s="5">
        <v>1</v>
      </c>
      <c r="T23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табеле]])*S2370,0)</f>
        <v>5666.6666666666661</v>
      </c>
      <c r="U2370" s="5">
        <f>IF(Таблица1[[#This Row],[ТТН]]&gt;0,Таблица1[[#This Row],[Ставка за ТТН]]*Таблица1[[#This Row],[ТТН]],0)</f>
        <v>0</v>
      </c>
    </row>
    <row r="2371" spans="1:21" x14ac:dyDescent="0.25">
      <c r="A2371" t="s">
        <v>84</v>
      </c>
      <c r="B2371" s="24">
        <v>24</v>
      </c>
      <c r="C2371" t="s">
        <v>167</v>
      </c>
      <c r="D2371" t="s">
        <v>12</v>
      </c>
      <c r="E2371" t="s">
        <v>215</v>
      </c>
      <c r="F2371" t="s">
        <v>68</v>
      </c>
      <c r="H2371" t="s">
        <v>10</v>
      </c>
      <c r="I2371" t="s">
        <v>219</v>
      </c>
      <c r="J2371">
        <v>22</v>
      </c>
      <c r="L2371">
        <v>22</v>
      </c>
      <c r="N2371">
        <f>Таблица1[[#This Row],[Часов на заказчика  в работе]]+Таблица1[[#This Row],[Часов на заказчика  дежурство]]</f>
        <v>22</v>
      </c>
      <c r="O23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1" s="9">
        <v>170000</v>
      </c>
      <c r="R2371" s="9"/>
      <c r="S2371" s="5">
        <v>1</v>
      </c>
      <c r="T23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табеле]])*S2371,0)</f>
        <v>11333.333333333332</v>
      </c>
      <c r="U2371" s="5">
        <f>IF(Таблица1[[#This Row],[ТТН]]&gt;0,Таблица1[[#This Row],[Ставка за ТТН]]*Таблица1[[#This Row],[ТТН]],0)</f>
        <v>0</v>
      </c>
    </row>
    <row r="2372" spans="1:21" x14ac:dyDescent="0.25">
      <c r="A2372" t="s">
        <v>84</v>
      </c>
      <c r="B2372" s="24">
        <v>25</v>
      </c>
      <c r="C2372" t="s">
        <v>167</v>
      </c>
      <c r="D2372" t="s">
        <v>12</v>
      </c>
      <c r="E2372" t="s">
        <v>215</v>
      </c>
      <c r="F2372" t="s">
        <v>68</v>
      </c>
      <c r="H2372" t="s">
        <v>10</v>
      </c>
      <c r="I2372" t="s">
        <v>219</v>
      </c>
      <c r="J2372">
        <v>11</v>
      </c>
      <c r="L2372">
        <v>11</v>
      </c>
      <c r="N2372">
        <f>Таблица1[[#This Row],[Часов на заказчика  в работе]]+Таблица1[[#This Row],[Часов на заказчика  дежурство]]</f>
        <v>11</v>
      </c>
      <c r="O23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2" s="9">
        <v>170000</v>
      </c>
      <c r="R2372" s="9"/>
      <c r="S2372" s="5">
        <v>1</v>
      </c>
      <c r="T23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табеле]])*S2372,0)</f>
        <v>5666.6666666666661</v>
      </c>
      <c r="U2372" s="5">
        <f>IF(Таблица1[[#This Row],[ТТН]]&gt;0,Таблица1[[#This Row],[Ставка за ТТН]]*Таблица1[[#This Row],[ТТН]],0)</f>
        <v>0</v>
      </c>
    </row>
    <row r="2373" spans="1:21" x14ac:dyDescent="0.25">
      <c r="A2373" t="s">
        <v>84</v>
      </c>
      <c r="B2373" s="24">
        <v>26</v>
      </c>
      <c r="C2373" t="s">
        <v>167</v>
      </c>
      <c r="D2373" t="s">
        <v>12</v>
      </c>
      <c r="E2373" t="s">
        <v>215</v>
      </c>
      <c r="F2373" t="s">
        <v>68</v>
      </c>
      <c r="H2373" t="s">
        <v>10</v>
      </c>
      <c r="I2373" t="s">
        <v>219</v>
      </c>
      <c r="J2373">
        <v>11</v>
      </c>
      <c r="L2373">
        <v>11</v>
      </c>
      <c r="N2373">
        <f>Таблица1[[#This Row],[Часов на заказчика  в работе]]+Таблица1[[#This Row],[Часов на заказчика  дежурство]]</f>
        <v>11</v>
      </c>
      <c r="O23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3" s="9">
        <v>170000</v>
      </c>
      <c r="R2373" s="9"/>
      <c r="S2373" s="5">
        <v>1</v>
      </c>
      <c r="T23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табеле]])*S2373,0)</f>
        <v>5666.6666666666661</v>
      </c>
      <c r="U2373" s="5">
        <f>IF(Таблица1[[#This Row],[ТТН]]&gt;0,Таблица1[[#This Row],[Ставка за ТТН]]*Таблица1[[#This Row],[ТТН]],0)</f>
        <v>0</v>
      </c>
    </row>
    <row r="2374" spans="1:21" x14ac:dyDescent="0.25">
      <c r="A2374" t="s">
        <v>84</v>
      </c>
      <c r="B2374" s="24">
        <v>27</v>
      </c>
      <c r="C2374" t="s">
        <v>167</v>
      </c>
      <c r="D2374" t="s">
        <v>12</v>
      </c>
      <c r="E2374" t="s">
        <v>215</v>
      </c>
      <c r="F2374" t="s">
        <v>68</v>
      </c>
      <c r="H2374" t="s">
        <v>10</v>
      </c>
      <c r="I2374" t="s">
        <v>219</v>
      </c>
      <c r="J2374">
        <v>11</v>
      </c>
      <c r="L2374">
        <v>11</v>
      </c>
      <c r="N2374">
        <f>Таблица1[[#This Row],[Часов на заказчика  в работе]]+Таблица1[[#This Row],[Часов на заказчика  дежурство]]</f>
        <v>11</v>
      </c>
      <c r="O23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4" s="9">
        <v>170000</v>
      </c>
      <c r="R2374" s="9"/>
      <c r="S2374" s="5">
        <v>1</v>
      </c>
      <c r="T23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табеле]])*S2374,0)</f>
        <v>5666.6666666666661</v>
      </c>
      <c r="U2374" s="5">
        <f>IF(Таблица1[[#This Row],[ТТН]]&gt;0,Таблица1[[#This Row],[Ставка за ТТН]]*Таблица1[[#This Row],[ТТН]],0)</f>
        <v>0</v>
      </c>
    </row>
    <row r="2375" spans="1:21" x14ac:dyDescent="0.25">
      <c r="A2375" t="s">
        <v>84</v>
      </c>
      <c r="B2375" s="24">
        <v>28</v>
      </c>
      <c r="C2375" t="s">
        <v>167</v>
      </c>
      <c r="D2375" t="s">
        <v>12</v>
      </c>
      <c r="E2375" t="s">
        <v>215</v>
      </c>
      <c r="F2375" t="s">
        <v>68</v>
      </c>
      <c r="H2375" t="s">
        <v>10</v>
      </c>
      <c r="I2375" t="s">
        <v>219</v>
      </c>
      <c r="J2375">
        <v>11</v>
      </c>
      <c r="L2375">
        <v>11</v>
      </c>
      <c r="N2375">
        <f>Таблица1[[#This Row],[Часов на заказчика  в работе]]+Таблица1[[#This Row],[Часов на заказчика  дежурство]]</f>
        <v>11</v>
      </c>
      <c r="O23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5" s="9">
        <v>170000</v>
      </c>
      <c r="R2375" s="9"/>
      <c r="S2375" s="5">
        <v>1</v>
      </c>
      <c r="T23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табеле]])*S2375,0)</f>
        <v>5666.6666666666661</v>
      </c>
      <c r="U2375" s="5">
        <f>IF(Таблица1[[#This Row],[ТТН]]&gt;0,Таблица1[[#This Row],[Ставка за ТТН]]*Таблица1[[#This Row],[ТТН]],0)</f>
        <v>0</v>
      </c>
    </row>
    <row r="2376" spans="1:21" x14ac:dyDescent="0.25">
      <c r="A2376" t="s">
        <v>84</v>
      </c>
      <c r="B2376" s="24">
        <v>29</v>
      </c>
      <c r="C2376" t="s">
        <v>167</v>
      </c>
      <c r="D2376" t="s">
        <v>12</v>
      </c>
      <c r="E2376" t="s">
        <v>215</v>
      </c>
      <c r="F2376" t="s">
        <v>68</v>
      </c>
      <c r="H2376" t="s">
        <v>10</v>
      </c>
      <c r="I2376" t="s">
        <v>219</v>
      </c>
      <c r="J2376">
        <v>22</v>
      </c>
      <c r="L2376">
        <v>22</v>
      </c>
      <c r="N2376">
        <f>Таблица1[[#This Row],[Часов на заказчика  в работе]]+Таблица1[[#This Row],[Часов на заказчика  дежурство]]</f>
        <v>22</v>
      </c>
      <c r="O23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6" s="9">
        <v>170000</v>
      </c>
      <c r="R2376" s="9"/>
      <c r="S2376" s="5">
        <v>1</v>
      </c>
      <c r="T23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табеле]])*S2376,0)</f>
        <v>11333.333333333332</v>
      </c>
      <c r="U2376" s="5">
        <f>IF(Таблица1[[#This Row],[ТТН]]&gt;0,Таблица1[[#This Row],[Ставка за ТТН]]*Таблица1[[#This Row],[ТТН]],0)</f>
        <v>0</v>
      </c>
    </row>
    <row r="2377" spans="1:21" x14ac:dyDescent="0.25">
      <c r="A2377" t="s">
        <v>84</v>
      </c>
      <c r="B2377" s="24">
        <v>30</v>
      </c>
      <c r="C2377" t="s">
        <v>168</v>
      </c>
      <c r="D2377" t="s">
        <v>12</v>
      </c>
      <c r="E2377" t="s">
        <v>215</v>
      </c>
      <c r="F2377" t="s">
        <v>68</v>
      </c>
      <c r="H2377" t="s">
        <v>10</v>
      </c>
      <c r="I2377" t="s">
        <v>219</v>
      </c>
      <c r="J2377">
        <v>14</v>
      </c>
      <c r="L2377">
        <v>14</v>
      </c>
      <c r="N2377">
        <f>Таблица1[[#This Row],[Часов на заказчика  в работе]]+Таблица1[[#This Row],[Часов на заказчика  дежурство]]</f>
        <v>14</v>
      </c>
      <c r="O23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7" s="9">
        <v>170000</v>
      </c>
      <c r="R2377" s="9"/>
      <c r="S2377" s="5">
        <v>1</v>
      </c>
      <c r="T23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табеле]])*S2377,0)</f>
        <v>7212.121212121212</v>
      </c>
      <c r="U2377" s="5">
        <f>IF(Таблица1[[#This Row],[ТТН]]&gt;0,Таблица1[[#This Row],[Ставка за ТТН]]*Таблица1[[#This Row],[ТТН]],0)</f>
        <v>0</v>
      </c>
    </row>
    <row r="2378" spans="1:21" x14ac:dyDescent="0.25">
      <c r="A2378" t="s">
        <v>84</v>
      </c>
      <c r="B2378" s="24">
        <v>1</v>
      </c>
      <c r="C2378" t="s">
        <v>168</v>
      </c>
      <c r="D2378" t="s">
        <v>12</v>
      </c>
      <c r="E2378" t="s">
        <v>215</v>
      </c>
      <c r="F2378" t="s">
        <v>72</v>
      </c>
      <c r="H2378" t="s">
        <v>52</v>
      </c>
      <c r="I2378" t="s">
        <v>217</v>
      </c>
      <c r="J2378">
        <v>1</v>
      </c>
      <c r="N2378">
        <f>Таблица1[[#This Row],[Часов на заказчика  в работе]]+Таблица1[[#This Row],[Часов на заказчика  дежурство]]</f>
        <v>0</v>
      </c>
      <c r="O23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8" s="9">
        <v>190000</v>
      </c>
      <c r="R2378" s="9"/>
      <c r="S2378" s="5">
        <v>1</v>
      </c>
      <c r="T23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табеле]])*S2378,0)</f>
        <v>0</v>
      </c>
      <c r="U2378" s="5">
        <f>IF(Таблица1[[#This Row],[ТТН]]&gt;0,Таблица1[[#This Row],[Ставка за ТТН]]*Таблица1[[#This Row],[ТТН]],0)</f>
        <v>0</v>
      </c>
    </row>
    <row r="2379" spans="1:21" x14ac:dyDescent="0.25">
      <c r="A2379" t="s">
        <v>84</v>
      </c>
      <c r="B2379" s="24">
        <v>2</v>
      </c>
      <c r="C2379" t="s">
        <v>168</v>
      </c>
      <c r="D2379" t="s">
        <v>12</v>
      </c>
      <c r="E2379" t="s">
        <v>215</v>
      </c>
      <c r="F2379" t="s">
        <v>72</v>
      </c>
      <c r="H2379" t="s">
        <v>52</v>
      </c>
      <c r="I2379" t="s">
        <v>217</v>
      </c>
      <c r="J2379">
        <v>1</v>
      </c>
      <c r="N2379">
        <f>Таблица1[[#This Row],[Часов на заказчика  в работе]]+Таблица1[[#This Row],[Часов на заказчика  дежурство]]</f>
        <v>0</v>
      </c>
      <c r="O23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79" s="9">
        <v>190000</v>
      </c>
      <c r="R2379" s="9"/>
      <c r="S2379" s="5">
        <v>1</v>
      </c>
      <c r="T23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табеле]])*S2379,0)</f>
        <v>0</v>
      </c>
      <c r="U2379" s="5">
        <f>IF(Таблица1[[#This Row],[ТТН]]&gt;0,Таблица1[[#This Row],[Ставка за ТТН]]*Таблица1[[#This Row],[ТТН]],0)</f>
        <v>0</v>
      </c>
    </row>
    <row r="2380" spans="1:21" x14ac:dyDescent="0.25">
      <c r="A2380" t="s">
        <v>84</v>
      </c>
      <c r="B2380" s="24">
        <v>3</v>
      </c>
      <c r="C2380" t="s">
        <v>168</v>
      </c>
      <c r="D2380" t="s">
        <v>12</v>
      </c>
      <c r="E2380" t="s">
        <v>215</v>
      </c>
      <c r="F2380" t="s">
        <v>72</v>
      </c>
      <c r="H2380" t="s">
        <v>52</v>
      </c>
      <c r="I2380" t="s">
        <v>217</v>
      </c>
      <c r="J2380">
        <v>1</v>
      </c>
      <c r="N2380">
        <f>Таблица1[[#This Row],[Часов на заказчика  в работе]]+Таблица1[[#This Row],[Часов на заказчика  дежурство]]</f>
        <v>0</v>
      </c>
      <c r="O23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0" s="9">
        <v>190000</v>
      </c>
      <c r="R2380" s="9"/>
      <c r="S2380" s="5">
        <v>1</v>
      </c>
      <c r="T23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табеле]])*S2380,0)</f>
        <v>0</v>
      </c>
      <c r="U2380" s="5">
        <f>IF(Таблица1[[#This Row],[ТТН]]&gt;0,Таблица1[[#This Row],[Ставка за ТТН]]*Таблица1[[#This Row],[ТТН]],0)</f>
        <v>0</v>
      </c>
    </row>
    <row r="2381" spans="1:21" x14ac:dyDescent="0.25">
      <c r="A2381" t="s">
        <v>84</v>
      </c>
      <c r="B2381" s="24">
        <v>4</v>
      </c>
      <c r="C2381" t="s">
        <v>168</v>
      </c>
      <c r="D2381" t="s">
        <v>12</v>
      </c>
      <c r="E2381" t="s">
        <v>215</v>
      </c>
      <c r="F2381" t="s">
        <v>72</v>
      </c>
      <c r="H2381" t="s">
        <v>52</v>
      </c>
      <c r="I2381" t="s">
        <v>217</v>
      </c>
      <c r="J2381">
        <v>1</v>
      </c>
      <c r="N2381">
        <f>Таблица1[[#This Row],[Часов на заказчика  в работе]]+Таблица1[[#This Row],[Часов на заказчика  дежурство]]</f>
        <v>0</v>
      </c>
      <c r="O23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1" s="9">
        <v>190000</v>
      </c>
      <c r="R2381" s="9"/>
      <c r="S2381" s="5">
        <v>1</v>
      </c>
      <c r="T23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табеле]])*S2381,0)</f>
        <v>0</v>
      </c>
      <c r="U2381" s="5">
        <f>IF(Таблица1[[#This Row],[ТТН]]&gt;0,Таблица1[[#This Row],[Ставка за ТТН]]*Таблица1[[#This Row],[ТТН]],0)</f>
        <v>0</v>
      </c>
    </row>
    <row r="2382" spans="1:21" x14ac:dyDescent="0.25">
      <c r="A2382" t="s">
        <v>84</v>
      </c>
      <c r="B2382" s="24">
        <v>5</v>
      </c>
      <c r="C2382" t="s">
        <v>168</v>
      </c>
      <c r="D2382" t="s">
        <v>12</v>
      </c>
      <c r="E2382" t="s">
        <v>215</v>
      </c>
      <c r="F2382" t="s">
        <v>72</v>
      </c>
      <c r="H2382" t="s">
        <v>52</v>
      </c>
      <c r="I2382" t="s">
        <v>217</v>
      </c>
      <c r="J2382">
        <v>1</v>
      </c>
      <c r="N2382">
        <f>Таблица1[[#This Row],[Часов на заказчика  в работе]]+Таблица1[[#This Row],[Часов на заказчика  дежурство]]</f>
        <v>0</v>
      </c>
      <c r="O23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2" s="9">
        <v>190000</v>
      </c>
      <c r="R2382" s="9"/>
      <c r="S2382" s="5">
        <v>1</v>
      </c>
      <c r="T23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табеле]])*S2382,0)</f>
        <v>0</v>
      </c>
      <c r="U2382" s="5">
        <f>IF(Таблица1[[#This Row],[ТТН]]&gt;0,Таблица1[[#This Row],[Ставка за ТТН]]*Таблица1[[#This Row],[ТТН]],0)</f>
        <v>0</v>
      </c>
    </row>
    <row r="2383" spans="1:21" x14ac:dyDescent="0.25">
      <c r="A2383" t="s">
        <v>84</v>
      </c>
      <c r="B2383" s="24">
        <v>6</v>
      </c>
      <c r="C2383" t="s">
        <v>168</v>
      </c>
      <c r="D2383" t="s">
        <v>12</v>
      </c>
      <c r="E2383" t="s">
        <v>215</v>
      </c>
      <c r="F2383" t="s">
        <v>72</v>
      </c>
      <c r="H2383" t="s">
        <v>52</v>
      </c>
      <c r="I2383" t="s">
        <v>217</v>
      </c>
      <c r="J2383">
        <v>1</v>
      </c>
      <c r="N2383">
        <f>Таблица1[[#This Row],[Часов на заказчика  в работе]]+Таблица1[[#This Row],[Часов на заказчика  дежурство]]</f>
        <v>0</v>
      </c>
      <c r="O23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3" s="9">
        <v>190000</v>
      </c>
      <c r="R2383" s="9"/>
      <c r="S2383" s="5">
        <v>1</v>
      </c>
      <c r="T23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табеле]])*S2383,0)</f>
        <v>0</v>
      </c>
      <c r="U2383" s="5">
        <f>IF(Таблица1[[#This Row],[ТТН]]&gt;0,Таблица1[[#This Row],[Ставка за ТТН]]*Таблица1[[#This Row],[ТТН]],0)</f>
        <v>0</v>
      </c>
    </row>
    <row r="2384" spans="1:21" x14ac:dyDescent="0.25">
      <c r="A2384" t="s">
        <v>84</v>
      </c>
      <c r="B2384" s="24">
        <v>7</v>
      </c>
      <c r="C2384" t="s">
        <v>168</v>
      </c>
      <c r="D2384" t="s">
        <v>12</v>
      </c>
      <c r="E2384" t="s">
        <v>215</v>
      </c>
      <c r="F2384" t="s">
        <v>72</v>
      </c>
      <c r="H2384" t="s">
        <v>52</v>
      </c>
      <c r="I2384" t="s">
        <v>217</v>
      </c>
      <c r="J2384">
        <v>1</v>
      </c>
      <c r="N2384">
        <f>Таблица1[[#This Row],[Часов на заказчика  в работе]]+Таблица1[[#This Row],[Часов на заказчика  дежурство]]</f>
        <v>0</v>
      </c>
      <c r="O23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4" s="9">
        <v>190000</v>
      </c>
      <c r="R2384" s="9"/>
      <c r="S2384" s="5">
        <v>1</v>
      </c>
      <c r="T23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табеле]])*S2384,0)</f>
        <v>0</v>
      </c>
      <c r="U2384" s="5">
        <f>IF(Таблица1[[#This Row],[ТТН]]&gt;0,Таблица1[[#This Row],[Ставка за ТТН]]*Таблица1[[#This Row],[ТТН]],0)</f>
        <v>0</v>
      </c>
    </row>
    <row r="2385" spans="1:21" x14ac:dyDescent="0.25">
      <c r="A2385" t="s">
        <v>84</v>
      </c>
      <c r="B2385" s="24">
        <v>8</v>
      </c>
      <c r="C2385" t="s">
        <v>168</v>
      </c>
      <c r="D2385" t="s">
        <v>12</v>
      </c>
      <c r="E2385" t="s">
        <v>215</v>
      </c>
      <c r="F2385" t="s">
        <v>72</v>
      </c>
      <c r="H2385" t="s">
        <v>52</v>
      </c>
      <c r="I2385" t="s">
        <v>217</v>
      </c>
      <c r="J2385">
        <v>1</v>
      </c>
      <c r="N2385">
        <f>Таблица1[[#This Row],[Часов на заказчика  в работе]]+Таблица1[[#This Row],[Часов на заказчика  дежурство]]</f>
        <v>0</v>
      </c>
      <c r="O23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5" s="9">
        <v>190000</v>
      </c>
      <c r="R2385" s="9"/>
      <c r="S2385" s="5">
        <v>1</v>
      </c>
      <c r="T23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табеле]])*S2385,0)</f>
        <v>0</v>
      </c>
      <c r="U2385" s="5">
        <f>IF(Таблица1[[#This Row],[ТТН]]&gt;0,Таблица1[[#This Row],[Ставка за ТТН]]*Таблица1[[#This Row],[ТТН]],0)</f>
        <v>0</v>
      </c>
    </row>
    <row r="2386" spans="1:21" x14ac:dyDescent="0.25">
      <c r="A2386" t="s">
        <v>84</v>
      </c>
      <c r="B2386" s="24">
        <v>9</v>
      </c>
      <c r="C2386" t="s">
        <v>168</v>
      </c>
      <c r="D2386" t="s">
        <v>12</v>
      </c>
      <c r="E2386" t="s">
        <v>215</v>
      </c>
      <c r="F2386" t="s">
        <v>72</v>
      </c>
      <c r="H2386" t="s">
        <v>24</v>
      </c>
      <c r="I2386" t="s">
        <v>217</v>
      </c>
      <c r="J2386">
        <v>8</v>
      </c>
      <c r="N2386">
        <f>Таблица1[[#This Row],[Часов на заказчика  в работе]]+Таблица1[[#This Row],[Часов на заказчика  дежурство]]</f>
        <v>0</v>
      </c>
      <c r="O23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6" s="9">
        <v>190000</v>
      </c>
      <c r="R2386" s="9"/>
      <c r="S2386" s="5">
        <v>1</v>
      </c>
      <c r="T23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табеле]])*S2386,0)</f>
        <v>0</v>
      </c>
      <c r="U2386" s="5">
        <f>IF(Таблица1[[#This Row],[ТТН]]&gt;0,Таблица1[[#This Row],[Ставка за ТТН]]*Таблица1[[#This Row],[ТТН]],0)</f>
        <v>0</v>
      </c>
    </row>
    <row r="2387" spans="1:21" x14ac:dyDescent="0.25">
      <c r="A2387" t="s">
        <v>84</v>
      </c>
      <c r="B2387" s="24">
        <v>10</v>
      </c>
      <c r="C2387" t="s">
        <v>168</v>
      </c>
      <c r="D2387" t="s">
        <v>12</v>
      </c>
      <c r="E2387" t="s">
        <v>215</v>
      </c>
      <c r="F2387" t="s">
        <v>72</v>
      </c>
      <c r="H2387" t="s">
        <v>24</v>
      </c>
      <c r="I2387" t="s">
        <v>217</v>
      </c>
      <c r="J2387">
        <v>8</v>
      </c>
      <c r="N2387">
        <f>Таблица1[[#This Row],[Часов на заказчика  в работе]]+Таблица1[[#This Row],[Часов на заказчика  дежурство]]</f>
        <v>0</v>
      </c>
      <c r="O23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7" s="9">
        <v>190000</v>
      </c>
      <c r="R2387" s="9"/>
      <c r="S2387" s="5">
        <v>1</v>
      </c>
      <c r="T23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табеле]])*S2387,0)</f>
        <v>0</v>
      </c>
      <c r="U2387" s="5">
        <f>IF(Таблица1[[#This Row],[ТТН]]&gt;0,Таблица1[[#This Row],[Ставка за ТТН]]*Таблица1[[#This Row],[ТТН]],0)</f>
        <v>0</v>
      </c>
    </row>
    <row r="2388" spans="1:21" x14ac:dyDescent="0.25">
      <c r="A2388" t="s">
        <v>84</v>
      </c>
      <c r="B2388" s="24">
        <v>11</v>
      </c>
      <c r="C2388" t="s">
        <v>168</v>
      </c>
      <c r="D2388" t="s">
        <v>12</v>
      </c>
      <c r="E2388" t="s">
        <v>215</v>
      </c>
      <c r="F2388" t="s">
        <v>72</v>
      </c>
      <c r="H2388" t="s">
        <v>50</v>
      </c>
      <c r="I2388" t="s">
        <v>217</v>
      </c>
      <c r="J2388">
        <v>11</v>
      </c>
      <c r="N2388">
        <f>Таблица1[[#This Row],[Часов на заказчика  в работе]]+Таблица1[[#This Row],[Часов на заказчика  дежурство]]</f>
        <v>0</v>
      </c>
      <c r="O23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8" s="9">
        <v>190000</v>
      </c>
      <c r="R2388" s="9"/>
      <c r="S2388" s="5">
        <v>1</v>
      </c>
      <c r="T23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табеле]])*S2388,0)</f>
        <v>0</v>
      </c>
      <c r="U2388" s="5">
        <f>IF(Таблица1[[#This Row],[ТТН]]&gt;0,Таблица1[[#This Row],[Ставка за ТТН]]*Таблица1[[#This Row],[ТТН]],0)</f>
        <v>0</v>
      </c>
    </row>
    <row r="2389" spans="1:21" x14ac:dyDescent="0.25">
      <c r="A2389" t="s">
        <v>84</v>
      </c>
      <c r="B2389" s="24">
        <v>12</v>
      </c>
      <c r="C2389" t="s">
        <v>168</v>
      </c>
      <c r="D2389" t="s">
        <v>12</v>
      </c>
      <c r="E2389" t="s">
        <v>215</v>
      </c>
      <c r="F2389" t="s">
        <v>72</v>
      </c>
      <c r="H2389" t="s">
        <v>50</v>
      </c>
      <c r="I2389" t="s">
        <v>217</v>
      </c>
      <c r="J2389">
        <v>11</v>
      </c>
      <c r="N2389">
        <f>Таблица1[[#This Row],[Часов на заказчика  в работе]]+Таблица1[[#This Row],[Часов на заказчика  дежурство]]</f>
        <v>0</v>
      </c>
      <c r="O23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89" s="9">
        <v>190000</v>
      </c>
      <c r="R2389" s="9"/>
      <c r="S2389" s="5">
        <v>1</v>
      </c>
      <c r="T23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табеле]])*S2389,0)</f>
        <v>0</v>
      </c>
      <c r="U2389" s="5">
        <f>IF(Таблица1[[#This Row],[ТТН]]&gt;0,Таблица1[[#This Row],[Ставка за ТТН]]*Таблица1[[#This Row],[ТТН]],0)</f>
        <v>0</v>
      </c>
    </row>
    <row r="2390" spans="1:21" x14ac:dyDescent="0.25">
      <c r="A2390" t="s">
        <v>84</v>
      </c>
      <c r="B2390" s="24">
        <v>13</v>
      </c>
      <c r="C2390" t="s">
        <v>168</v>
      </c>
      <c r="D2390" t="s">
        <v>12</v>
      </c>
      <c r="E2390" t="s">
        <v>215</v>
      </c>
      <c r="F2390" t="s">
        <v>72</v>
      </c>
      <c r="H2390" t="s">
        <v>38</v>
      </c>
      <c r="I2390" t="s">
        <v>217</v>
      </c>
      <c r="J2390">
        <v>11</v>
      </c>
      <c r="N2390">
        <f>Таблица1[[#This Row],[Часов на заказчика  в работе]]+Таблица1[[#This Row],[Часов на заказчика  дежурство]]</f>
        <v>0</v>
      </c>
      <c r="O23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0" s="9">
        <v>190000</v>
      </c>
      <c r="R2390" s="9"/>
      <c r="S2390" s="5">
        <v>1</v>
      </c>
      <c r="T23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табеле]])*S2390,0)</f>
        <v>6333.333333333333</v>
      </c>
      <c r="U2390" s="5">
        <f>IF(Таблица1[[#This Row],[ТТН]]&gt;0,Таблица1[[#This Row],[Ставка за ТТН]]*Таблица1[[#This Row],[ТТН]],0)</f>
        <v>0</v>
      </c>
    </row>
    <row r="2391" spans="1:21" x14ac:dyDescent="0.25">
      <c r="A2391" t="s">
        <v>84</v>
      </c>
      <c r="B2391" s="24">
        <v>14</v>
      </c>
      <c r="C2391" t="s">
        <v>168</v>
      </c>
      <c r="D2391" t="s">
        <v>12</v>
      </c>
      <c r="E2391" t="s">
        <v>215</v>
      </c>
      <c r="F2391" t="s">
        <v>72</v>
      </c>
      <c r="H2391" t="s">
        <v>50</v>
      </c>
      <c r="I2391" t="s">
        <v>217</v>
      </c>
      <c r="J2391">
        <v>11</v>
      </c>
      <c r="N2391">
        <f>Таблица1[[#This Row],[Часов на заказчика  в работе]]+Таблица1[[#This Row],[Часов на заказчика  дежурство]]</f>
        <v>0</v>
      </c>
      <c r="O23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1" s="9">
        <v>190000</v>
      </c>
      <c r="R2391" s="9"/>
      <c r="S2391" s="5">
        <v>1</v>
      </c>
      <c r="T23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табеле]])*S2391,0)</f>
        <v>0</v>
      </c>
      <c r="U2391" s="5">
        <f>IF(Таблица1[[#This Row],[ТТН]]&gt;0,Таблица1[[#This Row],[Ставка за ТТН]]*Таблица1[[#This Row],[ТТН]],0)</f>
        <v>0</v>
      </c>
    </row>
    <row r="2392" spans="1:21" x14ac:dyDescent="0.25">
      <c r="A2392" t="s">
        <v>84</v>
      </c>
      <c r="B2392" s="24">
        <v>15</v>
      </c>
      <c r="C2392" t="s">
        <v>168</v>
      </c>
      <c r="D2392" t="s">
        <v>12</v>
      </c>
      <c r="E2392" t="s">
        <v>215</v>
      </c>
      <c r="F2392" t="s">
        <v>72</v>
      </c>
      <c r="H2392" t="s">
        <v>10</v>
      </c>
      <c r="I2392" t="s">
        <v>217</v>
      </c>
      <c r="J2392">
        <v>11</v>
      </c>
      <c r="N2392">
        <f>Таблица1[[#This Row],[Часов на заказчика  в работе]]+Таблица1[[#This Row],[Часов на заказчика  дежурство]]</f>
        <v>0</v>
      </c>
      <c r="O23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2" s="9">
        <v>190000</v>
      </c>
      <c r="R2392" s="9"/>
      <c r="S2392" s="5">
        <v>1</v>
      </c>
      <c r="T23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табеле]])*S2392,0)</f>
        <v>6333.333333333333</v>
      </c>
      <c r="U2392" s="5">
        <f>IF(Таблица1[[#This Row],[ТТН]]&gt;0,Таблица1[[#This Row],[Ставка за ТТН]]*Таблица1[[#This Row],[ТТН]],0)</f>
        <v>0</v>
      </c>
    </row>
    <row r="2393" spans="1:21" x14ac:dyDescent="0.25">
      <c r="A2393" t="s">
        <v>84</v>
      </c>
      <c r="B2393" s="24">
        <v>16</v>
      </c>
      <c r="C2393" t="s">
        <v>168</v>
      </c>
      <c r="D2393" t="s">
        <v>12</v>
      </c>
      <c r="E2393" t="s">
        <v>215</v>
      </c>
      <c r="F2393" t="s">
        <v>72</v>
      </c>
      <c r="H2393" t="s">
        <v>10</v>
      </c>
      <c r="I2393" t="s">
        <v>217</v>
      </c>
      <c r="J2393">
        <v>11</v>
      </c>
      <c r="N2393">
        <f>Таблица1[[#This Row],[Часов на заказчика  в работе]]+Таблица1[[#This Row],[Часов на заказчика  дежурство]]</f>
        <v>0</v>
      </c>
      <c r="O23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3" s="9">
        <v>190000</v>
      </c>
      <c r="R2393" s="9"/>
      <c r="S2393" s="5">
        <v>1</v>
      </c>
      <c r="T23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табеле]])*S2393,0)</f>
        <v>6333.333333333333</v>
      </c>
      <c r="U2393" s="5">
        <f>IF(Таблица1[[#This Row],[ТТН]]&gt;0,Таблица1[[#This Row],[Ставка за ТТН]]*Таблица1[[#This Row],[ТТН]],0)</f>
        <v>0</v>
      </c>
    </row>
    <row r="2394" spans="1:21" x14ac:dyDescent="0.25">
      <c r="A2394" t="s">
        <v>84</v>
      </c>
      <c r="B2394" s="24">
        <v>17</v>
      </c>
      <c r="C2394" t="s">
        <v>168</v>
      </c>
      <c r="D2394" t="s">
        <v>12</v>
      </c>
      <c r="E2394" t="s">
        <v>215</v>
      </c>
      <c r="F2394" t="s">
        <v>72</v>
      </c>
      <c r="H2394" t="s">
        <v>10</v>
      </c>
      <c r="I2394" t="s">
        <v>217</v>
      </c>
      <c r="J2394">
        <v>11</v>
      </c>
      <c r="N2394">
        <f>Таблица1[[#This Row],[Часов на заказчика  в работе]]+Таблица1[[#This Row],[Часов на заказчика  дежурство]]</f>
        <v>0</v>
      </c>
      <c r="O23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4" s="9">
        <v>190000</v>
      </c>
      <c r="R2394" s="9"/>
      <c r="S2394" s="5">
        <v>1</v>
      </c>
      <c r="T23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табеле]])*S2394,0)</f>
        <v>6333.333333333333</v>
      </c>
      <c r="U2394" s="5">
        <f>IF(Таблица1[[#This Row],[ТТН]]&gt;0,Таблица1[[#This Row],[Ставка за ТТН]]*Таблица1[[#This Row],[ТТН]],0)</f>
        <v>0</v>
      </c>
    </row>
    <row r="2395" spans="1:21" x14ac:dyDescent="0.25">
      <c r="A2395" t="s">
        <v>84</v>
      </c>
      <c r="B2395" s="24">
        <v>18</v>
      </c>
      <c r="C2395" t="s">
        <v>168</v>
      </c>
      <c r="D2395" t="s">
        <v>12</v>
      </c>
      <c r="E2395" t="s">
        <v>215</v>
      </c>
      <c r="F2395" t="s">
        <v>72</v>
      </c>
      <c r="H2395" t="s">
        <v>10</v>
      </c>
      <c r="I2395" t="s">
        <v>219</v>
      </c>
      <c r="J2395">
        <v>11</v>
      </c>
      <c r="L2395">
        <v>11</v>
      </c>
      <c r="N2395">
        <f>Таблица1[[#This Row],[Часов на заказчика  в работе]]+Таблица1[[#This Row],[Часов на заказчика  дежурство]]</f>
        <v>11</v>
      </c>
      <c r="O23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5" s="9">
        <v>190000</v>
      </c>
      <c r="R2395" s="9"/>
      <c r="S2395" s="5">
        <v>1</v>
      </c>
      <c r="T23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табеле]])*S2395,0)</f>
        <v>6333.333333333333</v>
      </c>
      <c r="U2395" s="5">
        <f>IF(Таблица1[[#This Row],[ТТН]]&gt;0,Таблица1[[#This Row],[Ставка за ТТН]]*Таблица1[[#This Row],[ТТН]],0)</f>
        <v>0</v>
      </c>
    </row>
    <row r="2396" spans="1:21" x14ac:dyDescent="0.25">
      <c r="A2396" t="s">
        <v>84</v>
      </c>
      <c r="B2396" s="24">
        <v>19</v>
      </c>
      <c r="C2396" t="s">
        <v>168</v>
      </c>
      <c r="D2396" t="s">
        <v>12</v>
      </c>
      <c r="E2396" t="s">
        <v>215</v>
      </c>
      <c r="F2396" t="s">
        <v>72</v>
      </c>
      <c r="H2396" t="s">
        <v>10</v>
      </c>
      <c r="I2396" t="s">
        <v>219</v>
      </c>
      <c r="J2396">
        <v>11</v>
      </c>
      <c r="L2396">
        <v>11</v>
      </c>
      <c r="N2396">
        <f>Таблица1[[#This Row],[Часов на заказчика  в работе]]+Таблица1[[#This Row],[Часов на заказчика  дежурство]]</f>
        <v>11</v>
      </c>
      <c r="O23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6" s="9">
        <v>190000</v>
      </c>
      <c r="R2396" s="9"/>
      <c r="S2396" s="5">
        <v>1</v>
      </c>
      <c r="T23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табеле]])*S2396,0)</f>
        <v>6333.333333333333</v>
      </c>
      <c r="U2396" s="5">
        <f>IF(Таблица1[[#This Row],[ТТН]]&gt;0,Таблица1[[#This Row],[Ставка за ТТН]]*Таблица1[[#This Row],[ТТН]],0)</f>
        <v>0</v>
      </c>
    </row>
    <row r="2397" spans="1:21" x14ac:dyDescent="0.25">
      <c r="A2397" t="s">
        <v>84</v>
      </c>
      <c r="B2397" s="24">
        <v>20</v>
      </c>
      <c r="C2397" t="s">
        <v>168</v>
      </c>
      <c r="D2397" t="s">
        <v>12</v>
      </c>
      <c r="E2397" t="s">
        <v>215</v>
      </c>
      <c r="F2397" t="s">
        <v>72</v>
      </c>
      <c r="H2397" t="s">
        <v>10</v>
      </c>
      <c r="I2397" t="s">
        <v>219</v>
      </c>
      <c r="J2397">
        <v>11</v>
      </c>
      <c r="L2397">
        <v>11</v>
      </c>
      <c r="N2397">
        <f>Таблица1[[#This Row],[Часов на заказчика  в работе]]+Таблица1[[#This Row],[Часов на заказчика  дежурство]]</f>
        <v>11</v>
      </c>
      <c r="O23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7" s="9">
        <v>190000</v>
      </c>
      <c r="R2397" s="9"/>
      <c r="S2397" s="5">
        <v>1</v>
      </c>
      <c r="T23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табеле]])*S2397,0)</f>
        <v>6333.333333333333</v>
      </c>
      <c r="U2397" s="5">
        <f>IF(Таблица1[[#This Row],[ТТН]]&gt;0,Таблица1[[#This Row],[Ставка за ТТН]]*Таблица1[[#This Row],[ТТН]],0)</f>
        <v>0</v>
      </c>
    </row>
    <row r="2398" spans="1:21" x14ac:dyDescent="0.25">
      <c r="A2398" t="s">
        <v>84</v>
      </c>
      <c r="B2398" s="24">
        <v>21</v>
      </c>
      <c r="C2398" t="s">
        <v>168</v>
      </c>
      <c r="D2398" t="s">
        <v>12</v>
      </c>
      <c r="E2398" t="s">
        <v>215</v>
      </c>
      <c r="F2398" t="s">
        <v>72</v>
      </c>
      <c r="H2398" t="s">
        <v>10</v>
      </c>
      <c r="I2398" t="s">
        <v>219</v>
      </c>
      <c r="J2398">
        <v>11</v>
      </c>
      <c r="L2398">
        <v>11</v>
      </c>
      <c r="N2398">
        <f>Таблица1[[#This Row],[Часов на заказчика  в работе]]+Таблица1[[#This Row],[Часов на заказчика  дежурство]]</f>
        <v>11</v>
      </c>
      <c r="O23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8" s="9">
        <v>190000</v>
      </c>
      <c r="R2398" s="9"/>
      <c r="S2398" s="5">
        <v>1</v>
      </c>
      <c r="T23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табеле]])*S2398,0)</f>
        <v>6333.333333333333</v>
      </c>
      <c r="U2398" s="5">
        <f>IF(Таблица1[[#This Row],[ТТН]]&gt;0,Таблица1[[#This Row],[Ставка за ТТН]]*Таблица1[[#This Row],[ТТН]],0)</f>
        <v>0</v>
      </c>
    </row>
    <row r="2399" spans="1:21" x14ac:dyDescent="0.25">
      <c r="A2399" t="s">
        <v>84</v>
      </c>
      <c r="B2399" s="24">
        <v>22</v>
      </c>
      <c r="C2399" t="s">
        <v>168</v>
      </c>
      <c r="D2399" t="s">
        <v>12</v>
      </c>
      <c r="E2399" t="s">
        <v>215</v>
      </c>
      <c r="F2399" t="s">
        <v>72</v>
      </c>
      <c r="H2399" t="s">
        <v>10</v>
      </c>
      <c r="I2399" t="s">
        <v>219</v>
      </c>
      <c r="J2399">
        <v>11</v>
      </c>
      <c r="L2399">
        <v>11</v>
      </c>
      <c r="N2399">
        <f>Таблица1[[#This Row],[Часов на заказчика  в работе]]+Таблица1[[#This Row],[Часов на заказчика  дежурство]]</f>
        <v>11</v>
      </c>
      <c r="O23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399" s="9">
        <v>190000</v>
      </c>
      <c r="R2399" s="9"/>
      <c r="S2399" s="5">
        <v>1</v>
      </c>
      <c r="T23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табеле]])*S2399,0)</f>
        <v>6333.333333333333</v>
      </c>
      <c r="U2399" s="5">
        <f>IF(Таблица1[[#This Row],[ТТН]]&gt;0,Таблица1[[#This Row],[Ставка за ТТН]]*Таблица1[[#This Row],[ТТН]],0)</f>
        <v>0</v>
      </c>
    </row>
    <row r="2400" spans="1:21" x14ac:dyDescent="0.25">
      <c r="A2400" t="s">
        <v>84</v>
      </c>
      <c r="B2400" s="24">
        <v>23</v>
      </c>
      <c r="C2400" t="s">
        <v>168</v>
      </c>
      <c r="D2400" t="s">
        <v>12</v>
      </c>
      <c r="E2400" t="s">
        <v>215</v>
      </c>
      <c r="F2400" t="s">
        <v>72</v>
      </c>
      <c r="H2400" t="s">
        <v>10</v>
      </c>
      <c r="I2400" t="s">
        <v>219</v>
      </c>
      <c r="J2400">
        <v>11</v>
      </c>
      <c r="L2400">
        <v>11</v>
      </c>
      <c r="N2400">
        <f>Таблица1[[#This Row],[Часов на заказчика  в работе]]+Таблица1[[#This Row],[Часов на заказчика  дежурство]]</f>
        <v>11</v>
      </c>
      <c r="O24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0" s="9">
        <v>190000</v>
      </c>
      <c r="R2400" s="9"/>
      <c r="S2400" s="5">
        <v>1</v>
      </c>
      <c r="T24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табеле]])*S2400,0)</f>
        <v>6333.333333333333</v>
      </c>
      <c r="U2400" s="5">
        <f>IF(Таблица1[[#This Row],[ТТН]]&gt;0,Таблица1[[#This Row],[Ставка за ТТН]]*Таблица1[[#This Row],[ТТН]],0)</f>
        <v>0</v>
      </c>
    </row>
    <row r="2401" spans="1:21" x14ac:dyDescent="0.25">
      <c r="A2401" t="s">
        <v>84</v>
      </c>
      <c r="B2401" s="24">
        <v>24</v>
      </c>
      <c r="C2401" t="s">
        <v>168</v>
      </c>
      <c r="D2401" t="s">
        <v>12</v>
      </c>
      <c r="E2401" t="s">
        <v>215</v>
      </c>
      <c r="F2401" t="s">
        <v>72</v>
      </c>
      <c r="H2401" t="s">
        <v>10</v>
      </c>
      <c r="I2401" t="s">
        <v>219</v>
      </c>
      <c r="J2401">
        <v>11</v>
      </c>
      <c r="L2401">
        <v>11</v>
      </c>
      <c r="N2401">
        <f>Таблица1[[#This Row],[Часов на заказчика  в работе]]+Таблица1[[#This Row],[Часов на заказчика  дежурство]]</f>
        <v>11</v>
      </c>
      <c r="O24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1" s="9">
        <v>190000</v>
      </c>
      <c r="R2401" s="9"/>
      <c r="S2401" s="5">
        <v>1</v>
      </c>
      <c r="T24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табеле]])*S2401,0)</f>
        <v>6333.333333333333</v>
      </c>
      <c r="U2401" s="5">
        <f>IF(Таблица1[[#This Row],[ТТН]]&gt;0,Таблица1[[#This Row],[Ставка за ТТН]]*Таблица1[[#This Row],[ТТН]],0)</f>
        <v>0</v>
      </c>
    </row>
    <row r="2402" spans="1:21" x14ac:dyDescent="0.25">
      <c r="A2402" t="s">
        <v>84</v>
      </c>
      <c r="B2402" s="24">
        <v>25</v>
      </c>
      <c r="C2402" t="s">
        <v>168</v>
      </c>
      <c r="D2402" t="s">
        <v>12</v>
      </c>
      <c r="E2402" t="s">
        <v>215</v>
      </c>
      <c r="F2402" t="s">
        <v>72</v>
      </c>
      <c r="H2402" t="s">
        <v>10</v>
      </c>
      <c r="I2402" t="s">
        <v>219</v>
      </c>
      <c r="J2402">
        <v>11</v>
      </c>
      <c r="L2402">
        <v>11</v>
      </c>
      <c r="N2402">
        <f>Таблица1[[#This Row],[Часов на заказчика  в работе]]+Таблица1[[#This Row],[Часов на заказчика  дежурство]]</f>
        <v>11</v>
      </c>
      <c r="O24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2" s="9">
        <v>190000</v>
      </c>
      <c r="R2402" s="9"/>
      <c r="S2402" s="5">
        <v>1</v>
      </c>
      <c r="T24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табеле]])*S2402,0)</f>
        <v>6333.333333333333</v>
      </c>
      <c r="U2402" s="5">
        <f>IF(Таблица1[[#This Row],[ТТН]]&gt;0,Таблица1[[#This Row],[Ставка за ТТН]]*Таблица1[[#This Row],[ТТН]],0)</f>
        <v>0</v>
      </c>
    </row>
    <row r="2403" spans="1:21" x14ac:dyDescent="0.25">
      <c r="A2403" t="s">
        <v>84</v>
      </c>
      <c r="B2403" s="24">
        <v>26</v>
      </c>
      <c r="C2403" t="s">
        <v>168</v>
      </c>
      <c r="D2403" t="s">
        <v>12</v>
      </c>
      <c r="E2403" t="s">
        <v>215</v>
      </c>
      <c r="F2403" t="s">
        <v>72</v>
      </c>
      <c r="H2403" t="s">
        <v>10</v>
      </c>
      <c r="I2403" t="s">
        <v>219</v>
      </c>
      <c r="J2403">
        <v>15</v>
      </c>
      <c r="L2403">
        <v>15</v>
      </c>
      <c r="N2403">
        <f>Таблица1[[#This Row],[Часов на заказчика  в работе]]+Таблица1[[#This Row],[Часов на заказчика  дежурство]]</f>
        <v>15</v>
      </c>
      <c r="O24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3" s="9">
        <v>190000</v>
      </c>
      <c r="R2403" s="9"/>
      <c r="S2403" s="5">
        <v>1</v>
      </c>
      <c r="T24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табеле]])*S2403,0)</f>
        <v>8636.363636363636</v>
      </c>
      <c r="U2403" s="5">
        <f>IF(Таблица1[[#This Row],[ТТН]]&gt;0,Таблица1[[#This Row],[Ставка за ТТН]]*Таблица1[[#This Row],[ТТН]],0)</f>
        <v>0</v>
      </c>
    </row>
    <row r="2404" spans="1:21" x14ac:dyDescent="0.25">
      <c r="A2404" t="s">
        <v>84</v>
      </c>
      <c r="B2404" s="24">
        <v>27</v>
      </c>
      <c r="C2404" t="s">
        <v>168</v>
      </c>
      <c r="D2404" t="s">
        <v>12</v>
      </c>
      <c r="E2404" t="s">
        <v>215</v>
      </c>
      <c r="F2404" t="s">
        <v>72</v>
      </c>
      <c r="H2404" t="s">
        <v>10</v>
      </c>
      <c r="I2404" t="s">
        <v>219</v>
      </c>
      <c r="J2404">
        <v>15</v>
      </c>
      <c r="L2404">
        <v>15</v>
      </c>
      <c r="N2404">
        <f>Таблица1[[#This Row],[Часов на заказчика  в работе]]+Таблица1[[#This Row],[Часов на заказчика  дежурство]]</f>
        <v>15</v>
      </c>
      <c r="O24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4" s="9">
        <v>190000</v>
      </c>
      <c r="R2404" s="9"/>
      <c r="S2404" s="5">
        <v>1</v>
      </c>
      <c r="T24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табеле]])*S2404,0)</f>
        <v>8636.363636363636</v>
      </c>
      <c r="U2404" s="5">
        <f>IF(Таблица1[[#This Row],[ТТН]]&gt;0,Таблица1[[#This Row],[Ставка за ТТН]]*Таблица1[[#This Row],[ТТН]],0)</f>
        <v>0</v>
      </c>
    </row>
    <row r="2405" spans="1:21" x14ac:dyDescent="0.25">
      <c r="A2405" t="s">
        <v>84</v>
      </c>
      <c r="B2405" s="24">
        <v>28</v>
      </c>
      <c r="C2405" t="s">
        <v>168</v>
      </c>
      <c r="D2405" t="s">
        <v>12</v>
      </c>
      <c r="E2405" t="s">
        <v>215</v>
      </c>
      <c r="F2405" t="s">
        <v>72</v>
      </c>
      <c r="H2405" t="s">
        <v>10</v>
      </c>
      <c r="I2405" t="s">
        <v>219</v>
      </c>
      <c r="J2405">
        <v>15</v>
      </c>
      <c r="L2405">
        <v>15</v>
      </c>
      <c r="N2405">
        <f>Таблица1[[#This Row],[Часов на заказчика  в работе]]+Таблица1[[#This Row],[Часов на заказчика  дежурство]]</f>
        <v>15</v>
      </c>
      <c r="O24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5" s="9">
        <v>190000</v>
      </c>
      <c r="R2405" s="9"/>
      <c r="S2405" s="5">
        <v>1</v>
      </c>
      <c r="T24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табеле]])*S2405,0)</f>
        <v>8636.363636363636</v>
      </c>
      <c r="U2405" s="5">
        <f>IF(Таблица1[[#This Row],[ТТН]]&gt;0,Таблица1[[#This Row],[Ставка за ТТН]]*Таблица1[[#This Row],[ТТН]],0)</f>
        <v>0</v>
      </c>
    </row>
    <row r="2406" spans="1:21" x14ac:dyDescent="0.25">
      <c r="A2406" t="s">
        <v>84</v>
      </c>
      <c r="B2406" s="24">
        <v>29</v>
      </c>
      <c r="C2406" t="s">
        <v>168</v>
      </c>
      <c r="D2406" t="s">
        <v>12</v>
      </c>
      <c r="E2406" t="s">
        <v>215</v>
      </c>
      <c r="F2406" t="s">
        <v>72</v>
      </c>
      <c r="H2406" t="s">
        <v>10</v>
      </c>
      <c r="I2406" t="s">
        <v>219</v>
      </c>
      <c r="J2406">
        <v>11</v>
      </c>
      <c r="L2406">
        <v>11</v>
      </c>
      <c r="N2406">
        <f>Таблица1[[#This Row],[Часов на заказчика  в работе]]+Таблица1[[#This Row],[Часов на заказчика  дежурство]]</f>
        <v>11</v>
      </c>
      <c r="O24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6" s="9">
        <v>190000</v>
      </c>
      <c r="R2406" s="9"/>
      <c r="S2406" s="5">
        <v>1</v>
      </c>
      <c r="T24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табеле]])*S2406,0)</f>
        <v>6333.333333333333</v>
      </c>
      <c r="U2406" s="5">
        <f>IF(Таблица1[[#This Row],[ТТН]]&gt;0,Таблица1[[#This Row],[Ставка за ТТН]]*Таблица1[[#This Row],[ТТН]],0)</f>
        <v>0</v>
      </c>
    </row>
    <row r="2407" spans="1:21" x14ac:dyDescent="0.25">
      <c r="A2407" t="s">
        <v>84</v>
      </c>
      <c r="B2407" s="24">
        <v>30</v>
      </c>
      <c r="C2407" t="s">
        <v>169</v>
      </c>
      <c r="D2407" t="s">
        <v>12</v>
      </c>
      <c r="E2407" t="s">
        <v>215</v>
      </c>
      <c r="F2407" t="s">
        <v>72</v>
      </c>
      <c r="H2407" t="s">
        <v>10</v>
      </c>
      <c r="I2407" t="s">
        <v>219</v>
      </c>
      <c r="J2407">
        <v>11</v>
      </c>
      <c r="L2407">
        <v>11</v>
      </c>
      <c r="N2407">
        <f>Таблица1[[#This Row],[Часов на заказчика  в работе]]+Таблица1[[#This Row],[Часов на заказчика  дежурство]]</f>
        <v>11</v>
      </c>
      <c r="O24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7" s="9">
        <v>190000</v>
      </c>
      <c r="R2407" s="9"/>
      <c r="S2407" s="5">
        <v>1</v>
      </c>
      <c r="T24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табеле]])*S2407,0)</f>
        <v>6333.333333333333</v>
      </c>
      <c r="U2407" s="5">
        <f>IF(Таблица1[[#This Row],[ТТН]]&gt;0,Таблица1[[#This Row],[Ставка за ТТН]]*Таблица1[[#This Row],[ТТН]],0)</f>
        <v>0</v>
      </c>
    </row>
    <row r="2408" spans="1:21" x14ac:dyDescent="0.25">
      <c r="A2408" t="s">
        <v>84</v>
      </c>
      <c r="B2408" s="24">
        <v>1</v>
      </c>
      <c r="C2408" t="s">
        <v>169</v>
      </c>
      <c r="D2408" t="s">
        <v>77</v>
      </c>
      <c r="E2408" t="s">
        <v>215</v>
      </c>
      <c r="F2408" t="s">
        <v>77</v>
      </c>
      <c r="H2408" t="s">
        <v>10</v>
      </c>
      <c r="I2408" t="s">
        <v>217</v>
      </c>
      <c r="J2408">
        <v>11</v>
      </c>
      <c r="N2408">
        <f>Таблица1[[#This Row],[Часов на заказчика  в работе]]+Таблица1[[#This Row],[Часов на заказчика  дежурство]]</f>
        <v>0</v>
      </c>
      <c r="O24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8" s="9"/>
      <c r="R2408" s="9"/>
      <c r="S2408" s="5"/>
      <c r="T24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табеле]])*S2408,0)</f>
        <v>0</v>
      </c>
      <c r="U2408" s="5">
        <f>IF(Таблица1[[#This Row],[ТТН]]&gt;0,Таблица1[[#This Row],[Ставка за ТТН]]*Таблица1[[#This Row],[ТТН]],0)</f>
        <v>0</v>
      </c>
    </row>
    <row r="2409" spans="1:21" x14ac:dyDescent="0.25">
      <c r="A2409" t="s">
        <v>84</v>
      </c>
      <c r="B2409" s="24">
        <v>2</v>
      </c>
      <c r="C2409" t="s">
        <v>169</v>
      </c>
      <c r="D2409" t="s">
        <v>77</v>
      </c>
      <c r="E2409" t="s">
        <v>215</v>
      </c>
      <c r="F2409" t="s">
        <v>77</v>
      </c>
      <c r="H2409" t="s">
        <v>10</v>
      </c>
      <c r="I2409" t="s">
        <v>217</v>
      </c>
      <c r="J2409">
        <v>11</v>
      </c>
      <c r="N2409">
        <f>Таблица1[[#This Row],[Часов на заказчика  в работе]]+Таблица1[[#This Row],[Часов на заказчика  дежурство]]</f>
        <v>0</v>
      </c>
      <c r="O24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09" s="9"/>
      <c r="R2409" s="9"/>
      <c r="S2409" s="5"/>
      <c r="T24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табеле]])*S2409,0)</f>
        <v>0</v>
      </c>
      <c r="U2409" s="5">
        <f>IF(Таблица1[[#This Row],[ТТН]]&gt;0,Таблица1[[#This Row],[Ставка за ТТН]]*Таблица1[[#This Row],[ТТН]],0)</f>
        <v>0</v>
      </c>
    </row>
    <row r="2410" spans="1:21" x14ac:dyDescent="0.25">
      <c r="A2410" t="s">
        <v>84</v>
      </c>
      <c r="B2410" s="24">
        <v>3</v>
      </c>
      <c r="C2410" t="s">
        <v>169</v>
      </c>
      <c r="D2410" t="s">
        <v>77</v>
      </c>
      <c r="E2410" t="s">
        <v>215</v>
      </c>
      <c r="F2410" t="s">
        <v>77</v>
      </c>
      <c r="H2410" t="s">
        <v>10</v>
      </c>
      <c r="I2410" t="s">
        <v>217</v>
      </c>
      <c r="J2410">
        <v>11</v>
      </c>
      <c r="N2410">
        <f>Таблица1[[#This Row],[Часов на заказчика  в работе]]+Таблица1[[#This Row],[Часов на заказчика  дежурство]]</f>
        <v>0</v>
      </c>
      <c r="O24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0" s="9"/>
      <c r="R2410" s="9"/>
      <c r="S2410" s="5"/>
      <c r="T24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табеле]])*S2410,0)</f>
        <v>0</v>
      </c>
      <c r="U2410" s="5">
        <f>IF(Таблица1[[#This Row],[ТТН]]&gt;0,Таблица1[[#This Row],[Ставка за ТТН]]*Таблица1[[#This Row],[ТТН]],0)</f>
        <v>0</v>
      </c>
    </row>
    <row r="2411" spans="1:21" x14ac:dyDescent="0.25">
      <c r="A2411" t="s">
        <v>84</v>
      </c>
      <c r="B2411" s="24">
        <v>4</v>
      </c>
      <c r="C2411" t="s">
        <v>169</v>
      </c>
      <c r="D2411" t="s">
        <v>77</v>
      </c>
      <c r="E2411" t="s">
        <v>215</v>
      </c>
      <c r="F2411" t="s">
        <v>77</v>
      </c>
      <c r="H2411" t="s">
        <v>10</v>
      </c>
      <c r="I2411" t="s">
        <v>217</v>
      </c>
      <c r="J2411">
        <v>11</v>
      </c>
      <c r="N2411">
        <f>Таблица1[[#This Row],[Часов на заказчика  в работе]]+Таблица1[[#This Row],[Часов на заказчика  дежурство]]</f>
        <v>0</v>
      </c>
      <c r="O24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1" s="9"/>
      <c r="R2411" s="9"/>
      <c r="S2411" s="5"/>
      <c r="T24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табеле]])*S2411,0)</f>
        <v>0</v>
      </c>
      <c r="U2411" s="5">
        <f>IF(Таблица1[[#This Row],[ТТН]]&gt;0,Таблица1[[#This Row],[Ставка за ТТН]]*Таблица1[[#This Row],[ТТН]],0)</f>
        <v>0</v>
      </c>
    </row>
    <row r="2412" spans="1:21" x14ac:dyDescent="0.25">
      <c r="A2412" t="s">
        <v>84</v>
      </c>
      <c r="B2412" s="24">
        <v>5</v>
      </c>
      <c r="C2412" t="s">
        <v>169</v>
      </c>
      <c r="D2412" t="s">
        <v>77</v>
      </c>
      <c r="E2412" t="s">
        <v>215</v>
      </c>
      <c r="F2412" t="s">
        <v>77</v>
      </c>
      <c r="H2412" t="s">
        <v>10</v>
      </c>
      <c r="I2412" t="s">
        <v>217</v>
      </c>
      <c r="J2412">
        <v>11</v>
      </c>
      <c r="N2412">
        <f>Таблица1[[#This Row],[Часов на заказчика  в работе]]+Таблица1[[#This Row],[Часов на заказчика  дежурство]]</f>
        <v>0</v>
      </c>
      <c r="O24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2" s="9"/>
      <c r="R2412" s="9"/>
      <c r="S2412" s="5"/>
      <c r="T24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табеле]])*S2412,0)</f>
        <v>0</v>
      </c>
      <c r="U2412" s="5">
        <f>IF(Таблица1[[#This Row],[ТТН]]&gt;0,Таблица1[[#This Row],[Ставка за ТТН]]*Таблица1[[#This Row],[ТТН]],0)</f>
        <v>0</v>
      </c>
    </row>
    <row r="2413" spans="1:21" x14ac:dyDescent="0.25">
      <c r="A2413" t="s">
        <v>84</v>
      </c>
      <c r="B2413" s="24">
        <v>6</v>
      </c>
      <c r="C2413" t="s">
        <v>169</v>
      </c>
      <c r="D2413" t="s">
        <v>77</v>
      </c>
      <c r="E2413" t="s">
        <v>215</v>
      </c>
      <c r="F2413" t="s">
        <v>77</v>
      </c>
      <c r="H2413" t="s">
        <v>10</v>
      </c>
      <c r="I2413" t="s">
        <v>217</v>
      </c>
      <c r="J2413">
        <v>11</v>
      </c>
      <c r="N2413">
        <f>Таблица1[[#This Row],[Часов на заказчика  в работе]]+Таблица1[[#This Row],[Часов на заказчика  дежурство]]</f>
        <v>0</v>
      </c>
      <c r="O24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3" s="9"/>
      <c r="R2413" s="9"/>
      <c r="S2413" s="5"/>
      <c r="T24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табеле]])*S2413,0)</f>
        <v>0</v>
      </c>
      <c r="U2413" s="5">
        <f>IF(Таблица1[[#This Row],[ТТН]]&gt;0,Таблица1[[#This Row],[Ставка за ТТН]]*Таблица1[[#This Row],[ТТН]],0)</f>
        <v>0</v>
      </c>
    </row>
    <row r="2414" spans="1:21" x14ac:dyDescent="0.25">
      <c r="A2414" t="s">
        <v>84</v>
      </c>
      <c r="B2414" s="24">
        <v>7</v>
      </c>
      <c r="C2414" t="s">
        <v>169</v>
      </c>
      <c r="D2414" t="s">
        <v>77</v>
      </c>
      <c r="E2414" t="s">
        <v>215</v>
      </c>
      <c r="F2414" t="s">
        <v>77</v>
      </c>
      <c r="H2414" t="s">
        <v>10</v>
      </c>
      <c r="I2414" t="s">
        <v>217</v>
      </c>
      <c r="J2414">
        <v>11</v>
      </c>
      <c r="N2414">
        <f>Таблица1[[#This Row],[Часов на заказчика  в работе]]+Таблица1[[#This Row],[Часов на заказчика  дежурство]]</f>
        <v>0</v>
      </c>
      <c r="O24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4" s="9"/>
      <c r="R2414" s="9"/>
      <c r="S2414" s="5"/>
      <c r="T24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табеле]])*S2414,0)</f>
        <v>0</v>
      </c>
      <c r="U2414" s="5">
        <f>IF(Таблица1[[#This Row],[ТТН]]&gt;0,Таблица1[[#This Row],[Ставка за ТТН]]*Таблица1[[#This Row],[ТТН]],0)</f>
        <v>0</v>
      </c>
    </row>
    <row r="2415" spans="1:21" x14ac:dyDescent="0.25">
      <c r="A2415" t="s">
        <v>84</v>
      </c>
      <c r="B2415" s="24">
        <v>8</v>
      </c>
      <c r="C2415" t="s">
        <v>169</v>
      </c>
      <c r="D2415" t="s">
        <v>77</v>
      </c>
      <c r="E2415" t="s">
        <v>215</v>
      </c>
      <c r="F2415" t="s">
        <v>77</v>
      </c>
      <c r="H2415" t="s">
        <v>10</v>
      </c>
      <c r="I2415" t="s">
        <v>217</v>
      </c>
      <c r="J2415">
        <v>11</v>
      </c>
      <c r="N2415">
        <f>Таблица1[[#This Row],[Часов на заказчика  в работе]]+Таблица1[[#This Row],[Часов на заказчика  дежурство]]</f>
        <v>0</v>
      </c>
      <c r="O24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5" s="9"/>
      <c r="R2415" s="9"/>
      <c r="S2415" s="5"/>
      <c r="T24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табеле]])*S2415,0)</f>
        <v>0</v>
      </c>
      <c r="U2415" s="5">
        <f>IF(Таблица1[[#This Row],[ТТН]]&gt;0,Таблица1[[#This Row],[Ставка за ТТН]]*Таблица1[[#This Row],[ТТН]],0)</f>
        <v>0</v>
      </c>
    </row>
    <row r="2416" spans="1:21" x14ac:dyDescent="0.25">
      <c r="A2416" t="s">
        <v>84</v>
      </c>
      <c r="B2416" s="24">
        <v>9</v>
      </c>
      <c r="C2416" t="s">
        <v>169</v>
      </c>
      <c r="D2416" t="s">
        <v>77</v>
      </c>
      <c r="E2416" t="s">
        <v>215</v>
      </c>
      <c r="F2416" t="s">
        <v>77</v>
      </c>
      <c r="H2416" t="s">
        <v>10</v>
      </c>
      <c r="I2416" t="s">
        <v>217</v>
      </c>
      <c r="J2416">
        <v>11</v>
      </c>
      <c r="N2416">
        <f>Таблица1[[#This Row],[Часов на заказчика  в работе]]+Таблица1[[#This Row],[Часов на заказчика  дежурство]]</f>
        <v>0</v>
      </c>
      <c r="O24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6" s="9"/>
      <c r="R2416" s="9"/>
      <c r="S2416" s="5"/>
      <c r="T24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табеле]])*S2416,0)</f>
        <v>0</v>
      </c>
      <c r="U2416" s="5">
        <f>IF(Таблица1[[#This Row],[ТТН]]&gt;0,Таблица1[[#This Row],[Ставка за ТТН]]*Таблица1[[#This Row],[ТТН]],0)</f>
        <v>0</v>
      </c>
    </row>
    <row r="2417" spans="1:21" x14ac:dyDescent="0.25">
      <c r="A2417" t="s">
        <v>84</v>
      </c>
      <c r="B2417" s="24">
        <v>10</v>
      </c>
      <c r="C2417" t="s">
        <v>169</v>
      </c>
      <c r="D2417" t="s">
        <v>77</v>
      </c>
      <c r="E2417" t="s">
        <v>215</v>
      </c>
      <c r="F2417" t="s">
        <v>77</v>
      </c>
      <c r="H2417" t="s">
        <v>10</v>
      </c>
      <c r="I2417" t="s">
        <v>217</v>
      </c>
      <c r="J2417">
        <v>11</v>
      </c>
      <c r="N2417">
        <f>Таблица1[[#This Row],[Часов на заказчика  в работе]]+Таблица1[[#This Row],[Часов на заказчика  дежурство]]</f>
        <v>0</v>
      </c>
      <c r="O24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7" s="9"/>
      <c r="R2417" s="9"/>
      <c r="S2417" s="5"/>
      <c r="T24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табеле]])*S2417,0)</f>
        <v>0</v>
      </c>
      <c r="U2417" s="5">
        <f>IF(Таблица1[[#This Row],[ТТН]]&gt;0,Таблица1[[#This Row],[Ставка за ТТН]]*Таблица1[[#This Row],[ТТН]],0)</f>
        <v>0</v>
      </c>
    </row>
    <row r="2418" spans="1:21" x14ac:dyDescent="0.25">
      <c r="A2418" t="s">
        <v>84</v>
      </c>
      <c r="B2418" s="24">
        <v>11</v>
      </c>
      <c r="C2418" t="s">
        <v>169</v>
      </c>
      <c r="D2418" t="s">
        <v>77</v>
      </c>
      <c r="E2418" t="s">
        <v>215</v>
      </c>
      <c r="F2418" t="s">
        <v>77</v>
      </c>
      <c r="H2418" t="s">
        <v>10</v>
      </c>
      <c r="I2418" t="s">
        <v>217</v>
      </c>
      <c r="J2418">
        <v>11</v>
      </c>
      <c r="N2418">
        <f>Таблица1[[#This Row],[Часов на заказчика  в работе]]+Таблица1[[#This Row],[Часов на заказчика  дежурство]]</f>
        <v>0</v>
      </c>
      <c r="O24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8" s="9"/>
      <c r="R2418" s="9"/>
      <c r="S2418" s="5"/>
      <c r="T24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табеле]])*S2418,0)</f>
        <v>0</v>
      </c>
      <c r="U2418" s="5">
        <f>IF(Таблица1[[#This Row],[ТТН]]&gt;0,Таблица1[[#This Row],[Ставка за ТТН]]*Таблица1[[#This Row],[ТТН]],0)</f>
        <v>0</v>
      </c>
    </row>
    <row r="2419" spans="1:21" x14ac:dyDescent="0.25">
      <c r="A2419" t="s">
        <v>84</v>
      </c>
      <c r="B2419" s="24">
        <v>12</v>
      </c>
      <c r="C2419" t="s">
        <v>169</v>
      </c>
      <c r="D2419" t="s">
        <v>77</v>
      </c>
      <c r="E2419" t="s">
        <v>215</v>
      </c>
      <c r="F2419" t="s">
        <v>77</v>
      </c>
      <c r="H2419" t="s">
        <v>10</v>
      </c>
      <c r="I2419" t="s">
        <v>217</v>
      </c>
      <c r="J2419">
        <v>11</v>
      </c>
      <c r="N2419">
        <f>Таблица1[[#This Row],[Часов на заказчика  в работе]]+Таблица1[[#This Row],[Часов на заказчика  дежурство]]</f>
        <v>0</v>
      </c>
      <c r="O24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19" s="9"/>
      <c r="R2419" s="9"/>
      <c r="S2419" s="5"/>
      <c r="T24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табеле]])*S2419,0)</f>
        <v>0</v>
      </c>
      <c r="U2419" s="5">
        <f>IF(Таблица1[[#This Row],[ТТН]]&gt;0,Таблица1[[#This Row],[Ставка за ТТН]]*Таблица1[[#This Row],[ТТН]],0)</f>
        <v>0</v>
      </c>
    </row>
    <row r="2420" spans="1:21" x14ac:dyDescent="0.25">
      <c r="A2420" t="s">
        <v>84</v>
      </c>
      <c r="B2420" s="24">
        <v>13</v>
      </c>
      <c r="C2420" t="s">
        <v>169</v>
      </c>
      <c r="D2420" t="s">
        <v>77</v>
      </c>
      <c r="E2420" t="s">
        <v>215</v>
      </c>
      <c r="F2420" t="s">
        <v>77</v>
      </c>
      <c r="H2420" t="s">
        <v>10</v>
      </c>
      <c r="I2420" t="s">
        <v>217</v>
      </c>
      <c r="J2420">
        <v>11</v>
      </c>
      <c r="N2420">
        <f>Таблица1[[#This Row],[Часов на заказчика  в работе]]+Таблица1[[#This Row],[Часов на заказчика  дежурство]]</f>
        <v>0</v>
      </c>
      <c r="O24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0" s="9"/>
      <c r="R2420" s="9"/>
      <c r="S2420" s="5"/>
      <c r="T24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табеле]])*S2420,0)</f>
        <v>0</v>
      </c>
      <c r="U2420" s="5">
        <f>IF(Таблица1[[#This Row],[ТТН]]&gt;0,Таблица1[[#This Row],[Ставка за ТТН]]*Таблица1[[#This Row],[ТТН]],0)</f>
        <v>0</v>
      </c>
    </row>
    <row r="2421" spans="1:21" x14ac:dyDescent="0.25">
      <c r="A2421" t="s">
        <v>84</v>
      </c>
      <c r="B2421" s="24">
        <v>14</v>
      </c>
      <c r="C2421" t="s">
        <v>169</v>
      </c>
      <c r="D2421" t="s">
        <v>77</v>
      </c>
      <c r="E2421" t="s">
        <v>215</v>
      </c>
      <c r="F2421" t="s">
        <v>77</v>
      </c>
      <c r="H2421" t="s">
        <v>10</v>
      </c>
      <c r="I2421" t="s">
        <v>217</v>
      </c>
      <c r="J2421">
        <v>11</v>
      </c>
      <c r="N2421">
        <f>Таблица1[[#This Row],[Часов на заказчика  в работе]]+Таблица1[[#This Row],[Часов на заказчика  дежурство]]</f>
        <v>0</v>
      </c>
      <c r="O24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1" s="9"/>
      <c r="R2421" s="9"/>
      <c r="S2421" s="5"/>
      <c r="T24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табеле]])*S2421,0)</f>
        <v>0</v>
      </c>
      <c r="U2421" s="5">
        <f>IF(Таблица1[[#This Row],[ТТН]]&gt;0,Таблица1[[#This Row],[Ставка за ТТН]]*Таблица1[[#This Row],[ТТН]],0)</f>
        <v>0</v>
      </c>
    </row>
    <row r="2422" spans="1:21" x14ac:dyDescent="0.25">
      <c r="A2422" t="s">
        <v>84</v>
      </c>
      <c r="B2422" s="24">
        <v>15</v>
      </c>
      <c r="C2422" t="s">
        <v>169</v>
      </c>
      <c r="D2422" t="s">
        <v>77</v>
      </c>
      <c r="E2422" t="s">
        <v>215</v>
      </c>
      <c r="F2422" t="s">
        <v>77</v>
      </c>
      <c r="H2422" t="s">
        <v>10</v>
      </c>
      <c r="I2422" t="s">
        <v>217</v>
      </c>
      <c r="J2422">
        <v>11</v>
      </c>
      <c r="N2422">
        <f>Таблица1[[#This Row],[Часов на заказчика  в работе]]+Таблица1[[#This Row],[Часов на заказчика  дежурство]]</f>
        <v>0</v>
      </c>
      <c r="O24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2" s="9"/>
      <c r="R2422" s="9"/>
      <c r="S2422" s="5"/>
      <c r="T24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табеле]])*S2422,0)</f>
        <v>0</v>
      </c>
      <c r="U2422" s="5">
        <f>IF(Таблица1[[#This Row],[ТТН]]&gt;0,Таблица1[[#This Row],[Ставка за ТТН]]*Таблица1[[#This Row],[ТТН]],0)</f>
        <v>0</v>
      </c>
    </row>
    <row r="2423" spans="1:21" x14ac:dyDescent="0.25">
      <c r="A2423" t="s">
        <v>84</v>
      </c>
      <c r="B2423" s="24">
        <v>16</v>
      </c>
      <c r="C2423" t="s">
        <v>169</v>
      </c>
      <c r="D2423" t="s">
        <v>77</v>
      </c>
      <c r="E2423" t="s">
        <v>215</v>
      </c>
      <c r="F2423" t="s">
        <v>77</v>
      </c>
      <c r="H2423" t="s">
        <v>10</v>
      </c>
      <c r="I2423" t="s">
        <v>217</v>
      </c>
      <c r="J2423">
        <v>11</v>
      </c>
      <c r="N2423">
        <f>Таблица1[[#This Row],[Часов на заказчика  в работе]]+Таблица1[[#This Row],[Часов на заказчика  дежурство]]</f>
        <v>0</v>
      </c>
      <c r="O24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3" s="9"/>
      <c r="R2423" s="9"/>
      <c r="S2423" s="5"/>
      <c r="T24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табеле]])*S2423,0)</f>
        <v>0</v>
      </c>
      <c r="U2423" s="5">
        <f>IF(Таблица1[[#This Row],[ТТН]]&gt;0,Таблица1[[#This Row],[Ставка за ТТН]]*Таблица1[[#This Row],[ТТН]],0)</f>
        <v>0</v>
      </c>
    </row>
    <row r="2424" spans="1:21" x14ac:dyDescent="0.25">
      <c r="A2424" t="s">
        <v>84</v>
      </c>
      <c r="B2424" s="24">
        <v>17</v>
      </c>
      <c r="C2424" t="s">
        <v>169</v>
      </c>
      <c r="D2424" t="s">
        <v>77</v>
      </c>
      <c r="E2424" t="s">
        <v>215</v>
      </c>
      <c r="F2424" t="s">
        <v>77</v>
      </c>
      <c r="H2424" t="s">
        <v>10</v>
      </c>
      <c r="I2424" t="s">
        <v>217</v>
      </c>
      <c r="J2424">
        <v>11</v>
      </c>
      <c r="N2424">
        <f>Таблица1[[#This Row],[Часов на заказчика  в работе]]+Таблица1[[#This Row],[Часов на заказчика  дежурство]]</f>
        <v>0</v>
      </c>
      <c r="O24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4" s="9"/>
      <c r="R2424" s="9"/>
      <c r="S2424" s="5"/>
      <c r="T24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табеле]])*S2424,0)</f>
        <v>0</v>
      </c>
      <c r="U2424" s="5">
        <f>IF(Таблица1[[#This Row],[ТТН]]&gt;0,Таблица1[[#This Row],[Ставка за ТТН]]*Таблица1[[#This Row],[ТТН]],0)</f>
        <v>0</v>
      </c>
    </row>
    <row r="2425" spans="1:21" x14ac:dyDescent="0.25">
      <c r="A2425" t="s">
        <v>84</v>
      </c>
      <c r="B2425" s="24">
        <v>18</v>
      </c>
      <c r="C2425" t="s">
        <v>169</v>
      </c>
      <c r="D2425" t="s">
        <v>77</v>
      </c>
      <c r="E2425" t="s">
        <v>215</v>
      </c>
      <c r="F2425" t="s">
        <v>77</v>
      </c>
      <c r="H2425" t="s">
        <v>10</v>
      </c>
      <c r="I2425" t="s">
        <v>217</v>
      </c>
      <c r="J2425">
        <v>11</v>
      </c>
      <c r="N2425">
        <f>Таблица1[[#This Row],[Часов на заказчика  в работе]]+Таблица1[[#This Row],[Часов на заказчика  дежурство]]</f>
        <v>0</v>
      </c>
      <c r="O24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5" s="9"/>
      <c r="R2425" s="9"/>
      <c r="S2425" s="5"/>
      <c r="T24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табеле]])*S2425,0)</f>
        <v>0</v>
      </c>
      <c r="U2425" s="5">
        <f>IF(Таблица1[[#This Row],[ТТН]]&gt;0,Таблица1[[#This Row],[Ставка за ТТН]]*Таблица1[[#This Row],[ТТН]],0)</f>
        <v>0</v>
      </c>
    </row>
    <row r="2426" spans="1:21" x14ac:dyDescent="0.25">
      <c r="A2426" t="s">
        <v>84</v>
      </c>
      <c r="B2426" s="24">
        <v>19</v>
      </c>
      <c r="C2426" t="s">
        <v>169</v>
      </c>
      <c r="D2426" t="s">
        <v>77</v>
      </c>
      <c r="E2426" t="s">
        <v>215</v>
      </c>
      <c r="F2426" t="s">
        <v>77</v>
      </c>
      <c r="H2426" t="s">
        <v>10</v>
      </c>
      <c r="I2426" t="s">
        <v>217</v>
      </c>
      <c r="J2426">
        <v>11</v>
      </c>
      <c r="N2426">
        <f>Таблица1[[#This Row],[Часов на заказчика  в работе]]+Таблица1[[#This Row],[Часов на заказчика  дежурство]]</f>
        <v>0</v>
      </c>
      <c r="O24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6" s="9"/>
      <c r="R2426" s="9"/>
      <c r="S2426" s="5"/>
      <c r="T24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табеле]])*S2426,0)</f>
        <v>0</v>
      </c>
      <c r="U2426" s="5">
        <f>IF(Таблица1[[#This Row],[ТТН]]&gt;0,Таблица1[[#This Row],[Ставка за ТТН]]*Таблица1[[#This Row],[ТТН]],0)</f>
        <v>0</v>
      </c>
    </row>
    <row r="2427" spans="1:21" x14ac:dyDescent="0.25">
      <c r="A2427" t="s">
        <v>84</v>
      </c>
      <c r="B2427" s="24">
        <v>20</v>
      </c>
      <c r="C2427" t="s">
        <v>169</v>
      </c>
      <c r="D2427" t="s">
        <v>77</v>
      </c>
      <c r="E2427" t="s">
        <v>215</v>
      </c>
      <c r="F2427" t="s">
        <v>77</v>
      </c>
      <c r="H2427" t="s">
        <v>10</v>
      </c>
      <c r="I2427" t="s">
        <v>217</v>
      </c>
      <c r="J2427">
        <v>11</v>
      </c>
      <c r="N2427">
        <f>Таблица1[[#This Row],[Часов на заказчика  в работе]]+Таблица1[[#This Row],[Часов на заказчика  дежурство]]</f>
        <v>0</v>
      </c>
      <c r="O24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7" s="9"/>
      <c r="R2427" s="9"/>
      <c r="S2427" s="5"/>
      <c r="T24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табеле]])*S2427,0)</f>
        <v>0</v>
      </c>
      <c r="U2427" s="5">
        <f>IF(Таблица1[[#This Row],[ТТН]]&gt;0,Таблица1[[#This Row],[Ставка за ТТН]]*Таблица1[[#This Row],[ТТН]],0)</f>
        <v>0</v>
      </c>
    </row>
    <row r="2428" spans="1:21" x14ac:dyDescent="0.25">
      <c r="A2428" t="s">
        <v>84</v>
      </c>
      <c r="B2428" s="24">
        <v>21</v>
      </c>
      <c r="C2428" t="s">
        <v>169</v>
      </c>
      <c r="D2428" t="s">
        <v>77</v>
      </c>
      <c r="E2428" t="s">
        <v>215</v>
      </c>
      <c r="F2428" t="s">
        <v>77</v>
      </c>
      <c r="H2428" t="s">
        <v>10</v>
      </c>
      <c r="I2428" t="s">
        <v>217</v>
      </c>
      <c r="J2428">
        <v>11</v>
      </c>
      <c r="N2428">
        <f>Таблица1[[#This Row],[Часов на заказчика  в работе]]+Таблица1[[#This Row],[Часов на заказчика  дежурство]]</f>
        <v>0</v>
      </c>
      <c r="O24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8" s="9"/>
      <c r="R2428" s="9"/>
      <c r="S2428" s="5"/>
      <c r="T24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табеле]])*S2428,0)</f>
        <v>0</v>
      </c>
      <c r="U2428" s="5">
        <f>IF(Таблица1[[#This Row],[ТТН]]&gt;0,Таблица1[[#This Row],[Ставка за ТТН]]*Таблица1[[#This Row],[ТТН]],0)</f>
        <v>0</v>
      </c>
    </row>
    <row r="2429" spans="1:21" x14ac:dyDescent="0.25">
      <c r="A2429" t="s">
        <v>84</v>
      </c>
      <c r="B2429" s="24">
        <v>22</v>
      </c>
      <c r="C2429" t="s">
        <v>169</v>
      </c>
      <c r="D2429" t="s">
        <v>77</v>
      </c>
      <c r="E2429" t="s">
        <v>215</v>
      </c>
      <c r="F2429" t="s">
        <v>77</v>
      </c>
      <c r="H2429" t="s">
        <v>10</v>
      </c>
      <c r="I2429" t="s">
        <v>217</v>
      </c>
      <c r="J2429">
        <v>11</v>
      </c>
      <c r="N2429">
        <f>Таблица1[[#This Row],[Часов на заказчика  в работе]]+Таблица1[[#This Row],[Часов на заказчика  дежурство]]</f>
        <v>0</v>
      </c>
      <c r="O24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29" s="9"/>
      <c r="R2429" s="9"/>
      <c r="S2429" s="5"/>
      <c r="T24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табеле]])*S2429,0)</f>
        <v>0</v>
      </c>
      <c r="U2429" s="5">
        <f>IF(Таблица1[[#This Row],[ТТН]]&gt;0,Таблица1[[#This Row],[Ставка за ТТН]]*Таблица1[[#This Row],[ТТН]],0)</f>
        <v>0</v>
      </c>
    </row>
    <row r="2430" spans="1:21" x14ac:dyDescent="0.25">
      <c r="A2430" t="s">
        <v>84</v>
      </c>
      <c r="B2430" s="24">
        <v>23</v>
      </c>
      <c r="C2430" t="s">
        <v>169</v>
      </c>
      <c r="D2430" t="s">
        <v>77</v>
      </c>
      <c r="E2430" t="s">
        <v>215</v>
      </c>
      <c r="F2430" t="s">
        <v>77</v>
      </c>
      <c r="H2430" t="s">
        <v>10</v>
      </c>
      <c r="I2430" t="s">
        <v>217</v>
      </c>
      <c r="J2430">
        <v>11</v>
      </c>
      <c r="N2430">
        <f>Таблица1[[#This Row],[Часов на заказчика  в работе]]+Таблица1[[#This Row],[Часов на заказчика  дежурство]]</f>
        <v>0</v>
      </c>
      <c r="O24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0" s="9"/>
      <c r="R2430" s="9"/>
      <c r="S2430" s="5"/>
      <c r="T24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табеле]])*S2430,0)</f>
        <v>0</v>
      </c>
      <c r="U2430" s="5">
        <f>IF(Таблица1[[#This Row],[ТТН]]&gt;0,Таблица1[[#This Row],[Ставка за ТТН]]*Таблица1[[#This Row],[ТТН]],0)</f>
        <v>0</v>
      </c>
    </row>
    <row r="2431" spans="1:21" x14ac:dyDescent="0.25">
      <c r="A2431" t="s">
        <v>84</v>
      </c>
      <c r="B2431" s="24">
        <v>24</v>
      </c>
      <c r="C2431" t="s">
        <v>169</v>
      </c>
      <c r="D2431" t="s">
        <v>77</v>
      </c>
      <c r="E2431" t="s">
        <v>215</v>
      </c>
      <c r="F2431" t="s">
        <v>77</v>
      </c>
      <c r="H2431" t="s">
        <v>10</v>
      </c>
      <c r="I2431" t="s">
        <v>217</v>
      </c>
      <c r="J2431">
        <v>11</v>
      </c>
      <c r="N2431">
        <f>Таблица1[[#This Row],[Часов на заказчика  в работе]]+Таблица1[[#This Row],[Часов на заказчика  дежурство]]</f>
        <v>0</v>
      </c>
      <c r="O24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1" s="9"/>
      <c r="R2431" s="9"/>
      <c r="S2431" s="5"/>
      <c r="T24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табеле]])*S2431,0)</f>
        <v>0</v>
      </c>
      <c r="U2431" s="5">
        <f>IF(Таблица1[[#This Row],[ТТН]]&gt;0,Таблица1[[#This Row],[Ставка за ТТН]]*Таблица1[[#This Row],[ТТН]],0)</f>
        <v>0</v>
      </c>
    </row>
    <row r="2432" spans="1:21" x14ac:dyDescent="0.25">
      <c r="A2432" t="s">
        <v>84</v>
      </c>
      <c r="B2432" s="24">
        <v>25</v>
      </c>
      <c r="C2432" t="s">
        <v>169</v>
      </c>
      <c r="D2432" t="s">
        <v>77</v>
      </c>
      <c r="E2432" t="s">
        <v>215</v>
      </c>
      <c r="F2432" t="s">
        <v>77</v>
      </c>
      <c r="H2432" t="s">
        <v>10</v>
      </c>
      <c r="I2432" t="s">
        <v>217</v>
      </c>
      <c r="J2432">
        <v>11</v>
      </c>
      <c r="N2432">
        <f>Таблица1[[#This Row],[Часов на заказчика  в работе]]+Таблица1[[#This Row],[Часов на заказчика  дежурство]]</f>
        <v>0</v>
      </c>
      <c r="O24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2" s="9"/>
      <c r="R2432" s="9"/>
      <c r="S2432" s="5"/>
      <c r="T24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табеле]])*S2432,0)</f>
        <v>0</v>
      </c>
      <c r="U2432" s="5">
        <f>IF(Таблица1[[#This Row],[ТТН]]&gt;0,Таблица1[[#This Row],[Ставка за ТТН]]*Таблица1[[#This Row],[ТТН]],0)</f>
        <v>0</v>
      </c>
    </row>
    <row r="2433" spans="1:21" x14ac:dyDescent="0.25">
      <c r="A2433" t="s">
        <v>84</v>
      </c>
      <c r="B2433" s="24">
        <v>26</v>
      </c>
      <c r="C2433" t="s">
        <v>169</v>
      </c>
      <c r="D2433" t="s">
        <v>77</v>
      </c>
      <c r="E2433" t="s">
        <v>215</v>
      </c>
      <c r="F2433" t="s">
        <v>77</v>
      </c>
      <c r="H2433" t="s">
        <v>10</v>
      </c>
      <c r="I2433" t="s">
        <v>217</v>
      </c>
      <c r="J2433">
        <v>11</v>
      </c>
      <c r="N2433">
        <f>Таблица1[[#This Row],[Часов на заказчика  в работе]]+Таблица1[[#This Row],[Часов на заказчика  дежурство]]</f>
        <v>0</v>
      </c>
      <c r="O24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3" s="9"/>
      <c r="R2433" s="9"/>
      <c r="S2433" s="5"/>
      <c r="T24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табеле]])*S2433,0)</f>
        <v>0</v>
      </c>
      <c r="U2433" s="5">
        <f>IF(Таблица1[[#This Row],[ТТН]]&gt;0,Таблица1[[#This Row],[Ставка за ТТН]]*Таблица1[[#This Row],[ТТН]],0)</f>
        <v>0</v>
      </c>
    </row>
    <row r="2434" spans="1:21" x14ac:dyDescent="0.25">
      <c r="A2434" t="s">
        <v>84</v>
      </c>
      <c r="B2434" s="24">
        <v>27</v>
      </c>
      <c r="C2434" t="s">
        <v>169</v>
      </c>
      <c r="D2434" t="s">
        <v>77</v>
      </c>
      <c r="E2434" t="s">
        <v>215</v>
      </c>
      <c r="F2434" t="s">
        <v>77</v>
      </c>
      <c r="H2434" t="s">
        <v>10</v>
      </c>
      <c r="I2434" t="s">
        <v>217</v>
      </c>
      <c r="J2434">
        <v>11</v>
      </c>
      <c r="N2434">
        <f>Таблица1[[#This Row],[Часов на заказчика  в работе]]+Таблица1[[#This Row],[Часов на заказчика  дежурство]]</f>
        <v>0</v>
      </c>
      <c r="O24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4" s="9"/>
      <c r="R2434" s="9"/>
      <c r="S2434" s="5"/>
      <c r="T24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табеле]])*S2434,0)</f>
        <v>0</v>
      </c>
      <c r="U2434" s="5">
        <f>IF(Таблица1[[#This Row],[ТТН]]&gt;0,Таблица1[[#This Row],[Ставка за ТТН]]*Таблица1[[#This Row],[ТТН]],0)</f>
        <v>0</v>
      </c>
    </row>
    <row r="2435" spans="1:21" x14ac:dyDescent="0.25">
      <c r="A2435" t="s">
        <v>84</v>
      </c>
      <c r="B2435" s="24">
        <v>28</v>
      </c>
      <c r="C2435" t="s">
        <v>169</v>
      </c>
      <c r="D2435" t="s">
        <v>77</v>
      </c>
      <c r="E2435" t="s">
        <v>215</v>
      </c>
      <c r="F2435" t="s">
        <v>77</v>
      </c>
      <c r="H2435" t="s">
        <v>10</v>
      </c>
      <c r="I2435" t="s">
        <v>217</v>
      </c>
      <c r="J2435">
        <v>11</v>
      </c>
      <c r="N2435">
        <f>Таблица1[[#This Row],[Часов на заказчика  в работе]]+Таблица1[[#This Row],[Часов на заказчика  дежурство]]</f>
        <v>0</v>
      </c>
      <c r="O24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5" s="9"/>
      <c r="R2435" s="9"/>
      <c r="S2435" s="5"/>
      <c r="T24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табеле]])*S2435,0)</f>
        <v>0</v>
      </c>
      <c r="U2435" s="5">
        <f>IF(Таблица1[[#This Row],[ТТН]]&gt;0,Таблица1[[#This Row],[Ставка за ТТН]]*Таблица1[[#This Row],[ТТН]],0)</f>
        <v>0</v>
      </c>
    </row>
    <row r="2436" spans="1:21" x14ac:dyDescent="0.25">
      <c r="A2436" t="s">
        <v>84</v>
      </c>
      <c r="B2436" s="24">
        <v>29</v>
      </c>
      <c r="C2436" t="s">
        <v>169</v>
      </c>
      <c r="D2436" t="s">
        <v>77</v>
      </c>
      <c r="E2436" t="s">
        <v>215</v>
      </c>
      <c r="F2436" t="s">
        <v>77</v>
      </c>
      <c r="H2436" t="s">
        <v>10</v>
      </c>
      <c r="I2436" t="s">
        <v>217</v>
      </c>
      <c r="J2436">
        <v>11</v>
      </c>
      <c r="N2436">
        <f>Таблица1[[#This Row],[Часов на заказчика  в работе]]+Таблица1[[#This Row],[Часов на заказчика  дежурство]]</f>
        <v>0</v>
      </c>
      <c r="O24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6" s="9"/>
      <c r="R2436" s="9"/>
      <c r="S2436" s="5"/>
      <c r="T24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табеле]])*S2436,0)</f>
        <v>0</v>
      </c>
      <c r="U2436" s="5">
        <f>IF(Таблица1[[#This Row],[ТТН]]&gt;0,Таблица1[[#This Row],[Ставка за ТТН]]*Таблица1[[#This Row],[ТТН]],0)</f>
        <v>0</v>
      </c>
    </row>
    <row r="2437" spans="1:21" x14ac:dyDescent="0.25">
      <c r="A2437" t="s">
        <v>84</v>
      </c>
      <c r="B2437" s="24">
        <v>30</v>
      </c>
      <c r="C2437" t="s">
        <v>170</v>
      </c>
      <c r="D2437" t="s">
        <v>77</v>
      </c>
      <c r="E2437" t="s">
        <v>215</v>
      </c>
      <c r="F2437" t="s">
        <v>77</v>
      </c>
      <c r="H2437" t="s">
        <v>10</v>
      </c>
      <c r="I2437" t="s">
        <v>217</v>
      </c>
      <c r="J2437">
        <v>11</v>
      </c>
      <c r="N2437">
        <f>Таблица1[[#This Row],[Часов на заказчика  в работе]]+Таблица1[[#This Row],[Часов на заказчика  дежурство]]</f>
        <v>0</v>
      </c>
      <c r="O24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7" s="9"/>
      <c r="R2437" s="9"/>
      <c r="S2437" s="5"/>
      <c r="T24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табеле]])*S2437,0)</f>
        <v>0</v>
      </c>
      <c r="U2437" s="5">
        <f>IF(Таблица1[[#This Row],[ТТН]]&gt;0,Таблица1[[#This Row],[Ставка за ТТН]]*Таблица1[[#This Row],[ТТН]],0)</f>
        <v>0</v>
      </c>
    </row>
    <row r="2438" spans="1:21" x14ac:dyDescent="0.25">
      <c r="A2438" t="s">
        <v>84</v>
      </c>
      <c r="B2438" s="24">
        <v>1</v>
      </c>
      <c r="C2438" t="s">
        <v>170</v>
      </c>
      <c r="D2438" t="s">
        <v>32</v>
      </c>
      <c r="E2438" t="s">
        <v>216</v>
      </c>
      <c r="F2438" t="s">
        <v>31</v>
      </c>
      <c r="H2438" t="s">
        <v>10</v>
      </c>
      <c r="I2438" t="s">
        <v>219</v>
      </c>
      <c r="J2438">
        <v>11</v>
      </c>
      <c r="N2438">
        <f>Таблица1[[#This Row],[Часов на заказчика  в работе]]+Таблица1[[#This Row],[Часов на заказчика  дежурство]]</f>
        <v>0</v>
      </c>
      <c r="O24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8" s="9">
        <v>160000</v>
      </c>
      <c r="R2438" s="9"/>
      <c r="S2438" s="5">
        <v>1</v>
      </c>
      <c r="T24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табеле]])*S2438,0)</f>
        <v>5333.3333333333339</v>
      </c>
      <c r="U2438" s="5">
        <f>IF(Таблица1[[#This Row],[ТТН]]&gt;0,Таблица1[[#This Row],[Ставка за ТТН]]*Таблица1[[#This Row],[ТТН]],0)</f>
        <v>0</v>
      </c>
    </row>
    <row r="2439" spans="1:21" x14ac:dyDescent="0.25">
      <c r="A2439" t="s">
        <v>84</v>
      </c>
      <c r="B2439" s="24">
        <v>2</v>
      </c>
      <c r="C2439" t="s">
        <v>170</v>
      </c>
      <c r="D2439" t="s">
        <v>32</v>
      </c>
      <c r="E2439" t="s">
        <v>216</v>
      </c>
      <c r="F2439" t="s">
        <v>31</v>
      </c>
      <c r="H2439" t="s">
        <v>10</v>
      </c>
      <c r="I2439" t="s">
        <v>219</v>
      </c>
      <c r="J2439">
        <v>11</v>
      </c>
      <c r="N2439">
        <f>Таблица1[[#This Row],[Часов на заказчика  в работе]]+Таблица1[[#This Row],[Часов на заказчика  дежурство]]</f>
        <v>0</v>
      </c>
      <c r="O24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39" s="9">
        <v>160000</v>
      </c>
      <c r="R2439" s="9"/>
      <c r="S2439" s="5">
        <v>1</v>
      </c>
      <c r="T24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табеле]])*S2439,0)</f>
        <v>5333.3333333333339</v>
      </c>
      <c r="U2439" s="5">
        <f>IF(Таблица1[[#This Row],[ТТН]]&gt;0,Таблица1[[#This Row],[Ставка за ТТН]]*Таблица1[[#This Row],[ТТН]],0)</f>
        <v>0</v>
      </c>
    </row>
    <row r="2440" spans="1:21" x14ac:dyDescent="0.25">
      <c r="A2440" t="s">
        <v>84</v>
      </c>
      <c r="B2440" s="24">
        <v>3</v>
      </c>
      <c r="C2440" t="s">
        <v>170</v>
      </c>
      <c r="D2440" t="s">
        <v>32</v>
      </c>
      <c r="E2440" t="s">
        <v>216</v>
      </c>
      <c r="F2440" t="s">
        <v>31</v>
      </c>
      <c r="H2440" t="s">
        <v>10</v>
      </c>
      <c r="I2440" t="s">
        <v>219</v>
      </c>
      <c r="J2440">
        <v>11</v>
      </c>
      <c r="N2440">
        <f>Таблица1[[#This Row],[Часов на заказчика  в работе]]+Таблица1[[#This Row],[Часов на заказчика  дежурство]]</f>
        <v>0</v>
      </c>
      <c r="O24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0" s="9">
        <v>160000</v>
      </c>
      <c r="R2440" s="9"/>
      <c r="S2440" s="5">
        <v>1</v>
      </c>
      <c r="T24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табеле]])*S2440,0)</f>
        <v>5333.3333333333339</v>
      </c>
      <c r="U2440" s="5">
        <f>IF(Таблица1[[#This Row],[ТТН]]&gt;0,Таблица1[[#This Row],[Ставка за ТТН]]*Таблица1[[#This Row],[ТТН]],0)</f>
        <v>0</v>
      </c>
    </row>
    <row r="2441" spans="1:21" x14ac:dyDescent="0.25">
      <c r="A2441" t="s">
        <v>84</v>
      </c>
      <c r="B2441" s="24">
        <v>4</v>
      </c>
      <c r="C2441" t="s">
        <v>170</v>
      </c>
      <c r="D2441" t="s">
        <v>32</v>
      </c>
      <c r="E2441" t="s">
        <v>216</v>
      </c>
      <c r="F2441" t="s">
        <v>31</v>
      </c>
      <c r="H2441" t="s">
        <v>10</v>
      </c>
      <c r="I2441" t="s">
        <v>219</v>
      </c>
      <c r="J2441">
        <v>11</v>
      </c>
      <c r="N2441">
        <f>Таблица1[[#This Row],[Часов на заказчика  в работе]]+Таблица1[[#This Row],[Часов на заказчика  дежурство]]</f>
        <v>0</v>
      </c>
      <c r="O24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1" s="9">
        <v>160000</v>
      </c>
      <c r="R2441" s="9"/>
      <c r="S2441" s="5">
        <v>1</v>
      </c>
      <c r="T24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табеле]])*S2441,0)</f>
        <v>5333.3333333333339</v>
      </c>
      <c r="U2441" s="5">
        <f>IF(Таблица1[[#This Row],[ТТН]]&gt;0,Таблица1[[#This Row],[Ставка за ТТН]]*Таблица1[[#This Row],[ТТН]],0)</f>
        <v>0</v>
      </c>
    </row>
    <row r="2442" spans="1:21" x14ac:dyDescent="0.25">
      <c r="A2442" t="s">
        <v>84</v>
      </c>
      <c r="B2442" s="24">
        <v>5</v>
      </c>
      <c r="C2442" t="s">
        <v>170</v>
      </c>
      <c r="D2442" t="s">
        <v>32</v>
      </c>
      <c r="E2442" t="s">
        <v>216</v>
      </c>
      <c r="F2442" t="s">
        <v>31</v>
      </c>
      <c r="H2442" t="s">
        <v>10</v>
      </c>
      <c r="I2442" t="s">
        <v>219</v>
      </c>
      <c r="J2442">
        <v>11</v>
      </c>
      <c r="N2442">
        <f>Таблица1[[#This Row],[Часов на заказчика  в работе]]+Таблица1[[#This Row],[Часов на заказчика  дежурство]]</f>
        <v>0</v>
      </c>
      <c r="O24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2" s="9">
        <v>160000</v>
      </c>
      <c r="R2442" s="9"/>
      <c r="S2442" s="5">
        <v>1</v>
      </c>
      <c r="T24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табеле]])*S2442,0)</f>
        <v>5333.3333333333339</v>
      </c>
      <c r="U2442" s="5">
        <f>IF(Таблица1[[#This Row],[ТТН]]&gt;0,Таблица1[[#This Row],[Ставка за ТТН]]*Таблица1[[#This Row],[ТТН]],0)</f>
        <v>0</v>
      </c>
    </row>
    <row r="2443" spans="1:21" x14ac:dyDescent="0.25">
      <c r="A2443" t="s">
        <v>84</v>
      </c>
      <c r="B2443" s="24">
        <v>6</v>
      </c>
      <c r="C2443" t="s">
        <v>170</v>
      </c>
      <c r="D2443" t="s">
        <v>32</v>
      </c>
      <c r="E2443" t="s">
        <v>216</v>
      </c>
      <c r="F2443" t="s">
        <v>31</v>
      </c>
      <c r="H2443" t="s">
        <v>10</v>
      </c>
      <c r="I2443" t="s">
        <v>219</v>
      </c>
      <c r="J2443">
        <v>11</v>
      </c>
      <c r="N2443">
        <f>Таблица1[[#This Row],[Часов на заказчика  в работе]]+Таблица1[[#This Row],[Часов на заказчика  дежурство]]</f>
        <v>0</v>
      </c>
      <c r="O24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3" s="9">
        <v>160000</v>
      </c>
      <c r="R2443" s="9"/>
      <c r="S2443" s="5">
        <v>1</v>
      </c>
      <c r="T24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табеле]])*S2443,0)</f>
        <v>5333.3333333333339</v>
      </c>
      <c r="U2443" s="5">
        <f>IF(Таблица1[[#This Row],[ТТН]]&gt;0,Таблица1[[#This Row],[Ставка за ТТН]]*Таблица1[[#This Row],[ТТН]],0)</f>
        <v>0</v>
      </c>
    </row>
    <row r="2444" spans="1:21" x14ac:dyDescent="0.25">
      <c r="A2444" t="s">
        <v>84</v>
      </c>
      <c r="B2444" s="24">
        <v>7</v>
      </c>
      <c r="C2444" t="s">
        <v>170</v>
      </c>
      <c r="D2444" t="s">
        <v>32</v>
      </c>
      <c r="E2444" t="s">
        <v>216</v>
      </c>
      <c r="F2444" t="s">
        <v>31</v>
      </c>
      <c r="H2444" t="s">
        <v>10</v>
      </c>
      <c r="I2444" t="s">
        <v>219</v>
      </c>
      <c r="J2444">
        <v>11</v>
      </c>
      <c r="N2444">
        <f>Таблица1[[#This Row],[Часов на заказчика  в работе]]+Таблица1[[#This Row],[Часов на заказчика  дежурство]]</f>
        <v>0</v>
      </c>
      <c r="O24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4" s="9">
        <v>160000</v>
      </c>
      <c r="R2444" s="9"/>
      <c r="S2444" s="5">
        <v>1</v>
      </c>
      <c r="T24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табеле]])*S2444,0)</f>
        <v>5333.3333333333339</v>
      </c>
      <c r="U2444" s="5">
        <f>IF(Таблица1[[#This Row],[ТТН]]&gt;0,Таблица1[[#This Row],[Ставка за ТТН]]*Таблица1[[#This Row],[ТТН]],0)</f>
        <v>0</v>
      </c>
    </row>
    <row r="2445" spans="1:21" x14ac:dyDescent="0.25">
      <c r="A2445" t="s">
        <v>84</v>
      </c>
      <c r="B2445" s="24">
        <v>8</v>
      </c>
      <c r="C2445" t="s">
        <v>170</v>
      </c>
      <c r="D2445" t="s">
        <v>32</v>
      </c>
      <c r="E2445" t="s">
        <v>216</v>
      </c>
      <c r="F2445" t="s">
        <v>31</v>
      </c>
      <c r="H2445" t="s">
        <v>10</v>
      </c>
      <c r="I2445" t="s">
        <v>219</v>
      </c>
      <c r="J2445">
        <v>11</v>
      </c>
      <c r="N2445">
        <f>Таблица1[[#This Row],[Часов на заказчика  в работе]]+Таблица1[[#This Row],[Часов на заказчика  дежурство]]</f>
        <v>0</v>
      </c>
      <c r="O24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5" s="9">
        <v>160000</v>
      </c>
      <c r="R2445" s="9"/>
      <c r="S2445" s="5">
        <v>1</v>
      </c>
      <c r="T24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табеле]])*S2445,0)</f>
        <v>5333.3333333333339</v>
      </c>
      <c r="U2445" s="5">
        <f>IF(Таблица1[[#This Row],[ТТН]]&gt;0,Таблица1[[#This Row],[Ставка за ТТН]]*Таблица1[[#This Row],[ТТН]],0)</f>
        <v>0</v>
      </c>
    </row>
    <row r="2446" spans="1:21" x14ac:dyDescent="0.25">
      <c r="A2446" t="s">
        <v>84</v>
      </c>
      <c r="B2446" s="24">
        <v>9</v>
      </c>
      <c r="C2446" t="s">
        <v>170</v>
      </c>
      <c r="D2446" t="s">
        <v>32</v>
      </c>
      <c r="E2446" t="s">
        <v>216</v>
      </c>
      <c r="F2446" t="s">
        <v>31</v>
      </c>
      <c r="H2446" t="s">
        <v>10</v>
      </c>
      <c r="I2446" t="s">
        <v>219</v>
      </c>
      <c r="J2446">
        <v>11</v>
      </c>
      <c r="N2446">
        <f>Таблица1[[#This Row],[Часов на заказчика  в работе]]+Таблица1[[#This Row],[Часов на заказчика  дежурство]]</f>
        <v>0</v>
      </c>
      <c r="O24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6" s="9">
        <v>160000</v>
      </c>
      <c r="R2446" s="9"/>
      <c r="S2446" s="5">
        <v>1</v>
      </c>
      <c r="T24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табеле]])*S2446,0)</f>
        <v>5333.3333333333339</v>
      </c>
      <c r="U2446" s="5">
        <f>IF(Таблица1[[#This Row],[ТТН]]&gt;0,Таблица1[[#This Row],[Ставка за ТТН]]*Таблица1[[#This Row],[ТТН]],0)</f>
        <v>0</v>
      </c>
    </row>
    <row r="2447" spans="1:21" x14ac:dyDescent="0.25">
      <c r="A2447" t="s">
        <v>84</v>
      </c>
      <c r="B2447" s="24">
        <v>10</v>
      </c>
      <c r="C2447" t="s">
        <v>170</v>
      </c>
      <c r="D2447" t="s">
        <v>32</v>
      </c>
      <c r="E2447" t="s">
        <v>216</v>
      </c>
      <c r="F2447" t="s">
        <v>31</v>
      </c>
      <c r="H2447" t="s">
        <v>10</v>
      </c>
      <c r="I2447" t="s">
        <v>219</v>
      </c>
      <c r="J2447">
        <v>11</v>
      </c>
      <c r="N2447">
        <f>Таблица1[[#This Row],[Часов на заказчика  в работе]]+Таблица1[[#This Row],[Часов на заказчика  дежурство]]</f>
        <v>0</v>
      </c>
      <c r="O24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7" s="9">
        <v>160000</v>
      </c>
      <c r="R2447" s="9"/>
      <c r="S2447" s="5">
        <v>1</v>
      </c>
      <c r="T24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табеле]])*S2447,0)</f>
        <v>5333.3333333333339</v>
      </c>
      <c r="U2447" s="5">
        <f>IF(Таблица1[[#This Row],[ТТН]]&gt;0,Таблица1[[#This Row],[Ставка за ТТН]]*Таблица1[[#This Row],[ТТН]],0)</f>
        <v>0</v>
      </c>
    </row>
    <row r="2448" spans="1:21" x14ac:dyDescent="0.25">
      <c r="A2448" t="s">
        <v>84</v>
      </c>
      <c r="B2448" s="24">
        <v>11</v>
      </c>
      <c r="C2448" t="s">
        <v>170</v>
      </c>
      <c r="D2448" t="s">
        <v>32</v>
      </c>
      <c r="E2448" t="s">
        <v>216</v>
      </c>
      <c r="F2448" t="s">
        <v>31</v>
      </c>
      <c r="H2448" t="s">
        <v>10</v>
      </c>
      <c r="I2448" t="s">
        <v>221</v>
      </c>
      <c r="J2448">
        <v>11</v>
      </c>
      <c r="L2448">
        <v>11</v>
      </c>
      <c r="N2448">
        <f>Таблица1[[#This Row],[Часов на заказчика  в работе]]+Таблица1[[#This Row],[Часов на заказчика  дежурство]]</f>
        <v>11</v>
      </c>
      <c r="O24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8" s="9">
        <v>160000</v>
      </c>
      <c r="R2448" s="9"/>
      <c r="S2448" s="5">
        <v>1</v>
      </c>
      <c r="T24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табеле]])*S2448,0)</f>
        <v>5333.3333333333339</v>
      </c>
      <c r="U2448" s="5">
        <f>IF(Таблица1[[#This Row],[ТТН]]&gt;0,Таблица1[[#This Row],[Ставка за ТТН]]*Таблица1[[#This Row],[ТТН]],0)</f>
        <v>0</v>
      </c>
    </row>
    <row r="2449" spans="1:21" x14ac:dyDescent="0.25">
      <c r="A2449" t="s">
        <v>84</v>
      </c>
      <c r="B2449" s="24">
        <v>12</v>
      </c>
      <c r="C2449" t="s">
        <v>170</v>
      </c>
      <c r="D2449" t="s">
        <v>32</v>
      </c>
      <c r="E2449" t="s">
        <v>216</v>
      </c>
      <c r="F2449" t="s">
        <v>31</v>
      </c>
      <c r="H2449" t="s">
        <v>10</v>
      </c>
      <c r="I2449" t="s">
        <v>221</v>
      </c>
      <c r="J2449">
        <v>11</v>
      </c>
      <c r="L2449">
        <v>11</v>
      </c>
      <c r="N2449">
        <f>Таблица1[[#This Row],[Часов на заказчика  в работе]]+Таблица1[[#This Row],[Часов на заказчика  дежурство]]</f>
        <v>11</v>
      </c>
      <c r="O24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49" s="9">
        <v>160000</v>
      </c>
      <c r="R2449" s="9"/>
      <c r="S2449" s="5">
        <v>1</v>
      </c>
      <c r="T24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табеле]])*S2449,0)</f>
        <v>5333.3333333333339</v>
      </c>
      <c r="U2449" s="5">
        <f>IF(Таблица1[[#This Row],[ТТН]]&gt;0,Таблица1[[#This Row],[Ставка за ТТН]]*Таблица1[[#This Row],[ТТН]],0)</f>
        <v>0</v>
      </c>
    </row>
    <row r="2450" spans="1:21" x14ac:dyDescent="0.25">
      <c r="A2450" t="s">
        <v>84</v>
      </c>
      <c r="B2450" s="24">
        <v>13</v>
      </c>
      <c r="C2450" t="s">
        <v>170</v>
      </c>
      <c r="D2450" t="s">
        <v>32</v>
      </c>
      <c r="E2450" t="s">
        <v>216</v>
      </c>
      <c r="F2450" t="s">
        <v>31</v>
      </c>
      <c r="H2450" t="s">
        <v>10</v>
      </c>
      <c r="I2450" t="s">
        <v>221</v>
      </c>
      <c r="J2450">
        <v>11</v>
      </c>
      <c r="L2450">
        <v>11</v>
      </c>
      <c r="N2450">
        <f>Таблица1[[#This Row],[Часов на заказчика  в работе]]+Таблица1[[#This Row],[Часов на заказчика  дежурство]]</f>
        <v>11</v>
      </c>
      <c r="O24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0" s="9">
        <v>160000</v>
      </c>
      <c r="R2450" s="9"/>
      <c r="S2450" s="5">
        <v>1</v>
      </c>
      <c r="T24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табеле]])*S2450,0)</f>
        <v>5333.3333333333339</v>
      </c>
      <c r="U2450" s="5">
        <f>IF(Таблица1[[#This Row],[ТТН]]&gt;0,Таблица1[[#This Row],[Ставка за ТТН]]*Таблица1[[#This Row],[ТТН]],0)</f>
        <v>0</v>
      </c>
    </row>
    <row r="2451" spans="1:21" x14ac:dyDescent="0.25">
      <c r="A2451" t="s">
        <v>84</v>
      </c>
      <c r="B2451" s="24">
        <v>14</v>
      </c>
      <c r="C2451" t="s">
        <v>170</v>
      </c>
      <c r="D2451" t="s">
        <v>32</v>
      </c>
      <c r="E2451" t="s">
        <v>216</v>
      </c>
      <c r="F2451" t="s">
        <v>31</v>
      </c>
      <c r="H2451" t="s">
        <v>10</v>
      </c>
      <c r="I2451" t="s">
        <v>221</v>
      </c>
      <c r="J2451">
        <v>11</v>
      </c>
      <c r="L2451">
        <v>11</v>
      </c>
      <c r="N2451">
        <f>Таблица1[[#This Row],[Часов на заказчика  в работе]]+Таблица1[[#This Row],[Часов на заказчика  дежурство]]</f>
        <v>11</v>
      </c>
      <c r="O24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1" s="9">
        <v>160000</v>
      </c>
      <c r="R2451" s="9"/>
      <c r="S2451" s="5">
        <v>1</v>
      </c>
      <c r="T24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табеле]])*S2451,0)</f>
        <v>5333.3333333333339</v>
      </c>
      <c r="U2451" s="5">
        <f>IF(Таблица1[[#This Row],[ТТН]]&gt;0,Таблица1[[#This Row],[Ставка за ТТН]]*Таблица1[[#This Row],[ТТН]],0)</f>
        <v>0</v>
      </c>
    </row>
    <row r="2452" spans="1:21" x14ac:dyDescent="0.25">
      <c r="A2452" t="s">
        <v>84</v>
      </c>
      <c r="B2452" s="24">
        <v>15</v>
      </c>
      <c r="C2452" t="s">
        <v>170</v>
      </c>
      <c r="D2452" t="s">
        <v>32</v>
      </c>
      <c r="E2452" t="s">
        <v>216</v>
      </c>
      <c r="F2452" t="s">
        <v>31</v>
      </c>
      <c r="H2452" t="s">
        <v>10</v>
      </c>
      <c r="I2452" t="s">
        <v>221</v>
      </c>
      <c r="J2452">
        <v>11</v>
      </c>
      <c r="L2452">
        <v>11</v>
      </c>
      <c r="N2452">
        <f>Таблица1[[#This Row],[Часов на заказчика  в работе]]+Таблица1[[#This Row],[Часов на заказчика  дежурство]]</f>
        <v>11</v>
      </c>
      <c r="O24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2" s="9">
        <v>160000</v>
      </c>
      <c r="R2452" s="9"/>
      <c r="S2452" s="5">
        <v>1</v>
      </c>
      <c r="T24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табеле]])*S2452,0)</f>
        <v>5333.3333333333339</v>
      </c>
      <c r="U2452" s="5">
        <f>IF(Таблица1[[#This Row],[ТТН]]&gt;0,Таблица1[[#This Row],[Ставка за ТТН]]*Таблица1[[#This Row],[ТТН]],0)</f>
        <v>0</v>
      </c>
    </row>
    <row r="2453" spans="1:21" x14ac:dyDescent="0.25">
      <c r="A2453" t="s">
        <v>84</v>
      </c>
      <c r="B2453" s="24">
        <v>16</v>
      </c>
      <c r="C2453" t="s">
        <v>170</v>
      </c>
      <c r="D2453" t="s">
        <v>32</v>
      </c>
      <c r="E2453" t="s">
        <v>216</v>
      </c>
      <c r="F2453" t="s">
        <v>31</v>
      </c>
      <c r="H2453" t="s">
        <v>10</v>
      </c>
      <c r="I2453" t="s">
        <v>221</v>
      </c>
      <c r="J2453">
        <v>11</v>
      </c>
      <c r="L2453">
        <v>11</v>
      </c>
      <c r="N2453">
        <f>Таблица1[[#This Row],[Часов на заказчика  в работе]]+Таблица1[[#This Row],[Часов на заказчика  дежурство]]</f>
        <v>11</v>
      </c>
      <c r="O24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3" s="9">
        <v>160000</v>
      </c>
      <c r="R2453" s="9"/>
      <c r="S2453" s="5">
        <v>1</v>
      </c>
      <c r="T24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табеле]])*S2453,0)</f>
        <v>5333.3333333333339</v>
      </c>
      <c r="U2453" s="5">
        <f>IF(Таблица1[[#This Row],[ТТН]]&gt;0,Таблица1[[#This Row],[Ставка за ТТН]]*Таблица1[[#This Row],[ТТН]],0)</f>
        <v>0</v>
      </c>
    </row>
    <row r="2454" spans="1:21" x14ac:dyDescent="0.25">
      <c r="A2454" t="s">
        <v>84</v>
      </c>
      <c r="B2454" s="24">
        <v>17</v>
      </c>
      <c r="C2454" t="s">
        <v>170</v>
      </c>
      <c r="D2454" t="s">
        <v>32</v>
      </c>
      <c r="E2454" t="s">
        <v>216</v>
      </c>
      <c r="F2454" t="s">
        <v>31</v>
      </c>
      <c r="H2454" t="s">
        <v>10</v>
      </c>
      <c r="I2454" t="s">
        <v>221</v>
      </c>
      <c r="J2454">
        <v>11</v>
      </c>
      <c r="L2454">
        <v>11</v>
      </c>
      <c r="N2454">
        <f>Таблица1[[#This Row],[Часов на заказчика  в работе]]+Таблица1[[#This Row],[Часов на заказчика  дежурство]]</f>
        <v>11</v>
      </c>
      <c r="O24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4" s="9">
        <v>160000</v>
      </c>
      <c r="R2454" s="9"/>
      <c r="S2454" s="5">
        <v>1</v>
      </c>
      <c r="T24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табеле]])*S2454,0)</f>
        <v>5333.3333333333339</v>
      </c>
      <c r="U2454" s="5">
        <f>IF(Таблица1[[#This Row],[ТТН]]&gt;0,Таблица1[[#This Row],[Ставка за ТТН]]*Таблица1[[#This Row],[ТТН]],0)</f>
        <v>0</v>
      </c>
    </row>
    <row r="2455" spans="1:21" x14ac:dyDescent="0.25">
      <c r="A2455" t="s">
        <v>84</v>
      </c>
      <c r="B2455" s="24">
        <v>18</v>
      </c>
      <c r="C2455" t="s">
        <v>170</v>
      </c>
      <c r="D2455" t="s">
        <v>32</v>
      </c>
      <c r="E2455" t="s">
        <v>216</v>
      </c>
      <c r="F2455" t="s">
        <v>31</v>
      </c>
      <c r="H2455" t="s">
        <v>10</v>
      </c>
      <c r="I2455" t="s">
        <v>221</v>
      </c>
      <c r="J2455">
        <v>11</v>
      </c>
      <c r="L2455">
        <v>11</v>
      </c>
      <c r="N2455">
        <f>Таблица1[[#This Row],[Часов на заказчика  в работе]]+Таблица1[[#This Row],[Часов на заказчика  дежурство]]</f>
        <v>11</v>
      </c>
      <c r="O24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5" s="9">
        <v>160000</v>
      </c>
      <c r="R2455" s="9"/>
      <c r="S2455" s="5">
        <v>1</v>
      </c>
      <c r="T24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табеле]])*S2455,0)</f>
        <v>5333.3333333333339</v>
      </c>
      <c r="U2455" s="5">
        <f>IF(Таблица1[[#This Row],[ТТН]]&gt;0,Таблица1[[#This Row],[Ставка за ТТН]]*Таблица1[[#This Row],[ТТН]],0)</f>
        <v>0</v>
      </c>
    </row>
    <row r="2456" spans="1:21" x14ac:dyDescent="0.25">
      <c r="A2456" t="s">
        <v>84</v>
      </c>
      <c r="B2456" s="24">
        <v>19</v>
      </c>
      <c r="C2456" t="s">
        <v>170</v>
      </c>
      <c r="D2456" t="s">
        <v>32</v>
      </c>
      <c r="E2456" t="s">
        <v>216</v>
      </c>
      <c r="F2456" t="s">
        <v>31</v>
      </c>
      <c r="H2456" t="s">
        <v>10</v>
      </c>
      <c r="I2456" t="s">
        <v>221</v>
      </c>
      <c r="J2456">
        <v>11</v>
      </c>
      <c r="L2456">
        <v>11</v>
      </c>
      <c r="N2456">
        <f>Таблица1[[#This Row],[Часов на заказчика  в работе]]+Таблица1[[#This Row],[Часов на заказчика  дежурство]]</f>
        <v>11</v>
      </c>
      <c r="O24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6" s="9">
        <v>160000</v>
      </c>
      <c r="R2456" s="9"/>
      <c r="S2456" s="5">
        <v>1</v>
      </c>
      <c r="T24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табеле]])*S2456,0)</f>
        <v>5333.3333333333339</v>
      </c>
      <c r="U2456" s="5">
        <f>IF(Таблица1[[#This Row],[ТТН]]&gt;0,Таблица1[[#This Row],[Ставка за ТТН]]*Таблица1[[#This Row],[ТТН]],0)</f>
        <v>0</v>
      </c>
    </row>
    <row r="2457" spans="1:21" x14ac:dyDescent="0.25">
      <c r="A2457" t="s">
        <v>84</v>
      </c>
      <c r="B2457" s="24">
        <v>20</v>
      </c>
      <c r="C2457" t="s">
        <v>170</v>
      </c>
      <c r="D2457" t="s">
        <v>32</v>
      </c>
      <c r="E2457" t="s">
        <v>216</v>
      </c>
      <c r="F2457" t="s">
        <v>31</v>
      </c>
      <c r="H2457" t="s">
        <v>10</v>
      </c>
      <c r="I2457" t="s">
        <v>221</v>
      </c>
      <c r="J2457">
        <v>11</v>
      </c>
      <c r="L2457">
        <v>11</v>
      </c>
      <c r="N2457">
        <f>Таблица1[[#This Row],[Часов на заказчика  в работе]]+Таблица1[[#This Row],[Часов на заказчика  дежурство]]</f>
        <v>11</v>
      </c>
      <c r="O24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7" s="9">
        <v>160000</v>
      </c>
      <c r="R2457" s="9"/>
      <c r="S2457" s="5">
        <v>1</v>
      </c>
      <c r="T24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табеле]])*S2457,0)</f>
        <v>5333.3333333333339</v>
      </c>
      <c r="U2457" s="5">
        <f>IF(Таблица1[[#This Row],[ТТН]]&gt;0,Таблица1[[#This Row],[Ставка за ТТН]]*Таблица1[[#This Row],[ТТН]],0)</f>
        <v>0</v>
      </c>
    </row>
    <row r="2458" spans="1:21" x14ac:dyDescent="0.25">
      <c r="A2458" t="s">
        <v>84</v>
      </c>
      <c r="B2458" s="24">
        <v>21</v>
      </c>
      <c r="C2458" t="s">
        <v>170</v>
      </c>
      <c r="D2458" t="s">
        <v>32</v>
      </c>
      <c r="E2458" t="s">
        <v>216</v>
      </c>
      <c r="F2458" t="s">
        <v>31</v>
      </c>
      <c r="H2458" t="s">
        <v>10</v>
      </c>
      <c r="I2458" t="s">
        <v>219</v>
      </c>
      <c r="J2458">
        <v>11</v>
      </c>
      <c r="N2458">
        <f>Таблица1[[#This Row],[Часов на заказчика  в работе]]+Таблица1[[#This Row],[Часов на заказчика  дежурство]]</f>
        <v>0</v>
      </c>
      <c r="O24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8" s="9">
        <v>160000</v>
      </c>
      <c r="R2458" s="9"/>
      <c r="S2458" s="5">
        <v>1</v>
      </c>
      <c r="T24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табеле]])*S2458,0)</f>
        <v>5333.3333333333339</v>
      </c>
      <c r="U2458" s="5">
        <f>IF(Таблица1[[#This Row],[ТТН]]&gt;0,Таблица1[[#This Row],[Ставка за ТТН]]*Таблица1[[#This Row],[ТТН]],0)</f>
        <v>0</v>
      </c>
    </row>
    <row r="2459" spans="1:21" x14ac:dyDescent="0.25">
      <c r="A2459" t="s">
        <v>84</v>
      </c>
      <c r="B2459" s="24">
        <v>22</v>
      </c>
      <c r="C2459" t="s">
        <v>170</v>
      </c>
      <c r="D2459" t="s">
        <v>32</v>
      </c>
      <c r="E2459" t="s">
        <v>216</v>
      </c>
      <c r="F2459" t="s">
        <v>31</v>
      </c>
      <c r="H2459" t="s">
        <v>10</v>
      </c>
      <c r="I2459" t="s">
        <v>219</v>
      </c>
      <c r="J2459">
        <v>11</v>
      </c>
      <c r="N2459">
        <f>Таблица1[[#This Row],[Часов на заказчика  в работе]]+Таблица1[[#This Row],[Часов на заказчика  дежурство]]</f>
        <v>0</v>
      </c>
      <c r="O24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59" s="9">
        <v>160000</v>
      </c>
      <c r="R2459" s="9"/>
      <c r="S2459" s="5">
        <v>1</v>
      </c>
      <c r="T24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табеле]])*S2459,0)</f>
        <v>5333.3333333333339</v>
      </c>
      <c r="U2459" s="5">
        <f>IF(Таблица1[[#This Row],[ТТН]]&gt;0,Таблица1[[#This Row],[Ставка за ТТН]]*Таблица1[[#This Row],[ТТН]],0)</f>
        <v>0</v>
      </c>
    </row>
    <row r="2460" spans="1:21" x14ac:dyDescent="0.25">
      <c r="A2460" t="s">
        <v>84</v>
      </c>
      <c r="B2460" s="24">
        <v>23</v>
      </c>
      <c r="C2460" t="s">
        <v>170</v>
      </c>
      <c r="D2460" t="s">
        <v>32</v>
      </c>
      <c r="E2460" t="s">
        <v>216</v>
      </c>
      <c r="F2460" t="s">
        <v>31</v>
      </c>
      <c r="H2460" t="s">
        <v>10</v>
      </c>
      <c r="I2460" t="s">
        <v>219</v>
      </c>
      <c r="J2460">
        <v>11</v>
      </c>
      <c r="L2460">
        <v>11</v>
      </c>
      <c r="N2460">
        <f>Таблица1[[#This Row],[Часов на заказчика  в работе]]+Таблица1[[#This Row],[Часов на заказчика  дежурство]]</f>
        <v>11</v>
      </c>
      <c r="O24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0" s="9">
        <v>160000</v>
      </c>
      <c r="R2460" s="9"/>
      <c r="S2460" s="5">
        <v>1</v>
      </c>
      <c r="T24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табеле]])*S2460,0)</f>
        <v>5333.3333333333339</v>
      </c>
      <c r="U2460" s="5">
        <f>IF(Таблица1[[#This Row],[ТТН]]&gt;0,Таблица1[[#This Row],[Ставка за ТТН]]*Таблица1[[#This Row],[ТТН]],0)</f>
        <v>0</v>
      </c>
    </row>
    <row r="2461" spans="1:21" x14ac:dyDescent="0.25">
      <c r="A2461" t="s">
        <v>84</v>
      </c>
      <c r="B2461" s="24">
        <v>24</v>
      </c>
      <c r="C2461" t="s">
        <v>170</v>
      </c>
      <c r="D2461" t="s">
        <v>32</v>
      </c>
      <c r="E2461" t="s">
        <v>216</v>
      </c>
      <c r="F2461" t="s">
        <v>31</v>
      </c>
      <c r="H2461" t="s">
        <v>10</v>
      </c>
      <c r="I2461" t="s">
        <v>219</v>
      </c>
      <c r="J2461">
        <v>11</v>
      </c>
      <c r="L2461">
        <v>11</v>
      </c>
      <c r="N2461">
        <f>Таблица1[[#This Row],[Часов на заказчика  в работе]]+Таблица1[[#This Row],[Часов на заказчика  дежурство]]</f>
        <v>11</v>
      </c>
      <c r="O24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1" s="9">
        <v>160000</v>
      </c>
      <c r="R2461" s="9"/>
      <c r="S2461" s="5">
        <v>1</v>
      </c>
      <c r="T24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табеле]])*S2461,0)</f>
        <v>5333.3333333333339</v>
      </c>
      <c r="U2461" s="5">
        <f>IF(Таблица1[[#This Row],[ТТН]]&gt;0,Таблица1[[#This Row],[Ставка за ТТН]]*Таблица1[[#This Row],[ТТН]],0)</f>
        <v>0</v>
      </c>
    </row>
    <row r="2462" spans="1:21" x14ac:dyDescent="0.25">
      <c r="A2462" t="s">
        <v>84</v>
      </c>
      <c r="B2462" s="24">
        <v>25</v>
      </c>
      <c r="C2462" t="s">
        <v>170</v>
      </c>
      <c r="D2462" t="s">
        <v>32</v>
      </c>
      <c r="E2462" t="s">
        <v>216</v>
      </c>
      <c r="F2462" t="s">
        <v>31</v>
      </c>
      <c r="H2462" t="s">
        <v>10</v>
      </c>
      <c r="I2462" t="s">
        <v>219</v>
      </c>
      <c r="J2462">
        <v>11</v>
      </c>
      <c r="L2462">
        <v>11</v>
      </c>
      <c r="N2462">
        <f>Таблица1[[#This Row],[Часов на заказчика  в работе]]+Таблица1[[#This Row],[Часов на заказчика  дежурство]]</f>
        <v>11</v>
      </c>
      <c r="O24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2" s="9">
        <v>160000</v>
      </c>
      <c r="R2462" s="9"/>
      <c r="S2462" s="5">
        <v>1</v>
      </c>
      <c r="T24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табеле]])*S2462,0)</f>
        <v>5333.3333333333339</v>
      </c>
      <c r="U2462" s="5">
        <f>IF(Таблица1[[#This Row],[ТТН]]&gt;0,Таблица1[[#This Row],[Ставка за ТТН]]*Таблица1[[#This Row],[ТТН]],0)</f>
        <v>0</v>
      </c>
    </row>
    <row r="2463" spans="1:21" x14ac:dyDescent="0.25">
      <c r="A2463" t="s">
        <v>84</v>
      </c>
      <c r="B2463" s="24">
        <v>26</v>
      </c>
      <c r="C2463" t="s">
        <v>170</v>
      </c>
      <c r="D2463" t="s">
        <v>32</v>
      </c>
      <c r="E2463" t="s">
        <v>216</v>
      </c>
      <c r="F2463" t="s">
        <v>31</v>
      </c>
      <c r="H2463" t="s">
        <v>10</v>
      </c>
      <c r="I2463" t="s">
        <v>219</v>
      </c>
      <c r="J2463">
        <v>11</v>
      </c>
      <c r="L2463">
        <v>11</v>
      </c>
      <c r="N2463">
        <f>Таблица1[[#This Row],[Часов на заказчика  в работе]]+Таблица1[[#This Row],[Часов на заказчика  дежурство]]</f>
        <v>11</v>
      </c>
      <c r="O24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3" s="9">
        <v>160000</v>
      </c>
      <c r="R2463" s="9"/>
      <c r="S2463" s="5">
        <v>1</v>
      </c>
      <c r="T24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табеле]])*S2463,0)</f>
        <v>5333.3333333333339</v>
      </c>
      <c r="U2463" s="5">
        <f>IF(Таблица1[[#This Row],[ТТН]]&gt;0,Таблица1[[#This Row],[Ставка за ТТН]]*Таблица1[[#This Row],[ТТН]],0)</f>
        <v>0</v>
      </c>
    </row>
    <row r="2464" spans="1:21" x14ac:dyDescent="0.25">
      <c r="A2464" t="s">
        <v>84</v>
      </c>
      <c r="B2464" s="24">
        <v>27</v>
      </c>
      <c r="C2464" t="s">
        <v>170</v>
      </c>
      <c r="D2464" t="s">
        <v>32</v>
      </c>
      <c r="E2464" t="s">
        <v>216</v>
      </c>
      <c r="F2464" t="s">
        <v>31</v>
      </c>
      <c r="H2464" t="s">
        <v>10</v>
      </c>
      <c r="I2464" t="s">
        <v>219</v>
      </c>
      <c r="J2464">
        <v>11</v>
      </c>
      <c r="L2464">
        <v>11</v>
      </c>
      <c r="N2464">
        <f>Таблица1[[#This Row],[Часов на заказчика  в работе]]+Таблица1[[#This Row],[Часов на заказчика  дежурство]]</f>
        <v>11</v>
      </c>
      <c r="O24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4" s="9">
        <v>160000</v>
      </c>
      <c r="R2464" s="9"/>
      <c r="S2464" s="5">
        <v>1</v>
      </c>
      <c r="T24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табеле]])*S2464,0)</f>
        <v>5333.3333333333339</v>
      </c>
      <c r="U2464" s="5">
        <f>IF(Таблица1[[#This Row],[ТТН]]&gt;0,Таблица1[[#This Row],[Ставка за ТТН]]*Таблица1[[#This Row],[ТТН]],0)</f>
        <v>0</v>
      </c>
    </row>
    <row r="2465" spans="1:21" x14ac:dyDescent="0.25">
      <c r="A2465" t="s">
        <v>84</v>
      </c>
      <c r="B2465" s="24">
        <v>28</v>
      </c>
      <c r="C2465" t="s">
        <v>170</v>
      </c>
      <c r="D2465" t="s">
        <v>32</v>
      </c>
      <c r="E2465" t="s">
        <v>216</v>
      </c>
      <c r="F2465" t="s">
        <v>31</v>
      </c>
      <c r="H2465" t="s">
        <v>38</v>
      </c>
      <c r="I2465" t="s">
        <v>219</v>
      </c>
      <c r="J2465">
        <v>11</v>
      </c>
      <c r="L2465">
        <v>11</v>
      </c>
      <c r="N2465">
        <f>Таблица1[[#This Row],[Часов на заказчика  в работе]]+Таблица1[[#This Row],[Часов на заказчика  дежурство]]</f>
        <v>11</v>
      </c>
      <c r="O24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5" s="9">
        <v>160000</v>
      </c>
      <c r="R2465" s="9"/>
      <c r="S2465" s="5">
        <v>1</v>
      </c>
      <c r="T24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табеле]])*S2465,0)</f>
        <v>5333.3333333333339</v>
      </c>
      <c r="U2465" s="5">
        <f>IF(Таблица1[[#This Row],[ТТН]]&gt;0,Таблица1[[#This Row],[Ставка за ТТН]]*Таблица1[[#This Row],[ТТН]],0)</f>
        <v>0</v>
      </c>
    </row>
    <row r="2466" spans="1:21" x14ac:dyDescent="0.25">
      <c r="A2466" t="s">
        <v>84</v>
      </c>
      <c r="B2466" s="24">
        <v>29</v>
      </c>
      <c r="C2466" t="s">
        <v>170</v>
      </c>
      <c r="D2466" t="s">
        <v>32</v>
      </c>
      <c r="E2466" t="s">
        <v>216</v>
      </c>
      <c r="F2466" t="s">
        <v>31</v>
      </c>
      <c r="H2466" t="s">
        <v>24</v>
      </c>
      <c r="I2466" t="s">
        <v>217</v>
      </c>
      <c r="J2466">
        <v>8</v>
      </c>
      <c r="N2466">
        <f>Таблица1[[#This Row],[Часов на заказчика  в работе]]+Таблица1[[#This Row],[Часов на заказчика  дежурство]]</f>
        <v>0</v>
      </c>
      <c r="O24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6" s="9">
        <v>160000</v>
      </c>
      <c r="R2466" s="9"/>
      <c r="S2466" s="5">
        <v>1</v>
      </c>
      <c r="T24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табеле]])*S2466,0)</f>
        <v>0</v>
      </c>
      <c r="U2466" s="5">
        <f>IF(Таблица1[[#This Row],[ТТН]]&gt;0,Таблица1[[#This Row],[Ставка за ТТН]]*Таблица1[[#This Row],[ТТН]],0)</f>
        <v>0</v>
      </c>
    </row>
    <row r="2467" spans="1:21" x14ac:dyDescent="0.25">
      <c r="A2467" t="s">
        <v>84</v>
      </c>
      <c r="B2467" s="24">
        <v>30</v>
      </c>
      <c r="C2467" t="s">
        <v>171</v>
      </c>
      <c r="D2467" t="s">
        <v>32</v>
      </c>
      <c r="E2467" t="s">
        <v>216</v>
      </c>
      <c r="F2467" t="s">
        <v>31</v>
      </c>
      <c r="H2467" t="s">
        <v>24</v>
      </c>
      <c r="I2467" t="s">
        <v>217</v>
      </c>
      <c r="J2467">
        <v>8</v>
      </c>
      <c r="N2467">
        <f>Таблица1[[#This Row],[Часов на заказчика  в работе]]+Таблица1[[#This Row],[Часов на заказчика  дежурство]]</f>
        <v>0</v>
      </c>
      <c r="O24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7" s="9">
        <v>160000</v>
      </c>
      <c r="R2467" s="9"/>
      <c r="S2467" s="5">
        <v>1</v>
      </c>
      <c r="T24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табеле]])*S2467,0)</f>
        <v>0</v>
      </c>
      <c r="U2467" s="5">
        <f>IF(Таблица1[[#This Row],[ТТН]]&gt;0,Таблица1[[#This Row],[Ставка за ТТН]]*Таблица1[[#This Row],[ТТН]],0)</f>
        <v>0</v>
      </c>
    </row>
    <row r="2468" spans="1:21" x14ac:dyDescent="0.25">
      <c r="A2468" t="s">
        <v>84</v>
      </c>
      <c r="B2468" s="24">
        <v>1</v>
      </c>
      <c r="C2468" t="s">
        <v>171</v>
      </c>
      <c r="D2468" t="s">
        <v>12</v>
      </c>
      <c r="E2468" t="s">
        <v>216</v>
      </c>
      <c r="F2468" t="s">
        <v>66</v>
      </c>
      <c r="H2468" t="s">
        <v>10</v>
      </c>
      <c r="I2468" t="s">
        <v>219</v>
      </c>
      <c r="J2468">
        <v>11</v>
      </c>
      <c r="L2468">
        <v>11</v>
      </c>
      <c r="N2468">
        <f>Таблица1[[#This Row],[Часов на заказчика  в работе]]+Таблица1[[#This Row],[Часов на заказчика  дежурство]]</f>
        <v>11</v>
      </c>
      <c r="O24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8" s="9">
        <v>135000</v>
      </c>
      <c r="R2468" s="9"/>
      <c r="S2468" s="5">
        <v>1</v>
      </c>
      <c r="T24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табеле]])*S2468,0)</f>
        <v>4500</v>
      </c>
      <c r="U2468" s="5">
        <f>IF(Таблица1[[#This Row],[ТТН]]&gt;0,Таблица1[[#This Row],[Ставка за ТТН]]*Таблица1[[#This Row],[ТТН]],0)</f>
        <v>0</v>
      </c>
    </row>
    <row r="2469" spans="1:21" x14ac:dyDescent="0.25">
      <c r="A2469" t="s">
        <v>84</v>
      </c>
      <c r="B2469" s="24">
        <v>2</v>
      </c>
      <c r="C2469" t="s">
        <v>171</v>
      </c>
      <c r="D2469" t="s">
        <v>12</v>
      </c>
      <c r="E2469" t="s">
        <v>216</v>
      </c>
      <c r="F2469" t="s">
        <v>66</v>
      </c>
      <c r="H2469" t="s">
        <v>10</v>
      </c>
      <c r="I2469" t="s">
        <v>219</v>
      </c>
      <c r="J2469">
        <v>11</v>
      </c>
      <c r="L2469">
        <v>11</v>
      </c>
      <c r="N2469">
        <f>Таблица1[[#This Row],[Часов на заказчика  в работе]]+Таблица1[[#This Row],[Часов на заказчика  дежурство]]</f>
        <v>11</v>
      </c>
      <c r="O24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69" s="9">
        <v>135000</v>
      </c>
      <c r="R2469" s="9"/>
      <c r="S2469" s="5">
        <v>1</v>
      </c>
      <c r="T24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табеле]])*S2469,0)</f>
        <v>4500</v>
      </c>
      <c r="U2469" s="5">
        <f>IF(Таблица1[[#This Row],[ТТН]]&gt;0,Таблица1[[#This Row],[Ставка за ТТН]]*Таблица1[[#This Row],[ТТН]],0)</f>
        <v>0</v>
      </c>
    </row>
    <row r="2470" spans="1:21" x14ac:dyDescent="0.25">
      <c r="A2470" t="s">
        <v>84</v>
      </c>
      <c r="B2470" s="24">
        <v>3</v>
      </c>
      <c r="C2470" t="s">
        <v>171</v>
      </c>
      <c r="D2470" t="s">
        <v>12</v>
      </c>
      <c r="E2470" t="s">
        <v>216</v>
      </c>
      <c r="F2470" t="s">
        <v>66</v>
      </c>
      <c r="H2470" t="s">
        <v>10</v>
      </c>
      <c r="I2470" t="s">
        <v>219</v>
      </c>
      <c r="J2470">
        <v>11</v>
      </c>
      <c r="L2470">
        <v>11</v>
      </c>
      <c r="N2470">
        <f>Таблица1[[#This Row],[Часов на заказчика  в работе]]+Таблица1[[#This Row],[Часов на заказчика  дежурство]]</f>
        <v>11</v>
      </c>
      <c r="O24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0" s="9">
        <v>135000</v>
      </c>
      <c r="R2470" s="9"/>
      <c r="S2470" s="5">
        <v>1</v>
      </c>
      <c r="T24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табеле]])*S2470,0)</f>
        <v>4500</v>
      </c>
      <c r="U2470" s="5">
        <f>IF(Таблица1[[#This Row],[ТТН]]&gt;0,Таблица1[[#This Row],[Ставка за ТТН]]*Таблица1[[#This Row],[ТТН]],0)</f>
        <v>0</v>
      </c>
    </row>
    <row r="2471" spans="1:21" x14ac:dyDescent="0.25">
      <c r="A2471" t="s">
        <v>84</v>
      </c>
      <c r="B2471" s="24">
        <v>4</v>
      </c>
      <c r="C2471" t="s">
        <v>171</v>
      </c>
      <c r="D2471" t="s">
        <v>12</v>
      </c>
      <c r="E2471" t="s">
        <v>216</v>
      </c>
      <c r="F2471" t="s">
        <v>66</v>
      </c>
      <c r="H2471" t="s">
        <v>10</v>
      </c>
      <c r="I2471" t="s">
        <v>219</v>
      </c>
      <c r="J2471">
        <v>11</v>
      </c>
      <c r="L2471">
        <v>11</v>
      </c>
      <c r="N2471">
        <f>Таблица1[[#This Row],[Часов на заказчика  в работе]]+Таблица1[[#This Row],[Часов на заказчика  дежурство]]</f>
        <v>11</v>
      </c>
      <c r="O24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1" s="9">
        <v>135000</v>
      </c>
      <c r="R2471" s="9"/>
      <c r="S2471" s="5">
        <v>1</v>
      </c>
      <c r="T24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табеле]])*S2471,0)</f>
        <v>4500</v>
      </c>
      <c r="U2471" s="5">
        <f>IF(Таблица1[[#This Row],[ТТН]]&gt;0,Таблица1[[#This Row],[Ставка за ТТН]]*Таблица1[[#This Row],[ТТН]],0)</f>
        <v>0</v>
      </c>
    </row>
    <row r="2472" spans="1:21" x14ac:dyDescent="0.25">
      <c r="A2472" t="s">
        <v>84</v>
      </c>
      <c r="B2472" s="24">
        <v>5</v>
      </c>
      <c r="C2472" t="s">
        <v>171</v>
      </c>
      <c r="D2472" t="s">
        <v>12</v>
      </c>
      <c r="E2472" t="s">
        <v>216</v>
      </c>
      <c r="F2472" t="s">
        <v>66</v>
      </c>
      <c r="H2472" t="s">
        <v>38</v>
      </c>
      <c r="I2472" t="s">
        <v>217</v>
      </c>
      <c r="J2472">
        <v>11</v>
      </c>
      <c r="N2472">
        <f>Таблица1[[#This Row],[Часов на заказчика  в работе]]+Таблица1[[#This Row],[Часов на заказчика  дежурство]]</f>
        <v>0</v>
      </c>
      <c r="O24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2" s="9">
        <v>135000</v>
      </c>
      <c r="R2472" s="9"/>
      <c r="S2472" s="5">
        <v>1</v>
      </c>
      <c r="T24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табеле]])*S2472,0)</f>
        <v>4500</v>
      </c>
      <c r="U2472" s="5">
        <f>IF(Таблица1[[#This Row],[ТТН]]&gt;0,Таблица1[[#This Row],[Ставка за ТТН]]*Таблица1[[#This Row],[ТТН]],0)</f>
        <v>0</v>
      </c>
    </row>
    <row r="2473" spans="1:21" x14ac:dyDescent="0.25">
      <c r="A2473" t="s">
        <v>84</v>
      </c>
      <c r="B2473" s="24">
        <v>6</v>
      </c>
      <c r="C2473" t="s">
        <v>171</v>
      </c>
      <c r="D2473" t="s">
        <v>12</v>
      </c>
      <c r="E2473" t="s">
        <v>216</v>
      </c>
      <c r="F2473" t="s">
        <v>66</v>
      </c>
      <c r="H2473" t="s">
        <v>38</v>
      </c>
      <c r="I2473" t="s">
        <v>217</v>
      </c>
      <c r="J2473">
        <v>11</v>
      </c>
      <c r="N2473">
        <f>Таблица1[[#This Row],[Часов на заказчика  в работе]]+Таблица1[[#This Row],[Часов на заказчика  дежурство]]</f>
        <v>0</v>
      </c>
      <c r="O24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3" s="9">
        <v>135000</v>
      </c>
      <c r="R2473" s="9"/>
      <c r="S2473" s="5">
        <v>1</v>
      </c>
      <c r="T24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табеле]])*S2473,0)</f>
        <v>4500</v>
      </c>
      <c r="U2473" s="5">
        <f>IF(Таблица1[[#This Row],[ТТН]]&gt;0,Таблица1[[#This Row],[Ставка за ТТН]]*Таблица1[[#This Row],[ТТН]],0)</f>
        <v>0</v>
      </c>
    </row>
    <row r="2474" spans="1:21" x14ac:dyDescent="0.25">
      <c r="A2474" t="s">
        <v>84</v>
      </c>
      <c r="B2474" s="24">
        <v>7</v>
      </c>
      <c r="C2474" t="s">
        <v>171</v>
      </c>
      <c r="D2474" t="s">
        <v>12</v>
      </c>
      <c r="E2474" t="s">
        <v>216</v>
      </c>
      <c r="F2474" t="s">
        <v>66</v>
      </c>
      <c r="H2474" t="s">
        <v>23</v>
      </c>
      <c r="I2474" t="s">
        <v>217</v>
      </c>
      <c r="J2474">
        <v>11</v>
      </c>
      <c r="N2474">
        <f>Таблица1[[#This Row],[Часов на заказчика  в работе]]+Таблица1[[#This Row],[Часов на заказчика  дежурство]]</f>
        <v>0</v>
      </c>
      <c r="O24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4" s="9">
        <v>135000</v>
      </c>
      <c r="R2474" s="9"/>
      <c r="S2474" s="5">
        <v>1</v>
      </c>
      <c r="T24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табеле]])*S2474,0)</f>
        <v>4500</v>
      </c>
      <c r="U2474" s="5">
        <f>IF(Таблица1[[#This Row],[ТТН]]&gt;0,Таблица1[[#This Row],[Ставка за ТТН]]*Таблица1[[#This Row],[ТТН]],0)</f>
        <v>0</v>
      </c>
    </row>
    <row r="2475" spans="1:21" x14ac:dyDescent="0.25">
      <c r="A2475" t="s">
        <v>84</v>
      </c>
      <c r="B2475" s="24">
        <v>8</v>
      </c>
      <c r="C2475" t="s">
        <v>171</v>
      </c>
      <c r="D2475" t="s">
        <v>12</v>
      </c>
      <c r="E2475" t="s">
        <v>216</v>
      </c>
      <c r="F2475" t="s">
        <v>66</v>
      </c>
      <c r="H2475" t="s">
        <v>23</v>
      </c>
      <c r="I2475" t="s">
        <v>217</v>
      </c>
      <c r="J2475">
        <v>11</v>
      </c>
      <c r="N2475">
        <f>Таблица1[[#This Row],[Часов на заказчика  в работе]]+Таблица1[[#This Row],[Часов на заказчика  дежурство]]</f>
        <v>0</v>
      </c>
      <c r="O24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5" s="9">
        <v>135000</v>
      </c>
      <c r="R2475" s="9"/>
      <c r="S2475" s="5">
        <v>1</v>
      </c>
      <c r="T24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табеле]])*S2475,0)</f>
        <v>4500</v>
      </c>
      <c r="U2475" s="5">
        <f>IF(Таблица1[[#This Row],[ТТН]]&gt;0,Таблица1[[#This Row],[Ставка за ТТН]]*Таблица1[[#This Row],[ТТН]],0)</f>
        <v>0</v>
      </c>
    </row>
    <row r="2476" spans="1:21" x14ac:dyDescent="0.25">
      <c r="A2476" t="s">
        <v>84</v>
      </c>
      <c r="B2476" s="24">
        <v>9</v>
      </c>
      <c r="C2476" t="s">
        <v>171</v>
      </c>
      <c r="D2476" t="s">
        <v>12</v>
      </c>
      <c r="E2476" t="s">
        <v>216</v>
      </c>
      <c r="F2476" t="s">
        <v>66</v>
      </c>
      <c r="H2476" t="s">
        <v>23</v>
      </c>
      <c r="I2476" t="s">
        <v>217</v>
      </c>
      <c r="J2476">
        <v>11</v>
      </c>
      <c r="N2476">
        <f>Таблица1[[#This Row],[Часов на заказчика  в работе]]+Таблица1[[#This Row],[Часов на заказчика  дежурство]]</f>
        <v>0</v>
      </c>
      <c r="O24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6" s="9">
        <v>135000</v>
      </c>
      <c r="R2476" s="9"/>
      <c r="S2476" s="5">
        <v>1</v>
      </c>
      <c r="T24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табеле]])*S2476,0)</f>
        <v>4500</v>
      </c>
      <c r="U2476" s="5">
        <f>IF(Таблица1[[#This Row],[ТТН]]&gt;0,Таблица1[[#This Row],[Ставка за ТТН]]*Таблица1[[#This Row],[ТТН]],0)</f>
        <v>0</v>
      </c>
    </row>
    <row r="2477" spans="1:21" x14ac:dyDescent="0.25">
      <c r="A2477" t="s">
        <v>84</v>
      </c>
      <c r="B2477" s="24">
        <v>10</v>
      </c>
      <c r="C2477" t="s">
        <v>171</v>
      </c>
      <c r="D2477" t="s">
        <v>12</v>
      </c>
      <c r="E2477" t="s">
        <v>216</v>
      </c>
      <c r="F2477" t="s">
        <v>66</v>
      </c>
      <c r="H2477" t="s">
        <v>10</v>
      </c>
      <c r="I2477" t="s">
        <v>220</v>
      </c>
      <c r="J2477">
        <v>11</v>
      </c>
      <c r="L2477">
        <v>11</v>
      </c>
      <c r="N2477">
        <f>Таблица1[[#This Row],[Часов на заказчика  в работе]]+Таблица1[[#This Row],[Часов на заказчика  дежурство]]</f>
        <v>11</v>
      </c>
      <c r="O24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7" s="9">
        <v>135000</v>
      </c>
      <c r="R2477" s="9"/>
      <c r="S2477" s="5">
        <v>1</v>
      </c>
      <c r="T24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табеле]])*S2477,0)</f>
        <v>4500</v>
      </c>
      <c r="U2477" s="5">
        <f>IF(Таблица1[[#This Row],[ТТН]]&gt;0,Таблица1[[#This Row],[Ставка за ТТН]]*Таблица1[[#This Row],[ТТН]],0)</f>
        <v>0</v>
      </c>
    </row>
    <row r="2478" spans="1:21" x14ac:dyDescent="0.25">
      <c r="A2478" t="s">
        <v>84</v>
      </c>
      <c r="B2478" s="24">
        <v>11</v>
      </c>
      <c r="C2478" t="s">
        <v>171</v>
      </c>
      <c r="D2478" t="s">
        <v>12</v>
      </c>
      <c r="E2478" t="s">
        <v>216</v>
      </c>
      <c r="F2478" t="s">
        <v>66</v>
      </c>
      <c r="H2478" t="s">
        <v>10</v>
      </c>
      <c r="I2478" t="s">
        <v>220</v>
      </c>
      <c r="J2478">
        <v>22</v>
      </c>
      <c r="L2478">
        <v>22</v>
      </c>
      <c r="N2478">
        <f>Таблица1[[#This Row],[Часов на заказчика  в работе]]+Таблица1[[#This Row],[Часов на заказчика  дежурство]]</f>
        <v>22</v>
      </c>
      <c r="O24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8" s="9">
        <v>135000</v>
      </c>
      <c r="R2478" s="9"/>
      <c r="S2478" s="5">
        <v>1</v>
      </c>
      <c r="T24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табеле]])*S2478,0)</f>
        <v>9000</v>
      </c>
      <c r="U2478" s="5">
        <f>IF(Таблица1[[#This Row],[ТТН]]&gt;0,Таблица1[[#This Row],[Ставка за ТТН]]*Таблица1[[#This Row],[ТТН]],0)</f>
        <v>0</v>
      </c>
    </row>
    <row r="2479" spans="1:21" x14ac:dyDescent="0.25">
      <c r="A2479" t="s">
        <v>84</v>
      </c>
      <c r="B2479" s="24">
        <v>12</v>
      </c>
      <c r="C2479" t="s">
        <v>171</v>
      </c>
      <c r="D2479" t="s">
        <v>12</v>
      </c>
      <c r="E2479" t="s">
        <v>216</v>
      </c>
      <c r="F2479" t="s">
        <v>66</v>
      </c>
      <c r="H2479" t="s">
        <v>38</v>
      </c>
      <c r="I2479" t="s">
        <v>217</v>
      </c>
      <c r="J2479">
        <v>11</v>
      </c>
      <c r="N2479">
        <f>Таблица1[[#This Row],[Часов на заказчика  в работе]]+Таблица1[[#This Row],[Часов на заказчика  дежурство]]</f>
        <v>0</v>
      </c>
      <c r="O24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79" s="9">
        <v>135000</v>
      </c>
      <c r="R2479" s="9"/>
      <c r="S2479" s="5">
        <v>1</v>
      </c>
      <c r="T24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табеле]])*S2479,0)</f>
        <v>4500</v>
      </c>
      <c r="U2479" s="5">
        <f>IF(Таблица1[[#This Row],[ТТН]]&gt;0,Таблица1[[#This Row],[Ставка за ТТН]]*Таблица1[[#This Row],[ТТН]],0)</f>
        <v>0</v>
      </c>
    </row>
    <row r="2480" spans="1:21" x14ac:dyDescent="0.25">
      <c r="A2480" t="s">
        <v>84</v>
      </c>
      <c r="B2480" s="24">
        <v>13</v>
      </c>
      <c r="C2480" t="s">
        <v>171</v>
      </c>
      <c r="D2480" t="s">
        <v>12</v>
      </c>
      <c r="E2480" t="s">
        <v>216</v>
      </c>
      <c r="F2480" t="s">
        <v>66</v>
      </c>
      <c r="H2480" t="s">
        <v>70</v>
      </c>
      <c r="I2480" t="s">
        <v>220</v>
      </c>
      <c r="J2480">
        <v>11</v>
      </c>
      <c r="L2480">
        <v>11</v>
      </c>
      <c r="N2480">
        <f>Таблица1[[#This Row],[Часов на заказчика  в работе]]+Таблица1[[#This Row],[Часов на заказчика  дежурство]]</f>
        <v>11</v>
      </c>
      <c r="O24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0" s="9">
        <v>135000</v>
      </c>
      <c r="R2480" s="9"/>
      <c r="S2480" s="5">
        <v>1</v>
      </c>
      <c r="T24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табеле]])*S2480,0)</f>
        <v>4500</v>
      </c>
      <c r="U2480" s="5">
        <f>IF(Таблица1[[#This Row],[ТТН]]&gt;0,Таблица1[[#This Row],[Ставка за ТТН]]*Таблица1[[#This Row],[ТТН]],0)</f>
        <v>0</v>
      </c>
    </row>
    <row r="2481" spans="1:21" x14ac:dyDescent="0.25">
      <c r="A2481" t="s">
        <v>84</v>
      </c>
      <c r="B2481" s="24">
        <v>13</v>
      </c>
      <c r="C2481" t="s">
        <v>171</v>
      </c>
      <c r="D2481" t="s">
        <v>12</v>
      </c>
      <c r="E2481" t="s">
        <v>216</v>
      </c>
      <c r="F2481" t="s">
        <v>66</v>
      </c>
      <c r="H2481" t="s">
        <v>10</v>
      </c>
      <c r="I2481" t="s">
        <v>220</v>
      </c>
      <c r="J2481">
        <v>11</v>
      </c>
      <c r="L2481">
        <v>11</v>
      </c>
      <c r="N2481">
        <f>Таблица1[[#This Row],[Часов на заказчика  в работе]]+Таблица1[[#This Row],[Часов на заказчика  дежурство]]</f>
        <v>11</v>
      </c>
      <c r="O24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1" s="9">
        <v>135000</v>
      </c>
      <c r="R2481" s="9"/>
      <c r="S2481" s="5">
        <v>1</v>
      </c>
      <c r="T24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табеле]])*S2481,0)</f>
        <v>4500</v>
      </c>
      <c r="U2481" s="5">
        <f>IF(Таблица1[[#This Row],[ТТН]]&gt;0,Таблица1[[#This Row],[Ставка за ТТН]]*Таблица1[[#This Row],[ТТН]],0)</f>
        <v>0</v>
      </c>
    </row>
    <row r="2482" spans="1:21" x14ac:dyDescent="0.25">
      <c r="A2482" t="s">
        <v>84</v>
      </c>
      <c r="B2482" s="24">
        <v>14</v>
      </c>
      <c r="C2482" t="s">
        <v>171</v>
      </c>
      <c r="D2482" t="s">
        <v>12</v>
      </c>
      <c r="E2482" t="s">
        <v>216</v>
      </c>
      <c r="F2482" t="s">
        <v>66</v>
      </c>
      <c r="H2482" t="s">
        <v>10</v>
      </c>
      <c r="I2482" t="s">
        <v>220</v>
      </c>
      <c r="J2482">
        <v>22</v>
      </c>
      <c r="L2482">
        <v>22</v>
      </c>
      <c r="N2482">
        <f>Таблица1[[#This Row],[Часов на заказчика  в работе]]+Таблица1[[#This Row],[Часов на заказчика  дежурство]]</f>
        <v>22</v>
      </c>
      <c r="O24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2" s="9">
        <v>135000</v>
      </c>
      <c r="R2482" s="9"/>
      <c r="S2482" s="5">
        <v>1</v>
      </c>
      <c r="T24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табеле]])*S2482,0)</f>
        <v>9000</v>
      </c>
      <c r="U2482" s="5">
        <f>IF(Таблица1[[#This Row],[ТТН]]&gt;0,Таблица1[[#This Row],[Ставка за ТТН]]*Таблица1[[#This Row],[ТТН]],0)</f>
        <v>0</v>
      </c>
    </row>
    <row r="2483" spans="1:21" x14ac:dyDescent="0.25">
      <c r="A2483" t="s">
        <v>84</v>
      </c>
      <c r="B2483" s="24">
        <v>15</v>
      </c>
      <c r="C2483" t="s">
        <v>171</v>
      </c>
      <c r="D2483" t="s">
        <v>12</v>
      </c>
      <c r="E2483" t="s">
        <v>216</v>
      </c>
      <c r="F2483" t="s">
        <v>66</v>
      </c>
      <c r="H2483" t="s">
        <v>10</v>
      </c>
      <c r="I2483" t="s">
        <v>220</v>
      </c>
      <c r="J2483">
        <v>11</v>
      </c>
      <c r="L2483">
        <v>11</v>
      </c>
      <c r="N2483">
        <f>Таблица1[[#This Row],[Часов на заказчика  в работе]]+Таблица1[[#This Row],[Часов на заказчика  дежурство]]</f>
        <v>11</v>
      </c>
      <c r="O24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3" s="9">
        <v>135000</v>
      </c>
      <c r="R2483" s="9"/>
      <c r="S2483" s="5">
        <v>1</v>
      </c>
      <c r="T24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табеле]])*S2483,0)</f>
        <v>4500</v>
      </c>
      <c r="U2483" s="5">
        <f>IF(Таблица1[[#This Row],[ТТН]]&gt;0,Таблица1[[#This Row],[Ставка за ТТН]]*Таблица1[[#This Row],[ТТН]],0)</f>
        <v>0</v>
      </c>
    </row>
    <row r="2484" spans="1:21" x14ac:dyDescent="0.25">
      <c r="A2484" t="s">
        <v>84</v>
      </c>
      <c r="B2484" s="24">
        <v>15</v>
      </c>
      <c r="C2484" t="s">
        <v>171</v>
      </c>
      <c r="D2484" t="s">
        <v>12</v>
      </c>
      <c r="E2484" t="s">
        <v>216</v>
      </c>
      <c r="F2484" t="s">
        <v>66</v>
      </c>
      <c r="H2484" t="s">
        <v>10</v>
      </c>
      <c r="I2484" t="s">
        <v>220</v>
      </c>
      <c r="J2484">
        <v>11</v>
      </c>
      <c r="L2484">
        <v>11</v>
      </c>
      <c r="N2484">
        <f>Таблица1[[#This Row],[Часов на заказчика  в работе]]+Таблица1[[#This Row],[Часов на заказчика  дежурство]]</f>
        <v>11</v>
      </c>
      <c r="O24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4" s="9">
        <v>135000</v>
      </c>
      <c r="R2484" s="9"/>
      <c r="S2484" s="5">
        <v>1</v>
      </c>
      <c r="T24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табеле]])*S2484,0)</f>
        <v>4500</v>
      </c>
      <c r="U2484" s="5">
        <f>IF(Таблица1[[#This Row],[ТТН]]&gt;0,Таблица1[[#This Row],[Ставка за ТТН]]*Таблица1[[#This Row],[ТТН]],0)</f>
        <v>0</v>
      </c>
    </row>
    <row r="2485" spans="1:21" x14ac:dyDescent="0.25">
      <c r="A2485" t="s">
        <v>84</v>
      </c>
      <c r="B2485" s="24">
        <v>16</v>
      </c>
      <c r="C2485" t="s">
        <v>171</v>
      </c>
      <c r="D2485" t="s">
        <v>12</v>
      </c>
      <c r="E2485" t="s">
        <v>216</v>
      </c>
      <c r="F2485" t="s">
        <v>66</v>
      </c>
      <c r="H2485" t="s">
        <v>10</v>
      </c>
      <c r="I2485" t="s">
        <v>220</v>
      </c>
      <c r="J2485">
        <v>22</v>
      </c>
      <c r="L2485">
        <v>22</v>
      </c>
      <c r="N2485">
        <f>Таблица1[[#This Row],[Часов на заказчика  в работе]]+Таблица1[[#This Row],[Часов на заказчика  дежурство]]</f>
        <v>22</v>
      </c>
      <c r="O24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5" s="9">
        <v>135000</v>
      </c>
      <c r="R2485" s="9"/>
      <c r="S2485" s="5">
        <v>1</v>
      </c>
      <c r="T24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табеле]])*S2485,0)</f>
        <v>9000</v>
      </c>
      <c r="U2485" s="5">
        <f>IF(Таблица1[[#This Row],[ТТН]]&gt;0,Таблица1[[#This Row],[Ставка за ТТН]]*Таблица1[[#This Row],[ТТН]],0)</f>
        <v>0</v>
      </c>
    </row>
    <row r="2486" spans="1:21" x14ac:dyDescent="0.25">
      <c r="A2486" t="s">
        <v>84</v>
      </c>
      <c r="B2486" s="24">
        <v>17</v>
      </c>
      <c r="C2486" t="s">
        <v>171</v>
      </c>
      <c r="D2486" t="s">
        <v>12</v>
      </c>
      <c r="E2486" t="s">
        <v>216</v>
      </c>
      <c r="F2486" t="s">
        <v>66</v>
      </c>
      <c r="H2486" t="s">
        <v>10</v>
      </c>
      <c r="I2486" t="s">
        <v>220</v>
      </c>
      <c r="J2486">
        <v>11</v>
      </c>
      <c r="L2486">
        <v>11</v>
      </c>
      <c r="N2486">
        <f>Таблица1[[#This Row],[Часов на заказчика  в работе]]+Таблица1[[#This Row],[Часов на заказчика  дежурство]]</f>
        <v>11</v>
      </c>
      <c r="O24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6" s="9">
        <v>135000</v>
      </c>
      <c r="R2486" s="9"/>
      <c r="S2486" s="5">
        <v>1</v>
      </c>
      <c r="T24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табеле]])*S2486,0)</f>
        <v>4500</v>
      </c>
      <c r="U2486" s="5">
        <f>IF(Таблица1[[#This Row],[ТТН]]&gt;0,Таблица1[[#This Row],[Ставка за ТТН]]*Таблица1[[#This Row],[ТТН]],0)</f>
        <v>0</v>
      </c>
    </row>
    <row r="2487" spans="1:21" x14ac:dyDescent="0.25">
      <c r="A2487" t="s">
        <v>84</v>
      </c>
      <c r="B2487" s="24">
        <v>18</v>
      </c>
      <c r="C2487" t="s">
        <v>171</v>
      </c>
      <c r="D2487" t="s">
        <v>12</v>
      </c>
      <c r="E2487" t="s">
        <v>216</v>
      </c>
      <c r="F2487" t="s">
        <v>66</v>
      </c>
      <c r="H2487" t="s">
        <v>10</v>
      </c>
      <c r="I2487" t="s">
        <v>220</v>
      </c>
      <c r="J2487">
        <v>22</v>
      </c>
      <c r="L2487">
        <v>22</v>
      </c>
      <c r="N2487">
        <f>Таблица1[[#This Row],[Часов на заказчика  в работе]]+Таблица1[[#This Row],[Часов на заказчика  дежурство]]</f>
        <v>22</v>
      </c>
      <c r="O24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7" s="9">
        <v>135000</v>
      </c>
      <c r="R2487" s="9"/>
      <c r="S2487" s="5">
        <v>1</v>
      </c>
      <c r="T24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табеле]])*S2487,0)</f>
        <v>9000</v>
      </c>
      <c r="U2487" s="5">
        <f>IF(Таблица1[[#This Row],[ТТН]]&gt;0,Таблица1[[#This Row],[Ставка за ТТН]]*Таблица1[[#This Row],[ТТН]],0)</f>
        <v>0</v>
      </c>
    </row>
    <row r="2488" spans="1:21" x14ac:dyDescent="0.25">
      <c r="A2488" t="s">
        <v>84</v>
      </c>
      <c r="B2488" s="24">
        <v>19</v>
      </c>
      <c r="C2488" t="s">
        <v>171</v>
      </c>
      <c r="D2488" t="s">
        <v>12</v>
      </c>
      <c r="E2488" t="s">
        <v>216</v>
      </c>
      <c r="F2488" t="s">
        <v>66</v>
      </c>
      <c r="H2488" t="s">
        <v>10</v>
      </c>
      <c r="I2488" t="s">
        <v>220</v>
      </c>
      <c r="J2488">
        <v>22</v>
      </c>
      <c r="L2488">
        <v>22</v>
      </c>
      <c r="N2488">
        <f>Таблица1[[#This Row],[Часов на заказчика  в работе]]+Таблица1[[#This Row],[Часов на заказчика  дежурство]]</f>
        <v>22</v>
      </c>
      <c r="O24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8" s="9">
        <v>135000</v>
      </c>
      <c r="R2488" s="9"/>
      <c r="S2488" s="5">
        <v>1</v>
      </c>
      <c r="T24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табеле]])*S2488,0)</f>
        <v>9000</v>
      </c>
      <c r="U2488" s="5">
        <f>IF(Таблица1[[#This Row],[ТТН]]&gt;0,Таблица1[[#This Row],[Ставка за ТТН]]*Таблица1[[#This Row],[ТТН]],0)</f>
        <v>0</v>
      </c>
    </row>
    <row r="2489" spans="1:21" x14ac:dyDescent="0.25">
      <c r="A2489" t="s">
        <v>84</v>
      </c>
      <c r="B2489" s="24">
        <v>20</v>
      </c>
      <c r="C2489" t="s">
        <v>171</v>
      </c>
      <c r="D2489" t="s">
        <v>12</v>
      </c>
      <c r="E2489" t="s">
        <v>216</v>
      </c>
      <c r="F2489" t="s">
        <v>66</v>
      </c>
      <c r="H2489" t="s">
        <v>10</v>
      </c>
      <c r="I2489" t="s">
        <v>220</v>
      </c>
      <c r="J2489">
        <v>22</v>
      </c>
      <c r="L2489">
        <v>22</v>
      </c>
      <c r="N2489">
        <f>Таблица1[[#This Row],[Часов на заказчика  в работе]]+Таблица1[[#This Row],[Часов на заказчика  дежурство]]</f>
        <v>22</v>
      </c>
      <c r="O24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89" s="9">
        <v>135000</v>
      </c>
      <c r="R2489" s="9"/>
      <c r="S2489" s="5">
        <v>1</v>
      </c>
      <c r="T24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табеле]])*S2489,0)</f>
        <v>9000</v>
      </c>
      <c r="U2489" s="5">
        <f>IF(Таблица1[[#This Row],[ТТН]]&gt;0,Таблица1[[#This Row],[Ставка за ТТН]]*Таблица1[[#This Row],[ТТН]],0)</f>
        <v>0</v>
      </c>
    </row>
    <row r="2490" spans="1:21" x14ac:dyDescent="0.25">
      <c r="A2490" t="s">
        <v>84</v>
      </c>
      <c r="B2490" s="24">
        <v>21</v>
      </c>
      <c r="C2490" t="s">
        <v>171</v>
      </c>
      <c r="D2490" t="s">
        <v>12</v>
      </c>
      <c r="E2490" t="s">
        <v>216</v>
      </c>
      <c r="F2490" t="s">
        <v>66</v>
      </c>
      <c r="H2490" t="s">
        <v>10</v>
      </c>
      <c r="I2490" t="s">
        <v>220</v>
      </c>
      <c r="J2490">
        <v>22</v>
      </c>
      <c r="L2490">
        <v>22</v>
      </c>
      <c r="N2490">
        <f>Таблица1[[#This Row],[Часов на заказчика  в работе]]+Таблица1[[#This Row],[Часов на заказчика  дежурство]]</f>
        <v>22</v>
      </c>
      <c r="O24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0" s="9">
        <v>135000</v>
      </c>
      <c r="R2490" s="9"/>
      <c r="S2490" s="5">
        <v>1</v>
      </c>
      <c r="T24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табеле]])*S2490,0)</f>
        <v>9000</v>
      </c>
      <c r="U2490" s="5">
        <f>IF(Таблица1[[#This Row],[ТТН]]&gt;0,Таблица1[[#This Row],[Ставка за ТТН]]*Таблица1[[#This Row],[ТТН]],0)</f>
        <v>0</v>
      </c>
    </row>
    <row r="2491" spans="1:21" x14ac:dyDescent="0.25">
      <c r="A2491" t="s">
        <v>84</v>
      </c>
      <c r="B2491" s="24">
        <v>22</v>
      </c>
      <c r="C2491" t="s">
        <v>171</v>
      </c>
      <c r="D2491" t="s">
        <v>12</v>
      </c>
      <c r="E2491" t="s">
        <v>216</v>
      </c>
      <c r="F2491" t="s">
        <v>66</v>
      </c>
      <c r="H2491" t="s">
        <v>10</v>
      </c>
      <c r="I2491" t="s">
        <v>220</v>
      </c>
      <c r="J2491">
        <v>11</v>
      </c>
      <c r="L2491">
        <v>11</v>
      </c>
      <c r="N2491">
        <f>Таблица1[[#This Row],[Часов на заказчика  в работе]]+Таблица1[[#This Row],[Часов на заказчика  дежурство]]</f>
        <v>11</v>
      </c>
      <c r="O24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1" s="9">
        <v>135000</v>
      </c>
      <c r="R2491" s="9"/>
      <c r="S2491" s="5">
        <v>1</v>
      </c>
      <c r="T24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табеле]])*S2491,0)</f>
        <v>4500</v>
      </c>
      <c r="U2491" s="5">
        <f>IF(Таблица1[[#This Row],[ТТН]]&gt;0,Таблица1[[#This Row],[Ставка за ТТН]]*Таблица1[[#This Row],[ТТН]],0)</f>
        <v>0</v>
      </c>
    </row>
    <row r="2492" spans="1:21" x14ac:dyDescent="0.25">
      <c r="A2492" t="s">
        <v>84</v>
      </c>
      <c r="B2492" s="24">
        <v>23</v>
      </c>
      <c r="C2492" t="s">
        <v>171</v>
      </c>
      <c r="D2492" t="s">
        <v>12</v>
      </c>
      <c r="E2492" t="s">
        <v>216</v>
      </c>
      <c r="F2492" t="s">
        <v>66</v>
      </c>
      <c r="H2492" t="s">
        <v>10</v>
      </c>
      <c r="I2492" t="s">
        <v>220</v>
      </c>
      <c r="J2492">
        <v>22</v>
      </c>
      <c r="L2492">
        <v>22</v>
      </c>
      <c r="N2492">
        <f>Таблица1[[#This Row],[Часов на заказчика  в работе]]+Таблица1[[#This Row],[Часов на заказчика  дежурство]]</f>
        <v>22</v>
      </c>
      <c r="O24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2" s="9">
        <v>135000</v>
      </c>
      <c r="R2492" s="9"/>
      <c r="S2492" s="5">
        <v>1</v>
      </c>
      <c r="T24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табеле]])*S2492,0)</f>
        <v>9000</v>
      </c>
      <c r="U2492" s="5">
        <f>IF(Таблица1[[#This Row],[ТТН]]&gt;0,Таблица1[[#This Row],[Ставка за ТТН]]*Таблица1[[#This Row],[ТТН]],0)</f>
        <v>0</v>
      </c>
    </row>
    <row r="2493" spans="1:21" x14ac:dyDescent="0.25">
      <c r="A2493" t="s">
        <v>84</v>
      </c>
      <c r="B2493" s="24">
        <v>24</v>
      </c>
      <c r="C2493" t="s">
        <v>171</v>
      </c>
      <c r="D2493" t="s">
        <v>12</v>
      </c>
      <c r="E2493" t="s">
        <v>216</v>
      </c>
      <c r="F2493" t="s">
        <v>66</v>
      </c>
      <c r="H2493" t="s">
        <v>10</v>
      </c>
      <c r="I2493" t="s">
        <v>220</v>
      </c>
      <c r="J2493">
        <v>22</v>
      </c>
      <c r="L2493">
        <v>22</v>
      </c>
      <c r="N2493">
        <f>Таблица1[[#This Row],[Часов на заказчика  в работе]]+Таблица1[[#This Row],[Часов на заказчика  дежурство]]</f>
        <v>22</v>
      </c>
      <c r="O24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3" s="9">
        <v>135000</v>
      </c>
      <c r="R2493" s="9"/>
      <c r="S2493" s="5">
        <v>1</v>
      </c>
      <c r="T24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табеле]])*S2493,0)</f>
        <v>9000</v>
      </c>
      <c r="U2493" s="5">
        <f>IF(Таблица1[[#This Row],[ТТН]]&gt;0,Таблица1[[#This Row],[Ставка за ТТН]]*Таблица1[[#This Row],[ТТН]],0)</f>
        <v>0</v>
      </c>
    </row>
    <row r="2494" spans="1:21" x14ac:dyDescent="0.25">
      <c r="A2494" t="s">
        <v>84</v>
      </c>
      <c r="B2494" s="24">
        <v>25</v>
      </c>
      <c r="C2494" t="s">
        <v>171</v>
      </c>
      <c r="D2494" t="s">
        <v>12</v>
      </c>
      <c r="E2494" t="s">
        <v>216</v>
      </c>
      <c r="F2494" t="s">
        <v>66</v>
      </c>
      <c r="H2494" t="s">
        <v>10</v>
      </c>
      <c r="I2494" t="s">
        <v>220</v>
      </c>
      <c r="J2494">
        <v>22</v>
      </c>
      <c r="L2494">
        <v>22</v>
      </c>
      <c r="N2494">
        <f>Таблица1[[#This Row],[Часов на заказчика  в работе]]+Таблица1[[#This Row],[Часов на заказчика  дежурство]]</f>
        <v>22</v>
      </c>
      <c r="O24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4" s="9">
        <v>135000</v>
      </c>
      <c r="R2494" s="9"/>
      <c r="S2494" s="5">
        <v>1</v>
      </c>
      <c r="T24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табеле]])*S2494,0)</f>
        <v>9000</v>
      </c>
      <c r="U2494" s="5">
        <f>IF(Таблица1[[#This Row],[ТТН]]&gt;0,Таблица1[[#This Row],[Ставка за ТТН]]*Таблица1[[#This Row],[ТТН]],0)</f>
        <v>0</v>
      </c>
    </row>
    <row r="2495" spans="1:21" x14ac:dyDescent="0.25">
      <c r="A2495" t="s">
        <v>84</v>
      </c>
      <c r="B2495" s="24">
        <v>26</v>
      </c>
      <c r="C2495" t="s">
        <v>171</v>
      </c>
      <c r="D2495" t="s">
        <v>12</v>
      </c>
      <c r="E2495" t="s">
        <v>216</v>
      </c>
      <c r="F2495" t="s">
        <v>66</v>
      </c>
      <c r="H2495" t="s">
        <v>10</v>
      </c>
      <c r="I2495" t="s">
        <v>220</v>
      </c>
      <c r="J2495">
        <v>11</v>
      </c>
      <c r="L2495">
        <v>11</v>
      </c>
      <c r="N2495">
        <f>Таблица1[[#This Row],[Часов на заказчика  в работе]]+Таблица1[[#This Row],[Часов на заказчика  дежурство]]</f>
        <v>11</v>
      </c>
      <c r="O24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5" s="9">
        <v>135000</v>
      </c>
      <c r="R2495" s="9"/>
      <c r="S2495" s="5">
        <v>1</v>
      </c>
      <c r="T24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табеле]])*S2495,0)</f>
        <v>4500</v>
      </c>
      <c r="U2495" s="5">
        <f>IF(Таблица1[[#This Row],[ТТН]]&gt;0,Таблица1[[#This Row],[Ставка за ТТН]]*Таблица1[[#This Row],[ТТН]],0)</f>
        <v>0</v>
      </c>
    </row>
    <row r="2496" spans="1:21" x14ac:dyDescent="0.25">
      <c r="A2496" t="s">
        <v>84</v>
      </c>
      <c r="B2496" s="24">
        <v>27</v>
      </c>
      <c r="C2496" t="s">
        <v>171</v>
      </c>
      <c r="D2496" t="s">
        <v>12</v>
      </c>
      <c r="E2496" t="s">
        <v>216</v>
      </c>
      <c r="F2496" t="s">
        <v>66</v>
      </c>
      <c r="H2496" t="s">
        <v>10</v>
      </c>
      <c r="I2496" t="s">
        <v>220</v>
      </c>
      <c r="J2496">
        <v>11</v>
      </c>
      <c r="L2496">
        <v>11</v>
      </c>
      <c r="N2496">
        <f>Таблица1[[#This Row],[Часов на заказчика  в работе]]+Таблица1[[#This Row],[Часов на заказчика  дежурство]]</f>
        <v>11</v>
      </c>
      <c r="O24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6" s="9">
        <v>135000</v>
      </c>
      <c r="R2496" s="9"/>
      <c r="S2496" s="5">
        <v>1</v>
      </c>
      <c r="T24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табеле]])*S2496,0)</f>
        <v>4500</v>
      </c>
      <c r="U2496" s="5">
        <f>IF(Таблица1[[#This Row],[ТТН]]&gt;0,Таблица1[[#This Row],[Ставка за ТТН]]*Таблица1[[#This Row],[ТТН]],0)</f>
        <v>0</v>
      </c>
    </row>
    <row r="2497" spans="1:21" x14ac:dyDescent="0.25">
      <c r="A2497" t="s">
        <v>84</v>
      </c>
      <c r="B2497" s="24">
        <v>28</v>
      </c>
      <c r="C2497" t="s">
        <v>171</v>
      </c>
      <c r="D2497" t="s">
        <v>12</v>
      </c>
      <c r="E2497" t="s">
        <v>216</v>
      </c>
      <c r="F2497" t="s">
        <v>66</v>
      </c>
      <c r="H2497" t="s">
        <v>10</v>
      </c>
      <c r="I2497" t="s">
        <v>220</v>
      </c>
      <c r="J2497">
        <v>11</v>
      </c>
      <c r="L2497">
        <v>11</v>
      </c>
      <c r="N2497">
        <f>Таблица1[[#This Row],[Часов на заказчика  в работе]]+Таблица1[[#This Row],[Часов на заказчика  дежурство]]</f>
        <v>11</v>
      </c>
      <c r="O24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7" s="9">
        <v>135000</v>
      </c>
      <c r="R2497" s="9"/>
      <c r="S2497" s="5">
        <v>1</v>
      </c>
      <c r="T24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табеле]])*S2497,0)</f>
        <v>4500</v>
      </c>
      <c r="U2497" s="5">
        <f>IF(Таблица1[[#This Row],[ТТН]]&gt;0,Таблица1[[#This Row],[Ставка за ТТН]]*Таблица1[[#This Row],[ТТН]],0)</f>
        <v>0</v>
      </c>
    </row>
    <row r="2498" spans="1:21" x14ac:dyDescent="0.25">
      <c r="A2498" t="s">
        <v>84</v>
      </c>
      <c r="B2498" s="24">
        <v>29</v>
      </c>
      <c r="C2498" t="s">
        <v>171</v>
      </c>
      <c r="D2498" t="s">
        <v>12</v>
      </c>
      <c r="E2498" t="s">
        <v>216</v>
      </c>
      <c r="F2498" t="s">
        <v>66</v>
      </c>
      <c r="H2498" t="s">
        <v>10</v>
      </c>
      <c r="I2498" t="s">
        <v>220</v>
      </c>
      <c r="J2498">
        <v>11</v>
      </c>
      <c r="L2498">
        <v>11</v>
      </c>
      <c r="N2498">
        <f>Таблица1[[#This Row],[Часов на заказчика  в работе]]+Таблица1[[#This Row],[Часов на заказчика  дежурство]]</f>
        <v>11</v>
      </c>
      <c r="O24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8" s="9">
        <v>135000</v>
      </c>
      <c r="R2498" s="9"/>
      <c r="S2498" s="5">
        <v>1</v>
      </c>
      <c r="T24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табеле]])*S2498,0)</f>
        <v>4500</v>
      </c>
      <c r="U2498" s="5">
        <f>IF(Таблица1[[#This Row],[ТТН]]&gt;0,Таблица1[[#This Row],[Ставка за ТТН]]*Таблица1[[#This Row],[ТТН]],0)</f>
        <v>0</v>
      </c>
    </row>
    <row r="2499" spans="1:21" x14ac:dyDescent="0.25">
      <c r="A2499" t="s">
        <v>84</v>
      </c>
      <c r="B2499" s="24">
        <v>30</v>
      </c>
      <c r="C2499" t="s">
        <v>105</v>
      </c>
      <c r="D2499" t="s">
        <v>12</v>
      </c>
      <c r="E2499" t="s">
        <v>216</v>
      </c>
      <c r="F2499" t="s">
        <v>66</v>
      </c>
      <c r="H2499" t="s">
        <v>10</v>
      </c>
      <c r="I2499" t="s">
        <v>220</v>
      </c>
      <c r="J2499">
        <v>11</v>
      </c>
      <c r="L2499">
        <v>11</v>
      </c>
      <c r="N2499">
        <f>Таблица1[[#This Row],[Часов на заказчика  в работе]]+Таблица1[[#This Row],[Часов на заказчика  дежурство]]</f>
        <v>11</v>
      </c>
      <c r="O24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499" s="9">
        <v>135000</v>
      </c>
      <c r="R2499" s="9"/>
      <c r="S2499" s="5">
        <v>1</v>
      </c>
      <c r="T24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табеле]])*S2499,0)</f>
        <v>4500</v>
      </c>
      <c r="U2499" s="5">
        <f>IF(Таблица1[[#This Row],[ТТН]]&gt;0,Таблица1[[#This Row],[Ставка за ТТН]]*Таблица1[[#This Row],[ТТН]],0)</f>
        <v>0</v>
      </c>
    </row>
    <row r="2500" spans="1:21" x14ac:dyDescent="0.25">
      <c r="A2500" t="s">
        <v>84</v>
      </c>
      <c r="B2500" s="24">
        <v>16</v>
      </c>
      <c r="C2500" t="s">
        <v>105</v>
      </c>
      <c r="D2500" t="s">
        <v>28</v>
      </c>
      <c r="E2500" t="s">
        <v>216</v>
      </c>
      <c r="F2500" t="s">
        <v>28</v>
      </c>
      <c r="H2500" t="s">
        <v>52</v>
      </c>
      <c r="I2500" t="s">
        <v>217</v>
      </c>
      <c r="J2500">
        <v>1</v>
      </c>
      <c r="N2500">
        <f>Таблица1[[#This Row],[Часов на заказчика  в работе]]+Таблица1[[#This Row],[Часов на заказчика  дежурство]]</f>
        <v>0</v>
      </c>
      <c r="O25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0" s="9"/>
      <c r="R2500" s="9"/>
      <c r="S2500" s="5">
        <v>1</v>
      </c>
      <c r="T25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табеле]])*S2500,0)</f>
        <v>0</v>
      </c>
      <c r="U2500" s="5">
        <f>IF(Таблица1[[#This Row],[ТТН]]&gt;0,Таблица1[[#This Row],[Ставка за ТТН]]*Таблица1[[#This Row],[ТТН]],0)</f>
        <v>0</v>
      </c>
    </row>
    <row r="2501" spans="1:21" x14ac:dyDescent="0.25">
      <c r="A2501" t="s">
        <v>84</v>
      </c>
      <c r="B2501" s="24">
        <v>17</v>
      </c>
      <c r="C2501" t="s">
        <v>105</v>
      </c>
      <c r="D2501" t="s">
        <v>28</v>
      </c>
      <c r="E2501" t="s">
        <v>216</v>
      </c>
      <c r="F2501" t="s">
        <v>28</v>
      </c>
      <c r="H2501" t="s">
        <v>24</v>
      </c>
      <c r="I2501" t="s">
        <v>217</v>
      </c>
      <c r="J2501">
        <v>8</v>
      </c>
      <c r="N2501">
        <f>Таблица1[[#This Row],[Часов на заказчика  в работе]]+Таблица1[[#This Row],[Часов на заказчика  дежурство]]</f>
        <v>0</v>
      </c>
      <c r="O25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1" s="9"/>
      <c r="R2501" s="9"/>
      <c r="S2501" s="5">
        <v>1</v>
      </c>
      <c r="T25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табеле]])*S2501,0)</f>
        <v>0</v>
      </c>
      <c r="U2501" s="5">
        <f>IF(Таблица1[[#This Row],[ТТН]]&gt;0,Таблица1[[#This Row],[Ставка за ТТН]]*Таблица1[[#This Row],[ТТН]],0)</f>
        <v>0</v>
      </c>
    </row>
    <row r="2502" spans="1:21" x14ac:dyDescent="0.25">
      <c r="A2502" t="s">
        <v>84</v>
      </c>
      <c r="B2502" s="24">
        <v>18</v>
      </c>
      <c r="C2502" t="s">
        <v>105</v>
      </c>
      <c r="D2502" t="s">
        <v>28</v>
      </c>
      <c r="E2502" t="s">
        <v>216</v>
      </c>
      <c r="F2502" t="s">
        <v>28</v>
      </c>
      <c r="H2502" t="s">
        <v>24</v>
      </c>
      <c r="I2502" t="s">
        <v>217</v>
      </c>
      <c r="J2502">
        <v>8</v>
      </c>
      <c r="N2502">
        <f>Таблица1[[#This Row],[Часов на заказчика  в работе]]+Таблица1[[#This Row],[Часов на заказчика  дежурство]]</f>
        <v>0</v>
      </c>
      <c r="O25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2" s="9"/>
      <c r="R2502" s="9"/>
      <c r="S2502" s="5">
        <v>1</v>
      </c>
      <c r="T25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табеле]])*S2502,0)</f>
        <v>0</v>
      </c>
      <c r="U2502" s="5">
        <f>IF(Таблица1[[#This Row],[ТТН]]&gt;0,Таблица1[[#This Row],[Ставка за ТТН]]*Таблица1[[#This Row],[ТТН]],0)</f>
        <v>0</v>
      </c>
    </row>
    <row r="2503" spans="1:21" x14ac:dyDescent="0.25">
      <c r="A2503" t="s">
        <v>84</v>
      </c>
      <c r="B2503" s="24">
        <v>19</v>
      </c>
      <c r="C2503" t="s">
        <v>105</v>
      </c>
      <c r="D2503" t="s">
        <v>28</v>
      </c>
      <c r="E2503" t="s">
        <v>216</v>
      </c>
      <c r="F2503" t="s">
        <v>28</v>
      </c>
      <c r="H2503" t="s">
        <v>24</v>
      </c>
      <c r="I2503" t="s">
        <v>217</v>
      </c>
      <c r="J2503">
        <v>8</v>
      </c>
      <c r="N2503">
        <f>Таблица1[[#This Row],[Часов на заказчика  в работе]]+Таблица1[[#This Row],[Часов на заказчика  дежурство]]</f>
        <v>0</v>
      </c>
      <c r="O25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3" s="9"/>
      <c r="R2503" s="9"/>
      <c r="S2503" s="5">
        <v>1</v>
      </c>
      <c r="T25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табеле]])*S2503,0)</f>
        <v>0</v>
      </c>
      <c r="U2503" s="5">
        <f>IF(Таблица1[[#This Row],[ТТН]]&gt;0,Таблица1[[#This Row],[Ставка за ТТН]]*Таблица1[[#This Row],[ТТН]],0)</f>
        <v>0</v>
      </c>
    </row>
    <row r="2504" spans="1:21" x14ac:dyDescent="0.25">
      <c r="A2504" t="s">
        <v>84</v>
      </c>
      <c r="B2504" s="24">
        <v>20</v>
      </c>
      <c r="C2504" t="s">
        <v>105</v>
      </c>
      <c r="D2504" t="s">
        <v>28</v>
      </c>
      <c r="E2504" t="s">
        <v>216</v>
      </c>
      <c r="F2504" t="s">
        <v>28</v>
      </c>
      <c r="H2504" t="s">
        <v>10</v>
      </c>
      <c r="I2504" t="s">
        <v>220</v>
      </c>
      <c r="J2504">
        <v>11</v>
      </c>
      <c r="L2504">
        <v>11</v>
      </c>
      <c r="N2504">
        <f>Таблица1[[#This Row],[Часов на заказчика  в работе]]+Таблица1[[#This Row],[Часов на заказчика  дежурство]]</f>
        <v>11</v>
      </c>
      <c r="O25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4" s="9"/>
      <c r="R2504" s="9"/>
      <c r="S2504" s="5">
        <v>1</v>
      </c>
      <c r="T25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табеле]])*S2504,0)</f>
        <v>0</v>
      </c>
      <c r="U2504" s="5">
        <f>IF(Таблица1[[#This Row],[ТТН]]&gt;0,Таблица1[[#This Row],[Ставка за ТТН]]*Таблица1[[#This Row],[ТТН]],0)</f>
        <v>0</v>
      </c>
    </row>
    <row r="2505" spans="1:21" x14ac:dyDescent="0.25">
      <c r="A2505" t="s">
        <v>84</v>
      </c>
      <c r="B2505" s="24">
        <v>21</v>
      </c>
      <c r="C2505" t="s">
        <v>105</v>
      </c>
      <c r="D2505" t="s">
        <v>28</v>
      </c>
      <c r="E2505" t="s">
        <v>216</v>
      </c>
      <c r="F2505" t="s">
        <v>28</v>
      </c>
      <c r="H2505" t="s">
        <v>10</v>
      </c>
      <c r="I2505" t="s">
        <v>220</v>
      </c>
      <c r="J2505">
        <v>11</v>
      </c>
      <c r="L2505">
        <v>11</v>
      </c>
      <c r="N2505">
        <f>Таблица1[[#This Row],[Часов на заказчика  в работе]]+Таблица1[[#This Row],[Часов на заказчика  дежурство]]</f>
        <v>11</v>
      </c>
      <c r="O25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5" s="9"/>
      <c r="R2505" s="9"/>
      <c r="S2505" s="5">
        <v>1</v>
      </c>
      <c r="T25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табеле]])*S2505,0)</f>
        <v>0</v>
      </c>
      <c r="U2505" s="5">
        <f>IF(Таблица1[[#This Row],[ТТН]]&gt;0,Таблица1[[#This Row],[Ставка за ТТН]]*Таблица1[[#This Row],[ТТН]],0)</f>
        <v>0</v>
      </c>
    </row>
    <row r="2506" spans="1:21" x14ac:dyDescent="0.25">
      <c r="A2506" t="s">
        <v>84</v>
      </c>
      <c r="B2506" s="24">
        <v>22</v>
      </c>
      <c r="C2506" t="s">
        <v>105</v>
      </c>
      <c r="D2506" t="s">
        <v>28</v>
      </c>
      <c r="E2506" t="s">
        <v>216</v>
      </c>
      <c r="F2506" t="s">
        <v>28</v>
      </c>
      <c r="H2506" t="s">
        <v>10</v>
      </c>
      <c r="I2506" t="s">
        <v>220</v>
      </c>
      <c r="J2506">
        <v>11</v>
      </c>
      <c r="L2506">
        <v>11</v>
      </c>
      <c r="N2506">
        <f>Таблица1[[#This Row],[Часов на заказчика  в работе]]+Таблица1[[#This Row],[Часов на заказчика  дежурство]]</f>
        <v>11</v>
      </c>
      <c r="O25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6" s="9"/>
      <c r="R2506" s="9"/>
      <c r="S2506" s="5">
        <v>1</v>
      </c>
      <c r="T25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табеле]])*S2506,0)</f>
        <v>0</v>
      </c>
      <c r="U2506" s="5">
        <f>IF(Таблица1[[#This Row],[ТТН]]&gt;0,Таблица1[[#This Row],[Ставка за ТТН]]*Таблица1[[#This Row],[ТТН]],0)</f>
        <v>0</v>
      </c>
    </row>
    <row r="2507" spans="1:21" x14ac:dyDescent="0.25">
      <c r="A2507" t="s">
        <v>84</v>
      </c>
      <c r="B2507" s="24">
        <v>23</v>
      </c>
      <c r="C2507" t="s">
        <v>105</v>
      </c>
      <c r="D2507" t="s">
        <v>28</v>
      </c>
      <c r="E2507" t="s">
        <v>216</v>
      </c>
      <c r="F2507" t="s">
        <v>28</v>
      </c>
      <c r="H2507" t="s">
        <v>10</v>
      </c>
      <c r="I2507" t="s">
        <v>220</v>
      </c>
      <c r="J2507">
        <v>11</v>
      </c>
      <c r="L2507">
        <v>11</v>
      </c>
      <c r="N2507">
        <f>Таблица1[[#This Row],[Часов на заказчика  в работе]]+Таблица1[[#This Row],[Часов на заказчика  дежурство]]</f>
        <v>11</v>
      </c>
      <c r="O25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7" s="9"/>
      <c r="R2507" s="9"/>
      <c r="S2507" s="5">
        <v>1</v>
      </c>
      <c r="T25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табеле]])*S2507,0)</f>
        <v>0</v>
      </c>
      <c r="U2507" s="5">
        <f>IF(Таблица1[[#This Row],[ТТН]]&gt;0,Таблица1[[#This Row],[Ставка за ТТН]]*Таблица1[[#This Row],[ТТН]],0)</f>
        <v>0</v>
      </c>
    </row>
    <row r="2508" spans="1:21" x14ac:dyDescent="0.25">
      <c r="A2508" t="s">
        <v>84</v>
      </c>
      <c r="B2508" s="24">
        <v>24</v>
      </c>
      <c r="C2508" t="s">
        <v>105</v>
      </c>
      <c r="D2508" t="s">
        <v>28</v>
      </c>
      <c r="E2508" t="s">
        <v>216</v>
      </c>
      <c r="F2508" t="s">
        <v>28</v>
      </c>
      <c r="H2508" t="s">
        <v>10</v>
      </c>
      <c r="I2508" t="s">
        <v>220</v>
      </c>
      <c r="J2508">
        <v>11</v>
      </c>
      <c r="L2508">
        <v>11</v>
      </c>
      <c r="N2508">
        <f>Таблица1[[#This Row],[Часов на заказчика  в работе]]+Таблица1[[#This Row],[Часов на заказчика  дежурство]]</f>
        <v>11</v>
      </c>
      <c r="O25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8" s="9"/>
      <c r="R2508" s="9"/>
      <c r="S2508" s="5">
        <v>1</v>
      </c>
      <c r="T25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табеле]])*S2508,0)</f>
        <v>0</v>
      </c>
      <c r="U2508" s="5">
        <f>IF(Таблица1[[#This Row],[ТТН]]&gt;0,Таблица1[[#This Row],[Ставка за ТТН]]*Таблица1[[#This Row],[ТТН]],0)</f>
        <v>0</v>
      </c>
    </row>
    <row r="2509" spans="1:21" x14ac:dyDescent="0.25">
      <c r="A2509" t="s">
        <v>84</v>
      </c>
      <c r="B2509" s="24">
        <v>25</v>
      </c>
      <c r="C2509" t="s">
        <v>105</v>
      </c>
      <c r="D2509" t="s">
        <v>28</v>
      </c>
      <c r="E2509" t="s">
        <v>216</v>
      </c>
      <c r="F2509" t="s">
        <v>28</v>
      </c>
      <c r="H2509" t="s">
        <v>10</v>
      </c>
      <c r="I2509" t="s">
        <v>220</v>
      </c>
      <c r="J2509">
        <v>11</v>
      </c>
      <c r="L2509">
        <v>11</v>
      </c>
      <c r="N2509">
        <f>Таблица1[[#This Row],[Часов на заказчика  в работе]]+Таблица1[[#This Row],[Часов на заказчика  дежурство]]</f>
        <v>11</v>
      </c>
      <c r="O25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09" s="9"/>
      <c r="R2509" s="9"/>
      <c r="S2509" s="5">
        <v>1</v>
      </c>
      <c r="T25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табеле]])*S2509,0)</f>
        <v>0</v>
      </c>
      <c r="U2509" s="5">
        <f>IF(Таблица1[[#This Row],[ТТН]]&gt;0,Таблица1[[#This Row],[Ставка за ТТН]]*Таблица1[[#This Row],[ТТН]],0)</f>
        <v>0</v>
      </c>
    </row>
    <row r="2510" spans="1:21" x14ac:dyDescent="0.25">
      <c r="A2510" t="s">
        <v>84</v>
      </c>
      <c r="B2510" s="24">
        <v>26</v>
      </c>
      <c r="C2510" t="s">
        <v>105</v>
      </c>
      <c r="D2510" t="s">
        <v>28</v>
      </c>
      <c r="E2510" t="s">
        <v>216</v>
      </c>
      <c r="F2510" t="s">
        <v>28</v>
      </c>
      <c r="H2510" t="s">
        <v>10</v>
      </c>
      <c r="I2510" t="s">
        <v>220</v>
      </c>
      <c r="J2510">
        <v>11</v>
      </c>
      <c r="L2510">
        <v>11</v>
      </c>
      <c r="N2510">
        <f>Таблица1[[#This Row],[Часов на заказчика  в работе]]+Таблица1[[#This Row],[Часов на заказчика  дежурство]]</f>
        <v>11</v>
      </c>
      <c r="O25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0" s="9"/>
      <c r="R2510" s="9"/>
      <c r="S2510" s="5">
        <v>1</v>
      </c>
      <c r="T25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табеле]])*S2510,0)</f>
        <v>0</v>
      </c>
      <c r="U2510" s="5">
        <f>IF(Таблица1[[#This Row],[ТТН]]&gt;0,Таблица1[[#This Row],[Ставка за ТТН]]*Таблица1[[#This Row],[ТТН]],0)</f>
        <v>0</v>
      </c>
    </row>
    <row r="2511" spans="1:21" x14ac:dyDescent="0.25">
      <c r="A2511" t="s">
        <v>84</v>
      </c>
      <c r="B2511" s="24">
        <v>27</v>
      </c>
      <c r="C2511" t="s">
        <v>105</v>
      </c>
      <c r="D2511" t="s">
        <v>28</v>
      </c>
      <c r="E2511" t="s">
        <v>216</v>
      </c>
      <c r="F2511" t="s">
        <v>28</v>
      </c>
      <c r="H2511" t="s">
        <v>10</v>
      </c>
      <c r="I2511" t="s">
        <v>220</v>
      </c>
      <c r="J2511">
        <v>11</v>
      </c>
      <c r="L2511">
        <v>11</v>
      </c>
      <c r="N2511">
        <f>Таблица1[[#This Row],[Часов на заказчика  в работе]]+Таблица1[[#This Row],[Часов на заказчика  дежурство]]</f>
        <v>11</v>
      </c>
      <c r="O25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1" s="9"/>
      <c r="R2511" s="9"/>
      <c r="S2511" s="5">
        <v>1</v>
      </c>
      <c r="T25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табеле]])*S2511,0)</f>
        <v>0</v>
      </c>
      <c r="U2511" s="5">
        <f>IF(Таблица1[[#This Row],[ТТН]]&gt;0,Таблица1[[#This Row],[Ставка за ТТН]]*Таблица1[[#This Row],[ТТН]],0)</f>
        <v>0</v>
      </c>
    </row>
    <row r="2512" spans="1:21" x14ac:dyDescent="0.25">
      <c r="A2512" t="s">
        <v>84</v>
      </c>
      <c r="B2512" s="24">
        <v>28</v>
      </c>
      <c r="C2512" t="s">
        <v>105</v>
      </c>
      <c r="D2512" t="s">
        <v>28</v>
      </c>
      <c r="E2512" t="s">
        <v>216</v>
      </c>
      <c r="F2512" t="s">
        <v>28</v>
      </c>
      <c r="H2512" t="s">
        <v>10</v>
      </c>
      <c r="I2512" t="s">
        <v>220</v>
      </c>
      <c r="J2512">
        <v>11</v>
      </c>
      <c r="L2512">
        <v>11</v>
      </c>
      <c r="N2512">
        <f>Таблица1[[#This Row],[Часов на заказчика  в работе]]+Таблица1[[#This Row],[Часов на заказчика  дежурство]]</f>
        <v>11</v>
      </c>
      <c r="O25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2" s="9"/>
      <c r="R2512" s="9"/>
      <c r="S2512" s="5">
        <v>1</v>
      </c>
      <c r="T25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табеле]])*S2512,0)</f>
        <v>0</v>
      </c>
      <c r="U2512" s="5">
        <f>IF(Таблица1[[#This Row],[ТТН]]&gt;0,Таблица1[[#This Row],[Ставка за ТТН]]*Таблица1[[#This Row],[ТТН]],0)</f>
        <v>0</v>
      </c>
    </row>
    <row r="2513" spans="1:21" x14ac:dyDescent="0.25">
      <c r="A2513" t="s">
        <v>84</v>
      </c>
      <c r="B2513" s="24">
        <v>29</v>
      </c>
      <c r="C2513" t="s">
        <v>105</v>
      </c>
      <c r="D2513" t="s">
        <v>28</v>
      </c>
      <c r="E2513" t="s">
        <v>216</v>
      </c>
      <c r="F2513" t="s">
        <v>28</v>
      </c>
      <c r="H2513" t="s">
        <v>10</v>
      </c>
      <c r="I2513" t="s">
        <v>220</v>
      </c>
      <c r="J2513">
        <v>11</v>
      </c>
      <c r="L2513">
        <v>11</v>
      </c>
      <c r="N2513">
        <f>Таблица1[[#This Row],[Часов на заказчика  в работе]]+Таблица1[[#This Row],[Часов на заказчика  дежурство]]</f>
        <v>11</v>
      </c>
      <c r="O25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3" s="9"/>
      <c r="R2513" s="9"/>
      <c r="S2513" s="5">
        <v>1</v>
      </c>
      <c r="T25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табеле]])*S2513,0)</f>
        <v>0</v>
      </c>
      <c r="U2513" s="5">
        <f>IF(Таблица1[[#This Row],[ТТН]]&gt;0,Таблица1[[#This Row],[Ставка за ТТН]]*Таблица1[[#This Row],[ТТН]],0)</f>
        <v>0</v>
      </c>
    </row>
    <row r="2514" spans="1:21" x14ac:dyDescent="0.25">
      <c r="A2514" t="s">
        <v>84</v>
      </c>
      <c r="B2514" s="24">
        <v>30</v>
      </c>
      <c r="C2514" t="s">
        <v>172</v>
      </c>
      <c r="D2514" t="s">
        <v>28</v>
      </c>
      <c r="E2514" t="s">
        <v>216</v>
      </c>
      <c r="F2514" t="s">
        <v>28</v>
      </c>
      <c r="H2514" t="s">
        <v>10</v>
      </c>
      <c r="I2514" t="s">
        <v>220</v>
      </c>
      <c r="J2514">
        <v>11</v>
      </c>
      <c r="L2514">
        <v>11</v>
      </c>
      <c r="N2514">
        <f>Таблица1[[#This Row],[Часов на заказчика  в работе]]+Таблица1[[#This Row],[Часов на заказчика  дежурство]]</f>
        <v>11</v>
      </c>
      <c r="O25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4" s="9"/>
      <c r="R2514" s="9"/>
      <c r="S2514" s="5">
        <v>1</v>
      </c>
      <c r="T25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табеле]])*S2514,0)</f>
        <v>0</v>
      </c>
      <c r="U2514" s="5">
        <f>IF(Таблица1[[#This Row],[ТТН]]&gt;0,Таблица1[[#This Row],[Ставка за ТТН]]*Таблица1[[#This Row],[ТТН]],0)</f>
        <v>0</v>
      </c>
    </row>
    <row r="2515" spans="1:21" x14ac:dyDescent="0.25">
      <c r="A2515" t="s">
        <v>84</v>
      </c>
      <c r="B2515" s="24">
        <v>26</v>
      </c>
      <c r="C2515" t="s">
        <v>172</v>
      </c>
      <c r="D2515" t="s">
        <v>32</v>
      </c>
      <c r="E2515" t="s">
        <v>216</v>
      </c>
      <c r="F2515" t="s">
        <v>32</v>
      </c>
      <c r="H2515" t="s">
        <v>52</v>
      </c>
      <c r="I2515" t="s">
        <v>217</v>
      </c>
      <c r="J2515">
        <v>1</v>
      </c>
      <c r="N2515">
        <f>Таблица1[[#This Row],[Часов на заказчика  в работе]]+Таблица1[[#This Row],[Часов на заказчика  дежурство]]</f>
        <v>0</v>
      </c>
      <c r="O25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5" s="9"/>
      <c r="R2515" s="9"/>
      <c r="S2515" s="5">
        <v>1</v>
      </c>
      <c r="T25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табеле]])*S2515,0)</f>
        <v>0</v>
      </c>
      <c r="U2515" s="5">
        <f>IF(Таблица1[[#This Row],[ТТН]]&gt;0,Таблица1[[#This Row],[Ставка за ТТН]]*Таблица1[[#This Row],[ТТН]],0)</f>
        <v>0</v>
      </c>
    </row>
    <row r="2516" spans="1:21" x14ac:dyDescent="0.25">
      <c r="A2516" t="s">
        <v>84</v>
      </c>
      <c r="B2516" s="24">
        <v>27</v>
      </c>
      <c r="C2516" t="s">
        <v>172</v>
      </c>
      <c r="D2516" t="s">
        <v>32</v>
      </c>
      <c r="E2516" t="s">
        <v>216</v>
      </c>
      <c r="F2516" t="s">
        <v>32</v>
      </c>
      <c r="H2516" t="s">
        <v>52</v>
      </c>
      <c r="I2516" t="s">
        <v>217</v>
      </c>
      <c r="J2516">
        <v>1</v>
      </c>
      <c r="N2516">
        <f>Таблица1[[#This Row],[Часов на заказчика  в работе]]+Таблица1[[#This Row],[Часов на заказчика  дежурство]]</f>
        <v>0</v>
      </c>
      <c r="O25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6" s="9"/>
      <c r="R2516" s="9"/>
      <c r="S2516" s="5">
        <v>1</v>
      </c>
      <c r="T25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табеле]])*S2516,0)</f>
        <v>0</v>
      </c>
      <c r="U2516" s="5">
        <f>IF(Таблица1[[#This Row],[ТТН]]&gt;0,Таблица1[[#This Row],[Ставка за ТТН]]*Таблица1[[#This Row],[ТТН]],0)</f>
        <v>0</v>
      </c>
    </row>
    <row r="2517" spans="1:21" x14ac:dyDescent="0.25">
      <c r="A2517" t="s">
        <v>84</v>
      </c>
      <c r="B2517" s="24">
        <v>28</v>
      </c>
      <c r="C2517" t="s">
        <v>172</v>
      </c>
      <c r="D2517" t="s">
        <v>32</v>
      </c>
      <c r="E2517" t="s">
        <v>216</v>
      </c>
      <c r="F2517" t="s">
        <v>32</v>
      </c>
      <c r="H2517" t="s">
        <v>52</v>
      </c>
      <c r="I2517" t="s">
        <v>217</v>
      </c>
      <c r="J2517">
        <v>1</v>
      </c>
      <c r="N2517">
        <f>Таблица1[[#This Row],[Часов на заказчика  в работе]]+Таблица1[[#This Row],[Часов на заказчика  дежурство]]</f>
        <v>0</v>
      </c>
      <c r="O25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7" s="9"/>
      <c r="R2517" s="9"/>
      <c r="S2517" s="5">
        <v>1</v>
      </c>
      <c r="T25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табеле]])*S2517,0)</f>
        <v>0</v>
      </c>
      <c r="U2517" s="5">
        <f>IF(Таблица1[[#This Row],[ТТН]]&gt;0,Таблица1[[#This Row],[Ставка за ТТН]]*Таблица1[[#This Row],[ТТН]],0)</f>
        <v>0</v>
      </c>
    </row>
    <row r="2518" spans="1:21" x14ac:dyDescent="0.25">
      <c r="A2518" t="s">
        <v>84</v>
      </c>
      <c r="B2518" s="24">
        <v>29</v>
      </c>
      <c r="C2518" t="s">
        <v>172</v>
      </c>
      <c r="D2518" t="s">
        <v>32</v>
      </c>
      <c r="E2518" t="s">
        <v>216</v>
      </c>
      <c r="F2518" t="s">
        <v>32</v>
      </c>
      <c r="H2518" t="s">
        <v>52</v>
      </c>
      <c r="I2518" t="s">
        <v>217</v>
      </c>
      <c r="J2518">
        <v>1</v>
      </c>
      <c r="N2518">
        <f>Таблица1[[#This Row],[Часов на заказчика  в работе]]+Таблица1[[#This Row],[Часов на заказчика  дежурство]]</f>
        <v>0</v>
      </c>
      <c r="O25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8" s="9"/>
      <c r="R2518" s="9"/>
      <c r="S2518" s="5">
        <v>1</v>
      </c>
      <c r="T25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табеле]])*S2518,0)</f>
        <v>0</v>
      </c>
      <c r="U2518" s="5">
        <f>IF(Таблица1[[#This Row],[ТТН]]&gt;0,Таблица1[[#This Row],[Ставка за ТТН]]*Таблица1[[#This Row],[ТТН]],0)</f>
        <v>0</v>
      </c>
    </row>
    <row r="2519" spans="1:21" x14ac:dyDescent="0.25">
      <c r="A2519" t="s">
        <v>84</v>
      </c>
      <c r="B2519" s="24">
        <v>30</v>
      </c>
      <c r="C2519" t="s">
        <v>173</v>
      </c>
      <c r="D2519" t="s">
        <v>32</v>
      </c>
      <c r="E2519" t="s">
        <v>216</v>
      </c>
      <c r="F2519" t="s">
        <v>32</v>
      </c>
      <c r="H2519" t="s">
        <v>52</v>
      </c>
      <c r="I2519" t="s">
        <v>217</v>
      </c>
      <c r="J2519">
        <v>1</v>
      </c>
      <c r="N2519">
        <f>Таблица1[[#This Row],[Часов на заказчика  в работе]]+Таблица1[[#This Row],[Часов на заказчика  дежурство]]</f>
        <v>0</v>
      </c>
      <c r="O25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19" s="9"/>
      <c r="R2519" s="9"/>
      <c r="S2519" s="5">
        <v>1</v>
      </c>
      <c r="T25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табеле]])*S2519,0)</f>
        <v>0</v>
      </c>
      <c r="U2519" s="5">
        <f>IF(Таблица1[[#This Row],[ТТН]]&gt;0,Таблица1[[#This Row],[Ставка за ТТН]]*Таблица1[[#This Row],[ТТН]],0)</f>
        <v>0</v>
      </c>
    </row>
    <row r="2520" spans="1:21" x14ac:dyDescent="0.25">
      <c r="A2520" t="s">
        <v>84</v>
      </c>
      <c r="B2520" s="24">
        <v>1</v>
      </c>
      <c r="C2520" t="s">
        <v>173</v>
      </c>
      <c r="D2520" t="s">
        <v>77</v>
      </c>
      <c r="E2520" t="s">
        <v>216</v>
      </c>
      <c r="F2520" t="s">
        <v>77</v>
      </c>
      <c r="H2520" t="s">
        <v>29</v>
      </c>
      <c r="I2520" t="s">
        <v>217</v>
      </c>
      <c r="J2520">
        <v>8</v>
      </c>
      <c r="N2520">
        <f>Таблица1[[#This Row],[Часов на заказчика  в работе]]+Таблица1[[#This Row],[Часов на заказчика  дежурство]]</f>
        <v>0</v>
      </c>
      <c r="O25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0" s="9"/>
      <c r="R2520" s="9"/>
      <c r="S2520" s="5">
        <v>1</v>
      </c>
      <c r="T25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табеле]])*S2520,0)</f>
        <v>0</v>
      </c>
      <c r="U2520" s="5">
        <f>IF(Таблица1[[#This Row],[ТТН]]&gt;0,Таблица1[[#This Row],[Ставка за ТТН]]*Таблица1[[#This Row],[ТТН]],0)</f>
        <v>0</v>
      </c>
    </row>
    <row r="2521" spans="1:21" x14ac:dyDescent="0.25">
      <c r="A2521" t="s">
        <v>84</v>
      </c>
      <c r="B2521" s="24">
        <v>2</v>
      </c>
      <c r="C2521" t="s">
        <v>173</v>
      </c>
      <c r="D2521" t="s">
        <v>77</v>
      </c>
      <c r="E2521" t="s">
        <v>216</v>
      </c>
      <c r="F2521" t="s">
        <v>77</v>
      </c>
      <c r="H2521" t="s">
        <v>29</v>
      </c>
      <c r="I2521" t="s">
        <v>217</v>
      </c>
      <c r="J2521">
        <v>8</v>
      </c>
      <c r="N2521">
        <f>Таблица1[[#This Row],[Часов на заказчика  в работе]]+Таблица1[[#This Row],[Часов на заказчика  дежурство]]</f>
        <v>0</v>
      </c>
      <c r="O25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1" s="9"/>
      <c r="R2521" s="9"/>
      <c r="S2521" s="5">
        <v>1</v>
      </c>
      <c r="T25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табеле]])*S2521,0)</f>
        <v>0</v>
      </c>
      <c r="U2521" s="5">
        <f>IF(Таблица1[[#This Row],[ТТН]]&gt;0,Таблица1[[#This Row],[Ставка за ТТН]]*Таблица1[[#This Row],[ТТН]],0)</f>
        <v>0</v>
      </c>
    </row>
    <row r="2522" spans="1:21" x14ac:dyDescent="0.25">
      <c r="A2522" t="s">
        <v>84</v>
      </c>
      <c r="B2522" s="24">
        <v>3</v>
      </c>
      <c r="C2522" t="s">
        <v>173</v>
      </c>
      <c r="D2522" t="s">
        <v>77</v>
      </c>
      <c r="E2522" t="s">
        <v>216</v>
      </c>
      <c r="F2522" t="s">
        <v>77</v>
      </c>
      <c r="H2522" t="s">
        <v>29</v>
      </c>
      <c r="I2522" t="s">
        <v>217</v>
      </c>
      <c r="J2522">
        <v>8</v>
      </c>
      <c r="N2522">
        <f>Таблица1[[#This Row],[Часов на заказчика  в работе]]+Таблица1[[#This Row],[Часов на заказчика  дежурство]]</f>
        <v>0</v>
      </c>
      <c r="O25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2" s="9"/>
      <c r="R2522" s="9"/>
      <c r="S2522" s="5">
        <v>1</v>
      </c>
      <c r="T25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табеле]])*S2522,0)</f>
        <v>0</v>
      </c>
      <c r="U2522" s="5">
        <f>IF(Таблица1[[#This Row],[ТТН]]&gt;0,Таблица1[[#This Row],[Ставка за ТТН]]*Таблица1[[#This Row],[ТТН]],0)</f>
        <v>0</v>
      </c>
    </row>
    <row r="2523" spans="1:21" x14ac:dyDescent="0.25">
      <c r="A2523" t="s">
        <v>84</v>
      </c>
      <c r="B2523" s="24">
        <v>4</v>
      </c>
      <c r="C2523" t="s">
        <v>173</v>
      </c>
      <c r="D2523" t="s">
        <v>77</v>
      </c>
      <c r="E2523" t="s">
        <v>216</v>
      </c>
      <c r="F2523" t="s">
        <v>77</v>
      </c>
      <c r="H2523" t="s">
        <v>29</v>
      </c>
      <c r="I2523" t="s">
        <v>217</v>
      </c>
      <c r="J2523">
        <v>8</v>
      </c>
      <c r="N2523">
        <f>Таблица1[[#This Row],[Часов на заказчика  в работе]]+Таблица1[[#This Row],[Часов на заказчика  дежурство]]</f>
        <v>0</v>
      </c>
      <c r="O25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3" s="9"/>
      <c r="R2523" s="9"/>
      <c r="S2523" s="5">
        <v>1</v>
      </c>
      <c r="T25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табеле]])*S2523,0)</f>
        <v>0</v>
      </c>
      <c r="U2523" s="5">
        <f>IF(Таблица1[[#This Row],[ТТН]]&gt;0,Таблица1[[#This Row],[Ставка за ТТН]]*Таблица1[[#This Row],[ТТН]],0)</f>
        <v>0</v>
      </c>
    </row>
    <row r="2524" spans="1:21" x14ac:dyDescent="0.25">
      <c r="A2524" t="s">
        <v>84</v>
      </c>
      <c r="B2524" s="24">
        <v>5</v>
      </c>
      <c r="C2524" t="s">
        <v>173</v>
      </c>
      <c r="D2524" t="s">
        <v>77</v>
      </c>
      <c r="E2524" t="s">
        <v>216</v>
      </c>
      <c r="F2524" t="s">
        <v>77</v>
      </c>
      <c r="H2524" t="s">
        <v>29</v>
      </c>
      <c r="I2524" t="s">
        <v>217</v>
      </c>
      <c r="J2524">
        <v>8</v>
      </c>
      <c r="N2524">
        <f>Таблица1[[#This Row],[Часов на заказчика  в работе]]+Таблица1[[#This Row],[Часов на заказчика  дежурство]]</f>
        <v>0</v>
      </c>
      <c r="O25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4" s="9"/>
      <c r="R2524" s="9"/>
      <c r="S2524" s="5">
        <v>1</v>
      </c>
      <c r="T25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табеле]])*S2524,0)</f>
        <v>0</v>
      </c>
      <c r="U2524" s="5">
        <f>IF(Таблица1[[#This Row],[ТТН]]&gt;0,Таблица1[[#This Row],[Ставка за ТТН]]*Таблица1[[#This Row],[ТТН]],0)</f>
        <v>0</v>
      </c>
    </row>
    <row r="2525" spans="1:21" x14ac:dyDescent="0.25">
      <c r="A2525" t="s">
        <v>84</v>
      </c>
      <c r="B2525" s="24">
        <v>6</v>
      </c>
      <c r="C2525" t="s">
        <v>173</v>
      </c>
      <c r="D2525" t="s">
        <v>77</v>
      </c>
      <c r="E2525" t="s">
        <v>216</v>
      </c>
      <c r="F2525" t="s">
        <v>77</v>
      </c>
      <c r="H2525" t="s">
        <v>30</v>
      </c>
      <c r="I2525" t="s">
        <v>217</v>
      </c>
      <c r="J2525">
        <v>1</v>
      </c>
      <c r="N2525">
        <f>Таблица1[[#This Row],[Часов на заказчика  в работе]]+Таблица1[[#This Row],[Часов на заказчика  дежурство]]</f>
        <v>0</v>
      </c>
      <c r="O25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5" s="9"/>
      <c r="R2525" s="9"/>
      <c r="S2525" s="5">
        <v>1</v>
      </c>
      <c r="T25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табеле]])*S2525,0)</f>
        <v>0</v>
      </c>
      <c r="U2525" s="5">
        <f>IF(Таблица1[[#This Row],[ТТН]]&gt;0,Таблица1[[#This Row],[Ставка за ТТН]]*Таблица1[[#This Row],[ТТН]],0)</f>
        <v>0</v>
      </c>
    </row>
    <row r="2526" spans="1:21" x14ac:dyDescent="0.25">
      <c r="A2526" t="s">
        <v>84</v>
      </c>
      <c r="B2526" s="24">
        <v>7</v>
      </c>
      <c r="C2526" t="s">
        <v>173</v>
      </c>
      <c r="D2526" t="s">
        <v>77</v>
      </c>
      <c r="E2526" t="s">
        <v>216</v>
      </c>
      <c r="F2526" t="s">
        <v>77</v>
      </c>
      <c r="H2526" t="s">
        <v>30</v>
      </c>
      <c r="I2526" t="s">
        <v>217</v>
      </c>
      <c r="J2526">
        <v>1</v>
      </c>
      <c r="N2526">
        <f>Таблица1[[#This Row],[Часов на заказчика  в работе]]+Таблица1[[#This Row],[Часов на заказчика  дежурство]]</f>
        <v>0</v>
      </c>
      <c r="O25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6" s="9"/>
      <c r="R2526" s="9"/>
      <c r="S2526" s="5">
        <v>1</v>
      </c>
      <c r="T25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табеле]])*S2526,0)</f>
        <v>0</v>
      </c>
      <c r="U2526" s="5">
        <f>IF(Таблица1[[#This Row],[ТТН]]&gt;0,Таблица1[[#This Row],[Ставка за ТТН]]*Таблица1[[#This Row],[ТТН]],0)</f>
        <v>0</v>
      </c>
    </row>
    <row r="2527" spans="1:21" x14ac:dyDescent="0.25">
      <c r="A2527" t="s">
        <v>84</v>
      </c>
      <c r="B2527" s="24">
        <v>8</v>
      </c>
      <c r="C2527" t="s">
        <v>173</v>
      </c>
      <c r="D2527" t="s">
        <v>77</v>
      </c>
      <c r="E2527" t="s">
        <v>216</v>
      </c>
      <c r="F2527" t="s">
        <v>77</v>
      </c>
      <c r="H2527" t="s">
        <v>29</v>
      </c>
      <c r="I2527" t="s">
        <v>217</v>
      </c>
      <c r="J2527">
        <v>8</v>
      </c>
      <c r="N2527">
        <f>Таблица1[[#This Row],[Часов на заказчика  в работе]]+Таблица1[[#This Row],[Часов на заказчика  дежурство]]</f>
        <v>0</v>
      </c>
      <c r="O25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7" s="9"/>
      <c r="R2527" s="9"/>
      <c r="S2527" s="5">
        <v>1</v>
      </c>
      <c r="T25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табеле]])*S2527,0)</f>
        <v>0</v>
      </c>
      <c r="U2527" s="5">
        <f>IF(Таблица1[[#This Row],[ТТН]]&gt;0,Таблица1[[#This Row],[Ставка за ТТН]]*Таблица1[[#This Row],[ТТН]],0)</f>
        <v>0</v>
      </c>
    </row>
    <row r="2528" spans="1:21" x14ac:dyDescent="0.25">
      <c r="A2528" t="s">
        <v>84</v>
      </c>
      <c r="B2528" s="24">
        <v>9</v>
      </c>
      <c r="C2528" t="s">
        <v>173</v>
      </c>
      <c r="D2528" t="s">
        <v>77</v>
      </c>
      <c r="E2528" t="s">
        <v>216</v>
      </c>
      <c r="F2528" t="s">
        <v>77</v>
      </c>
      <c r="H2528" t="s">
        <v>29</v>
      </c>
      <c r="I2528" t="s">
        <v>217</v>
      </c>
      <c r="J2528">
        <v>8</v>
      </c>
      <c r="N2528">
        <f>Таблица1[[#This Row],[Часов на заказчика  в работе]]+Таблица1[[#This Row],[Часов на заказчика  дежурство]]</f>
        <v>0</v>
      </c>
      <c r="O25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8" s="9"/>
      <c r="R2528" s="9"/>
      <c r="S2528" s="5">
        <v>1</v>
      </c>
      <c r="T25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табеле]])*S2528,0)</f>
        <v>0</v>
      </c>
      <c r="U2528" s="5">
        <f>IF(Таблица1[[#This Row],[ТТН]]&gt;0,Таблица1[[#This Row],[Ставка за ТТН]]*Таблица1[[#This Row],[ТТН]],0)</f>
        <v>0</v>
      </c>
    </row>
    <row r="2529" spans="1:21" x14ac:dyDescent="0.25">
      <c r="A2529" t="s">
        <v>84</v>
      </c>
      <c r="B2529" s="24">
        <v>10</v>
      </c>
      <c r="C2529" t="s">
        <v>173</v>
      </c>
      <c r="D2529" t="s">
        <v>77</v>
      </c>
      <c r="E2529" t="s">
        <v>216</v>
      </c>
      <c r="F2529" t="s">
        <v>77</v>
      </c>
      <c r="H2529" t="s">
        <v>29</v>
      </c>
      <c r="I2529" t="s">
        <v>217</v>
      </c>
      <c r="J2529">
        <v>8</v>
      </c>
      <c r="N2529">
        <f>Таблица1[[#This Row],[Часов на заказчика  в работе]]+Таблица1[[#This Row],[Часов на заказчика  дежурство]]</f>
        <v>0</v>
      </c>
      <c r="O25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29" s="9"/>
      <c r="R2529" s="9"/>
      <c r="S2529" s="5">
        <v>1</v>
      </c>
      <c r="T25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табеле]])*S2529,0)</f>
        <v>0</v>
      </c>
      <c r="U2529" s="5">
        <f>IF(Таблица1[[#This Row],[ТТН]]&gt;0,Таблица1[[#This Row],[Ставка за ТТН]]*Таблица1[[#This Row],[ТТН]],0)</f>
        <v>0</v>
      </c>
    </row>
    <row r="2530" spans="1:21" x14ac:dyDescent="0.25">
      <c r="A2530" t="s">
        <v>84</v>
      </c>
      <c r="B2530" s="24">
        <v>11</v>
      </c>
      <c r="C2530" t="s">
        <v>173</v>
      </c>
      <c r="D2530" t="s">
        <v>77</v>
      </c>
      <c r="E2530" t="s">
        <v>216</v>
      </c>
      <c r="F2530" t="s">
        <v>77</v>
      </c>
      <c r="H2530" t="s">
        <v>29</v>
      </c>
      <c r="I2530" t="s">
        <v>217</v>
      </c>
      <c r="J2530">
        <v>8</v>
      </c>
      <c r="N2530">
        <f>Таблица1[[#This Row],[Часов на заказчика  в работе]]+Таблица1[[#This Row],[Часов на заказчика  дежурство]]</f>
        <v>0</v>
      </c>
      <c r="O25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0" s="9"/>
      <c r="R2530" s="9"/>
      <c r="S2530" s="5">
        <v>1</v>
      </c>
      <c r="T25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табеле]])*S2530,0)</f>
        <v>0</v>
      </c>
      <c r="U2530" s="5">
        <f>IF(Таблица1[[#This Row],[ТТН]]&gt;0,Таблица1[[#This Row],[Ставка за ТТН]]*Таблица1[[#This Row],[ТТН]],0)</f>
        <v>0</v>
      </c>
    </row>
    <row r="2531" spans="1:21" x14ac:dyDescent="0.25">
      <c r="A2531" t="s">
        <v>84</v>
      </c>
      <c r="B2531" s="24">
        <v>12</v>
      </c>
      <c r="C2531" t="s">
        <v>173</v>
      </c>
      <c r="D2531" t="s">
        <v>77</v>
      </c>
      <c r="E2531" t="s">
        <v>216</v>
      </c>
      <c r="F2531" t="s">
        <v>77</v>
      </c>
      <c r="H2531" t="s">
        <v>29</v>
      </c>
      <c r="I2531" t="s">
        <v>217</v>
      </c>
      <c r="J2531">
        <v>8</v>
      </c>
      <c r="N2531">
        <f>Таблица1[[#This Row],[Часов на заказчика  в работе]]+Таблица1[[#This Row],[Часов на заказчика  дежурство]]</f>
        <v>0</v>
      </c>
      <c r="O25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1" s="9"/>
      <c r="R2531" s="9"/>
      <c r="S2531" s="5">
        <v>1</v>
      </c>
      <c r="T25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табеле]])*S2531,0)</f>
        <v>0</v>
      </c>
      <c r="U2531" s="5">
        <f>IF(Таблица1[[#This Row],[ТТН]]&gt;0,Таблица1[[#This Row],[Ставка за ТТН]]*Таблица1[[#This Row],[ТТН]],0)</f>
        <v>0</v>
      </c>
    </row>
    <row r="2532" spans="1:21" x14ac:dyDescent="0.25">
      <c r="A2532" t="s">
        <v>84</v>
      </c>
      <c r="B2532" s="24">
        <v>13</v>
      </c>
      <c r="C2532" t="s">
        <v>173</v>
      </c>
      <c r="D2532" t="s">
        <v>77</v>
      </c>
      <c r="E2532" t="s">
        <v>216</v>
      </c>
      <c r="F2532" t="s">
        <v>77</v>
      </c>
      <c r="H2532" t="s">
        <v>30</v>
      </c>
      <c r="I2532" t="s">
        <v>217</v>
      </c>
      <c r="J2532">
        <v>1</v>
      </c>
      <c r="N2532">
        <f>Таблица1[[#This Row],[Часов на заказчика  в работе]]+Таблица1[[#This Row],[Часов на заказчика  дежурство]]</f>
        <v>0</v>
      </c>
      <c r="O25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2" s="9"/>
      <c r="R2532" s="9"/>
      <c r="S2532" s="5">
        <v>1</v>
      </c>
      <c r="T25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табеле]])*S2532,0)</f>
        <v>0</v>
      </c>
      <c r="U2532" s="5">
        <f>IF(Таблица1[[#This Row],[ТТН]]&gt;0,Таблица1[[#This Row],[Ставка за ТТН]]*Таблица1[[#This Row],[ТТН]],0)</f>
        <v>0</v>
      </c>
    </row>
    <row r="2533" spans="1:21" x14ac:dyDescent="0.25">
      <c r="A2533" t="s">
        <v>84</v>
      </c>
      <c r="B2533" s="24">
        <v>14</v>
      </c>
      <c r="C2533" t="s">
        <v>173</v>
      </c>
      <c r="D2533" t="s">
        <v>77</v>
      </c>
      <c r="E2533" t="s">
        <v>216</v>
      </c>
      <c r="F2533" t="s">
        <v>77</v>
      </c>
      <c r="H2533" t="s">
        <v>30</v>
      </c>
      <c r="I2533" t="s">
        <v>217</v>
      </c>
      <c r="J2533">
        <v>1</v>
      </c>
      <c r="N2533">
        <f>Таблица1[[#This Row],[Часов на заказчика  в работе]]+Таблица1[[#This Row],[Часов на заказчика  дежурство]]</f>
        <v>0</v>
      </c>
      <c r="O25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3" s="9"/>
      <c r="R2533" s="9"/>
      <c r="S2533" s="5">
        <v>1</v>
      </c>
      <c r="T25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табеле]])*S2533,0)</f>
        <v>0</v>
      </c>
      <c r="U2533" s="5">
        <f>IF(Таблица1[[#This Row],[ТТН]]&gt;0,Таблица1[[#This Row],[Ставка за ТТН]]*Таблица1[[#This Row],[ТТН]],0)</f>
        <v>0</v>
      </c>
    </row>
    <row r="2534" spans="1:21" x14ac:dyDescent="0.25">
      <c r="A2534" t="s">
        <v>84</v>
      </c>
      <c r="B2534" s="24">
        <v>15</v>
      </c>
      <c r="C2534" t="s">
        <v>173</v>
      </c>
      <c r="D2534" t="s">
        <v>77</v>
      </c>
      <c r="E2534" t="s">
        <v>216</v>
      </c>
      <c r="F2534" t="s">
        <v>77</v>
      </c>
      <c r="H2534" t="s">
        <v>29</v>
      </c>
      <c r="I2534" t="s">
        <v>217</v>
      </c>
      <c r="J2534">
        <v>8</v>
      </c>
      <c r="N2534">
        <f>Таблица1[[#This Row],[Часов на заказчика  в работе]]+Таблица1[[#This Row],[Часов на заказчика  дежурство]]</f>
        <v>0</v>
      </c>
      <c r="O25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4" s="9"/>
      <c r="R2534" s="9"/>
      <c r="S2534" s="5">
        <v>1</v>
      </c>
      <c r="T25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табеле]])*S2534,0)</f>
        <v>0</v>
      </c>
      <c r="U2534" s="5">
        <f>IF(Таблица1[[#This Row],[ТТН]]&gt;0,Таблица1[[#This Row],[Ставка за ТТН]]*Таблица1[[#This Row],[ТТН]],0)</f>
        <v>0</v>
      </c>
    </row>
    <row r="2535" spans="1:21" x14ac:dyDescent="0.25">
      <c r="A2535" t="s">
        <v>84</v>
      </c>
      <c r="B2535" s="24">
        <v>16</v>
      </c>
      <c r="C2535" t="s">
        <v>173</v>
      </c>
      <c r="D2535" t="s">
        <v>77</v>
      </c>
      <c r="E2535" t="s">
        <v>216</v>
      </c>
      <c r="F2535" t="s">
        <v>77</v>
      </c>
      <c r="H2535" t="s">
        <v>29</v>
      </c>
      <c r="I2535" t="s">
        <v>217</v>
      </c>
      <c r="J2535">
        <v>8</v>
      </c>
      <c r="N2535">
        <f>Таблица1[[#This Row],[Часов на заказчика  в работе]]+Таблица1[[#This Row],[Часов на заказчика  дежурство]]</f>
        <v>0</v>
      </c>
      <c r="O25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5" s="9"/>
      <c r="R2535" s="9"/>
      <c r="S2535" s="5">
        <v>1</v>
      </c>
      <c r="T25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табеле]])*S2535,0)</f>
        <v>0</v>
      </c>
      <c r="U2535" s="5">
        <f>IF(Таблица1[[#This Row],[ТТН]]&gt;0,Таблица1[[#This Row],[Ставка за ТТН]]*Таблица1[[#This Row],[ТТН]],0)</f>
        <v>0</v>
      </c>
    </row>
    <row r="2536" spans="1:21" x14ac:dyDescent="0.25">
      <c r="A2536" t="s">
        <v>84</v>
      </c>
      <c r="B2536" s="24">
        <v>17</v>
      </c>
      <c r="C2536" t="s">
        <v>173</v>
      </c>
      <c r="D2536" t="s">
        <v>77</v>
      </c>
      <c r="E2536" t="s">
        <v>216</v>
      </c>
      <c r="F2536" t="s">
        <v>77</v>
      </c>
      <c r="H2536" t="s">
        <v>29</v>
      </c>
      <c r="I2536" t="s">
        <v>217</v>
      </c>
      <c r="J2536">
        <v>8</v>
      </c>
      <c r="N2536">
        <f>Таблица1[[#This Row],[Часов на заказчика  в работе]]+Таблица1[[#This Row],[Часов на заказчика  дежурство]]</f>
        <v>0</v>
      </c>
      <c r="O25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6" s="9"/>
      <c r="R2536" s="9"/>
      <c r="S2536" s="5">
        <v>1</v>
      </c>
      <c r="T25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табеле]])*S2536,0)</f>
        <v>0</v>
      </c>
      <c r="U2536" s="5">
        <f>IF(Таблица1[[#This Row],[ТТН]]&gt;0,Таблица1[[#This Row],[Ставка за ТТН]]*Таблица1[[#This Row],[ТТН]],0)</f>
        <v>0</v>
      </c>
    </row>
    <row r="2537" spans="1:21" x14ac:dyDescent="0.25">
      <c r="A2537" t="s">
        <v>84</v>
      </c>
      <c r="B2537" s="24">
        <v>18</v>
      </c>
      <c r="C2537" t="s">
        <v>173</v>
      </c>
      <c r="D2537" t="s">
        <v>77</v>
      </c>
      <c r="E2537" t="s">
        <v>216</v>
      </c>
      <c r="F2537" t="s">
        <v>77</v>
      </c>
      <c r="H2537" t="s">
        <v>29</v>
      </c>
      <c r="I2537" t="s">
        <v>217</v>
      </c>
      <c r="J2537">
        <v>8</v>
      </c>
      <c r="N2537">
        <f>Таблица1[[#This Row],[Часов на заказчика  в работе]]+Таблица1[[#This Row],[Часов на заказчика  дежурство]]</f>
        <v>0</v>
      </c>
      <c r="O25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7" s="9"/>
      <c r="R2537" s="9"/>
      <c r="S2537" s="5">
        <v>1</v>
      </c>
      <c r="T25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табеле]])*S2537,0)</f>
        <v>0</v>
      </c>
      <c r="U2537" s="5">
        <f>IF(Таблица1[[#This Row],[ТТН]]&gt;0,Таблица1[[#This Row],[Ставка за ТТН]]*Таблица1[[#This Row],[ТТН]],0)</f>
        <v>0</v>
      </c>
    </row>
    <row r="2538" spans="1:21" x14ac:dyDescent="0.25">
      <c r="A2538" t="s">
        <v>84</v>
      </c>
      <c r="B2538" s="24">
        <v>19</v>
      </c>
      <c r="C2538" t="s">
        <v>173</v>
      </c>
      <c r="D2538" t="s">
        <v>77</v>
      </c>
      <c r="E2538" t="s">
        <v>216</v>
      </c>
      <c r="F2538" t="s">
        <v>77</v>
      </c>
      <c r="H2538" t="s">
        <v>29</v>
      </c>
      <c r="I2538" t="s">
        <v>217</v>
      </c>
      <c r="J2538">
        <v>8</v>
      </c>
      <c r="N2538">
        <f>Таблица1[[#This Row],[Часов на заказчика  в работе]]+Таблица1[[#This Row],[Часов на заказчика  дежурство]]</f>
        <v>0</v>
      </c>
      <c r="O25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8" s="9"/>
      <c r="R2538" s="9"/>
      <c r="S2538" s="5">
        <v>1</v>
      </c>
      <c r="T25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табеле]])*S2538,0)</f>
        <v>0</v>
      </c>
      <c r="U2538" s="5">
        <f>IF(Таблица1[[#This Row],[ТТН]]&gt;0,Таблица1[[#This Row],[Ставка за ТТН]]*Таблица1[[#This Row],[ТТН]],0)</f>
        <v>0</v>
      </c>
    </row>
    <row r="2539" spans="1:21" x14ac:dyDescent="0.25">
      <c r="A2539" t="s">
        <v>84</v>
      </c>
      <c r="B2539" s="24">
        <v>20</v>
      </c>
      <c r="C2539" t="s">
        <v>173</v>
      </c>
      <c r="D2539" t="s">
        <v>77</v>
      </c>
      <c r="E2539" t="s">
        <v>216</v>
      </c>
      <c r="F2539" t="s">
        <v>77</v>
      </c>
      <c r="H2539" t="s">
        <v>30</v>
      </c>
      <c r="I2539" t="s">
        <v>217</v>
      </c>
      <c r="J2539">
        <v>1</v>
      </c>
      <c r="N2539">
        <f>Таблица1[[#This Row],[Часов на заказчика  в работе]]+Таблица1[[#This Row],[Часов на заказчика  дежурство]]</f>
        <v>0</v>
      </c>
      <c r="O25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39" s="9"/>
      <c r="R2539" s="9"/>
      <c r="S2539" s="5">
        <v>1</v>
      </c>
      <c r="T25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табеле]])*S2539,0)</f>
        <v>0</v>
      </c>
      <c r="U2539" s="5">
        <f>IF(Таблица1[[#This Row],[ТТН]]&gt;0,Таблица1[[#This Row],[Ставка за ТТН]]*Таблица1[[#This Row],[ТТН]],0)</f>
        <v>0</v>
      </c>
    </row>
    <row r="2540" spans="1:21" x14ac:dyDescent="0.25">
      <c r="A2540" t="s">
        <v>84</v>
      </c>
      <c r="B2540" s="24">
        <v>21</v>
      </c>
      <c r="C2540" t="s">
        <v>173</v>
      </c>
      <c r="D2540" t="s">
        <v>77</v>
      </c>
      <c r="E2540" t="s">
        <v>216</v>
      </c>
      <c r="F2540" t="s">
        <v>77</v>
      </c>
      <c r="H2540" t="s">
        <v>30</v>
      </c>
      <c r="I2540" t="s">
        <v>217</v>
      </c>
      <c r="J2540">
        <v>1</v>
      </c>
      <c r="N2540">
        <f>Таблица1[[#This Row],[Часов на заказчика  в работе]]+Таблица1[[#This Row],[Часов на заказчика  дежурство]]</f>
        <v>0</v>
      </c>
      <c r="O25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0" s="9"/>
      <c r="R2540" s="9"/>
      <c r="S2540" s="5">
        <v>1</v>
      </c>
      <c r="T25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табеле]])*S2540,0)</f>
        <v>0</v>
      </c>
      <c r="U2540" s="5">
        <f>IF(Таблица1[[#This Row],[ТТН]]&gt;0,Таблица1[[#This Row],[Ставка за ТТН]]*Таблица1[[#This Row],[ТТН]],0)</f>
        <v>0</v>
      </c>
    </row>
    <row r="2541" spans="1:21" x14ac:dyDescent="0.25">
      <c r="A2541" t="s">
        <v>84</v>
      </c>
      <c r="B2541" s="24">
        <v>22</v>
      </c>
      <c r="C2541" t="s">
        <v>173</v>
      </c>
      <c r="D2541" t="s">
        <v>77</v>
      </c>
      <c r="E2541" t="s">
        <v>216</v>
      </c>
      <c r="F2541" t="s">
        <v>77</v>
      </c>
      <c r="H2541" t="s">
        <v>29</v>
      </c>
      <c r="I2541" t="s">
        <v>217</v>
      </c>
      <c r="J2541">
        <v>8</v>
      </c>
      <c r="N2541">
        <f>Таблица1[[#This Row],[Часов на заказчика  в работе]]+Таблица1[[#This Row],[Часов на заказчика  дежурство]]</f>
        <v>0</v>
      </c>
      <c r="O25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1" s="9"/>
      <c r="R2541" s="9"/>
      <c r="S2541" s="5">
        <v>1</v>
      </c>
      <c r="T25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табеле]])*S2541,0)</f>
        <v>0</v>
      </c>
      <c r="U2541" s="5">
        <f>IF(Таблица1[[#This Row],[ТТН]]&gt;0,Таблица1[[#This Row],[Ставка за ТТН]]*Таблица1[[#This Row],[ТТН]],0)</f>
        <v>0</v>
      </c>
    </row>
    <row r="2542" spans="1:21" x14ac:dyDescent="0.25">
      <c r="A2542" t="s">
        <v>84</v>
      </c>
      <c r="B2542" s="24">
        <v>23</v>
      </c>
      <c r="C2542" t="s">
        <v>173</v>
      </c>
      <c r="D2542" t="s">
        <v>77</v>
      </c>
      <c r="E2542" t="s">
        <v>216</v>
      </c>
      <c r="F2542" t="s">
        <v>77</v>
      </c>
      <c r="H2542" t="s">
        <v>29</v>
      </c>
      <c r="I2542" t="s">
        <v>217</v>
      </c>
      <c r="J2542">
        <v>8</v>
      </c>
      <c r="N2542">
        <f>Таблица1[[#This Row],[Часов на заказчика  в работе]]+Таблица1[[#This Row],[Часов на заказчика  дежурство]]</f>
        <v>0</v>
      </c>
      <c r="O25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2" s="9"/>
      <c r="R2542" s="9"/>
      <c r="S2542" s="5">
        <v>1</v>
      </c>
      <c r="T25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табеле]])*S2542,0)</f>
        <v>0</v>
      </c>
      <c r="U2542" s="5">
        <f>IF(Таблица1[[#This Row],[ТТН]]&gt;0,Таблица1[[#This Row],[Ставка за ТТН]]*Таблица1[[#This Row],[ТТН]],0)</f>
        <v>0</v>
      </c>
    </row>
    <row r="2543" spans="1:21" x14ac:dyDescent="0.25">
      <c r="A2543" t="s">
        <v>84</v>
      </c>
      <c r="B2543" s="24">
        <v>24</v>
      </c>
      <c r="C2543" t="s">
        <v>173</v>
      </c>
      <c r="D2543" t="s">
        <v>77</v>
      </c>
      <c r="E2543" t="s">
        <v>216</v>
      </c>
      <c r="F2543" t="s">
        <v>77</v>
      </c>
      <c r="H2543" t="s">
        <v>29</v>
      </c>
      <c r="I2543" t="s">
        <v>217</v>
      </c>
      <c r="J2543">
        <v>8</v>
      </c>
      <c r="N2543">
        <f>Таблица1[[#This Row],[Часов на заказчика  в работе]]+Таблица1[[#This Row],[Часов на заказчика  дежурство]]</f>
        <v>0</v>
      </c>
      <c r="O25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3" s="9"/>
      <c r="R2543" s="9"/>
      <c r="S2543" s="5">
        <v>1</v>
      </c>
      <c r="T25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табеле]])*S2543,0)</f>
        <v>0</v>
      </c>
      <c r="U2543" s="5">
        <f>IF(Таблица1[[#This Row],[ТТН]]&gt;0,Таблица1[[#This Row],[Ставка за ТТН]]*Таблица1[[#This Row],[ТТН]],0)</f>
        <v>0</v>
      </c>
    </row>
    <row r="2544" spans="1:21" x14ac:dyDescent="0.25">
      <c r="A2544" t="s">
        <v>84</v>
      </c>
      <c r="B2544" s="24">
        <v>25</v>
      </c>
      <c r="C2544" t="s">
        <v>173</v>
      </c>
      <c r="D2544" t="s">
        <v>77</v>
      </c>
      <c r="E2544" t="s">
        <v>216</v>
      </c>
      <c r="F2544" t="s">
        <v>77</v>
      </c>
      <c r="H2544" t="s">
        <v>29</v>
      </c>
      <c r="I2544" t="s">
        <v>217</v>
      </c>
      <c r="J2544">
        <v>8</v>
      </c>
      <c r="N2544">
        <f>Таблица1[[#This Row],[Часов на заказчика  в работе]]+Таблица1[[#This Row],[Часов на заказчика  дежурство]]</f>
        <v>0</v>
      </c>
      <c r="O25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4" s="9"/>
      <c r="R2544" s="9"/>
      <c r="S2544" s="5">
        <v>1</v>
      </c>
      <c r="T25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табеле]])*S2544,0)</f>
        <v>0</v>
      </c>
      <c r="U2544" s="5">
        <f>IF(Таблица1[[#This Row],[ТТН]]&gt;0,Таблица1[[#This Row],[Ставка за ТТН]]*Таблица1[[#This Row],[ТТН]],0)</f>
        <v>0</v>
      </c>
    </row>
    <row r="2545" spans="1:22" x14ac:dyDescent="0.25">
      <c r="A2545" t="s">
        <v>84</v>
      </c>
      <c r="B2545" s="24">
        <v>26</v>
      </c>
      <c r="C2545" t="s">
        <v>173</v>
      </c>
      <c r="D2545" t="s">
        <v>77</v>
      </c>
      <c r="E2545" t="s">
        <v>216</v>
      </c>
      <c r="F2545" t="s">
        <v>77</v>
      </c>
      <c r="H2545" t="s">
        <v>24</v>
      </c>
      <c r="I2545" t="s">
        <v>217</v>
      </c>
      <c r="J2545">
        <v>8</v>
      </c>
      <c r="N2545">
        <f>Таблица1[[#This Row],[Часов на заказчика  в работе]]+Таблица1[[#This Row],[Часов на заказчика  дежурство]]</f>
        <v>0</v>
      </c>
      <c r="O25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5" s="9"/>
      <c r="R2545" s="9"/>
      <c r="S2545" s="5">
        <v>1</v>
      </c>
      <c r="T25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табеле]])*S2545,0)</f>
        <v>0</v>
      </c>
      <c r="U2545" s="5">
        <f>IF(Таблица1[[#This Row],[ТТН]]&gt;0,Таблица1[[#This Row],[Ставка за ТТН]]*Таблица1[[#This Row],[ТТН]],0)</f>
        <v>0</v>
      </c>
    </row>
    <row r="2546" spans="1:22" x14ac:dyDescent="0.25">
      <c r="A2546" t="s">
        <v>84</v>
      </c>
      <c r="B2546" s="24">
        <v>27</v>
      </c>
      <c r="C2546" t="s">
        <v>173</v>
      </c>
      <c r="D2546" t="s">
        <v>77</v>
      </c>
      <c r="E2546" t="s">
        <v>216</v>
      </c>
      <c r="F2546" t="s">
        <v>77</v>
      </c>
      <c r="H2546" t="s">
        <v>24</v>
      </c>
      <c r="I2546" t="s">
        <v>217</v>
      </c>
      <c r="J2546">
        <v>8</v>
      </c>
      <c r="N2546">
        <f>Таблица1[[#This Row],[Часов на заказчика  в работе]]+Таблица1[[#This Row],[Часов на заказчика  дежурство]]</f>
        <v>0</v>
      </c>
      <c r="O25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6" s="9"/>
      <c r="R2546" s="9"/>
      <c r="S2546" s="5">
        <v>1</v>
      </c>
      <c r="T25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табеле]])*S2546,0)</f>
        <v>0</v>
      </c>
      <c r="U2546" s="5">
        <f>IF(Таблица1[[#This Row],[ТТН]]&gt;0,Таблица1[[#This Row],[Ставка за ТТН]]*Таблица1[[#This Row],[ТТН]],0)</f>
        <v>0</v>
      </c>
    </row>
    <row r="2547" spans="1:22" x14ac:dyDescent="0.25">
      <c r="A2547" t="s">
        <v>84</v>
      </c>
      <c r="B2547" s="24">
        <v>28</v>
      </c>
      <c r="C2547" t="s">
        <v>173</v>
      </c>
      <c r="D2547" t="s">
        <v>77</v>
      </c>
      <c r="E2547" t="s">
        <v>216</v>
      </c>
      <c r="F2547" t="s">
        <v>77</v>
      </c>
      <c r="H2547" t="s">
        <v>24</v>
      </c>
      <c r="I2547" t="s">
        <v>217</v>
      </c>
      <c r="J2547">
        <v>8</v>
      </c>
      <c r="N2547">
        <f>Таблица1[[#This Row],[Часов на заказчика  в работе]]+Таблица1[[#This Row],[Часов на заказчика  дежурство]]</f>
        <v>0</v>
      </c>
      <c r="O25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7" s="9"/>
      <c r="R2547" s="9"/>
      <c r="S2547" s="5">
        <v>1</v>
      </c>
      <c r="T25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табеле]])*S2547,0)</f>
        <v>0</v>
      </c>
      <c r="U2547" s="5">
        <f>IF(Таблица1[[#This Row],[ТТН]]&gt;0,Таблица1[[#This Row],[Ставка за ТТН]]*Таблица1[[#This Row],[ТТН]],0)</f>
        <v>0</v>
      </c>
    </row>
    <row r="2548" spans="1:22" x14ac:dyDescent="0.25">
      <c r="A2548" t="s">
        <v>84</v>
      </c>
      <c r="B2548" s="24">
        <v>29</v>
      </c>
      <c r="C2548" t="s">
        <v>173</v>
      </c>
      <c r="D2548" t="s">
        <v>77</v>
      </c>
      <c r="E2548" t="s">
        <v>216</v>
      </c>
      <c r="F2548" t="s">
        <v>77</v>
      </c>
      <c r="H2548" t="s">
        <v>10</v>
      </c>
      <c r="I2548" t="s">
        <v>217</v>
      </c>
      <c r="J2548">
        <v>11</v>
      </c>
      <c r="N2548">
        <f>Таблица1[[#This Row],[Часов на заказчика  в работе]]+Таблица1[[#This Row],[Часов на заказчика  дежурство]]</f>
        <v>0</v>
      </c>
      <c r="O25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8" s="9"/>
      <c r="R2548" s="9"/>
      <c r="S2548" s="5">
        <v>1</v>
      </c>
      <c r="T25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табеле]])*S2548,0)</f>
        <v>0</v>
      </c>
      <c r="U2548" s="5">
        <f>IF(Таблица1[[#This Row],[ТТН]]&gt;0,Таблица1[[#This Row],[Ставка за ТТН]]*Таблица1[[#This Row],[ТТН]],0)</f>
        <v>0</v>
      </c>
    </row>
    <row r="2549" spans="1:22" x14ac:dyDescent="0.25">
      <c r="A2549" t="s">
        <v>84</v>
      </c>
      <c r="B2549" s="24">
        <v>30</v>
      </c>
      <c r="C2549" t="s">
        <v>174</v>
      </c>
      <c r="D2549" t="s">
        <v>77</v>
      </c>
      <c r="E2549" t="s">
        <v>216</v>
      </c>
      <c r="F2549" t="s">
        <v>77</v>
      </c>
      <c r="H2549" t="s">
        <v>10</v>
      </c>
      <c r="I2549" t="s">
        <v>217</v>
      </c>
      <c r="J2549">
        <v>11</v>
      </c>
      <c r="N2549">
        <f>Таблица1[[#This Row],[Часов на заказчика  в работе]]+Таблица1[[#This Row],[Часов на заказчика  дежурство]]</f>
        <v>0</v>
      </c>
      <c r="O25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49" s="9"/>
      <c r="R2549" s="9"/>
      <c r="S2549" s="5">
        <v>1</v>
      </c>
      <c r="T25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табеле]])*S2549,0)</f>
        <v>0</v>
      </c>
      <c r="U2549" s="5">
        <f>IF(Таблица1[[#This Row],[ТТН]]&gt;0,Таблица1[[#This Row],[Ставка за ТТН]]*Таблица1[[#This Row],[ТТН]],0)</f>
        <v>0</v>
      </c>
    </row>
    <row r="2550" spans="1:22" x14ac:dyDescent="0.25">
      <c r="A2550" t="s">
        <v>84</v>
      </c>
      <c r="B2550" s="24">
        <v>16</v>
      </c>
      <c r="C2550" t="s">
        <v>174</v>
      </c>
      <c r="D2550" t="s">
        <v>12</v>
      </c>
      <c r="E2550" t="s">
        <v>214</v>
      </c>
      <c r="F2550" t="s">
        <v>66</v>
      </c>
      <c r="H2550" t="s">
        <v>24</v>
      </c>
      <c r="I2550" t="s">
        <v>217</v>
      </c>
      <c r="J2550">
        <v>8</v>
      </c>
      <c r="N2550">
        <f>Таблица1[[#This Row],[Часов на заказчика  в работе]]+Таблица1[[#This Row],[Часов на заказчика  дежурство]]</f>
        <v>0</v>
      </c>
      <c r="O25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0" s="9">
        <v>135000</v>
      </c>
      <c r="R2550" s="9"/>
      <c r="S2550" s="5">
        <v>1</v>
      </c>
      <c r="T25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табеле]])*S2550,0)</f>
        <v>0</v>
      </c>
      <c r="U2550" s="5">
        <f>IF(Таблица1[[#This Row],[ТТН]]&gt;0,Таблица1[[#This Row],[Ставка за ТТН]]*Таблица1[[#This Row],[ТТН]],0)</f>
        <v>0</v>
      </c>
    </row>
    <row r="2551" spans="1:22" x14ac:dyDescent="0.25">
      <c r="A2551" t="s">
        <v>84</v>
      </c>
      <c r="B2551" s="24">
        <v>17</v>
      </c>
      <c r="C2551" t="s">
        <v>174</v>
      </c>
      <c r="D2551" t="s">
        <v>12</v>
      </c>
      <c r="E2551" t="s">
        <v>214</v>
      </c>
      <c r="F2551" t="s">
        <v>66</v>
      </c>
      <c r="H2551" t="s">
        <v>50</v>
      </c>
      <c r="I2551" t="s">
        <v>217</v>
      </c>
      <c r="J2551">
        <v>11</v>
      </c>
      <c r="N2551">
        <f>Таблица1[[#This Row],[Часов на заказчика  в работе]]+Таблица1[[#This Row],[Часов на заказчика  дежурство]]</f>
        <v>0</v>
      </c>
      <c r="O25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1" s="9">
        <v>135000</v>
      </c>
      <c r="R2551" s="9"/>
      <c r="S2551" s="5">
        <v>1</v>
      </c>
      <c r="T25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табеле]])*S2551,0)</f>
        <v>0</v>
      </c>
      <c r="U2551" s="5">
        <f>IF(Таблица1[[#This Row],[ТТН]]&gt;0,Таблица1[[#This Row],[Ставка за ТТН]]*Таблица1[[#This Row],[ТТН]],0)</f>
        <v>0</v>
      </c>
    </row>
    <row r="2552" spans="1:22" x14ac:dyDescent="0.25">
      <c r="A2552" t="s">
        <v>84</v>
      </c>
      <c r="B2552" s="24">
        <v>18</v>
      </c>
      <c r="C2552" t="s">
        <v>174</v>
      </c>
      <c r="D2552" t="s">
        <v>12</v>
      </c>
      <c r="E2552" t="s">
        <v>214</v>
      </c>
      <c r="F2552" t="s">
        <v>66</v>
      </c>
      <c r="H2552" t="s">
        <v>50</v>
      </c>
      <c r="I2552" t="s">
        <v>217</v>
      </c>
      <c r="J2552">
        <v>11</v>
      </c>
      <c r="N2552">
        <f>Таблица1[[#This Row],[Часов на заказчика  в работе]]+Таблица1[[#This Row],[Часов на заказчика  дежурство]]</f>
        <v>0</v>
      </c>
      <c r="O25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2" s="9">
        <v>135000</v>
      </c>
      <c r="R2552" s="9"/>
      <c r="S2552" s="5">
        <v>1</v>
      </c>
      <c r="T25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табеле]])*S2552,0)</f>
        <v>0</v>
      </c>
      <c r="U2552" s="5">
        <f>IF(Таблица1[[#This Row],[ТТН]]&gt;0,Таблица1[[#This Row],[Ставка за ТТН]]*Таблица1[[#This Row],[ТТН]],0)</f>
        <v>0</v>
      </c>
    </row>
    <row r="2553" spans="1:22" x14ac:dyDescent="0.25">
      <c r="A2553" t="s">
        <v>84</v>
      </c>
      <c r="B2553" s="24">
        <v>19</v>
      </c>
      <c r="C2553" t="s">
        <v>174</v>
      </c>
      <c r="D2553" t="s">
        <v>12</v>
      </c>
      <c r="E2553" t="s">
        <v>214</v>
      </c>
      <c r="F2553" t="s">
        <v>66</v>
      </c>
      <c r="H2553" t="s">
        <v>50</v>
      </c>
      <c r="I2553" t="s">
        <v>217</v>
      </c>
      <c r="J2553">
        <v>11</v>
      </c>
      <c r="N2553">
        <f>Таблица1[[#This Row],[Часов на заказчика  в работе]]+Таблица1[[#This Row],[Часов на заказчика  дежурство]]</f>
        <v>0</v>
      </c>
      <c r="O25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3" s="9">
        <v>135000</v>
      </c>
      <c r="R2553" s="9"/>
      <c r="S2553" s="5">
        <v>1</v>
      </c>
      <c r="T25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табеле]])*S2553,0)</f>
        <v>0</v>
      </c>
      <c r="U2553" s="5">
        <f>IF(Таблица1[[#This Row],[ТТН]]&gt;0,Таблица1[[#This Row],[Ставка за ТТН]]*Таблица1[[#This Row],[ТТН]],0)</f>
        <v>0</v>
      </c>
    </row>
    <row r="2554" spans="1:22" x14ac:dyDescent="0.25">
      <c r="A2554" t="s">
        <v>84</v>
      </c>
      <c r="B2554" s="24">
        <v>20</v>
      </c>
      <c r="C2554" t="s">
        <v>174</v>
      </c>
      <c r="D2554" t="s">
        <v>12</v>
      </c>
      <c r="E2554" t="s">
        <v>214</v>
      </c>
      <c r="F2554" t="s">
        <v>66</v>
      </c>
      <c r="H2554" t="s">
        <v>24</v>
      </c>
      <c r="I2554" t="s">
        <v>217</v>
      </c>
      <c r="J2554">
        <v>8</v>
      </c>
      <c r="N2554">
        <f>Таблица1[[#This Row],[Часов на заказчика  в работе]]+Таблица1[[#This Row],[Часов на заказчика  дежурство]]</f>
        <v>0</v>
      </c>
      <c r="O25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4" s="9">
        <v>135000</v>
      </c>
      <c r="R2554" s="9"/>
      <c r="S2554" s="5">
        <v>1</v>
      </c>
      <c r="T25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табеле]])*S2554,0)</f>
        <v>0</v>
      </c>
      <c r="U2554" s="5">
        <f>IF(Таблица1[[#This Row],[ТТН]]&gt;0,Таблица1[[#This Row],[Ставка за ТТН]]*Таблица1[[#This Row],[ТТН]],0)</f>
        <v>0</v>
      </c>
    </row>
    <row r="2555" spans="1:22" x14ac:dyDescent="0.25">
      <c r="A2555" t="s">
        <v>84</v>
      </c>
      <c r="B2555" s="24">
        <v>21</v>
      </c>
      <c r="C2555" t="s">
        <v>174</v>
      </c>
      <c r="D2555" t="s">
        <v>12</v>
      </c>
      <c r="E2555" t="s">
        <v>214</v>
      </c>
      <c r="F2555" t="s">
        <v>66</v>
      </c>
      <c r="H2555" t="s">
        <v>24</v>
      </c>
      <c r="I2555" t="s">
        <v>217</v>
      </c>
      <c r="J2555">
        <v>8</v>
      </c>
      <c r="N2555">
        <f>Таблица1[[#This Row],[Часов на заказчика  в работе]]+Таблица1[[#This Row],[Часов на заказчика  дежурство]]</f>
        <v>0</v>
      </c>
      <c r="O25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5" s="9">
        <v>135000</v>
      </c>
      <c r="R2555" s="9"/>
      <c r="S2555" s="5">
        <v>1</v>
      </c>
      <c r="T25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табеле]])*S2555,0)</f>
        <v>0</v>
      </c>
      <c r="U2555" s="5">
        <f>IF(Таблица1[[#This Row],[ТТН]]&gt;0,Таблица1[[#This Row],[Ставка за ТТН]]*Таблица1[[#This Row],[ТТН]],0)</f>
        <v>0</v>
      </c>
    </row>
    <row r="2556" spans="1:22" x14ac:dyDescent="0.25">
      <c r="A2556" t="s">
        <v>84</v>
      </c>
      <c r="B2556" s="24">
        <v>22</v>
      </c>
      <c r="C2556" t="s">
        <v>174</v>
      </c>
      <c r="D2556" t="s">
        <v>12</v>
      </c>
      <c r="E2556" t="s">
        <v>214</v>
      </c>
      <c r="F2556" t="s">
        <v>66</v>
      </c>
      <c r="H2556" t="s">
        <v>24</v>
      </c>
      <c r="I2556" t="s">
        <v>217</v>
      </c>
      <c r="J2556">
        <v>8</v>
      </c>
      <c r="N2556">
        <f>Таблица1[[#This Row],[Часов на заказчика  в работе]]+Таблица1[[#This Row],[Часов на заказчика  дежурство]]</f>
        <v>0</v>
      </c>
      <c r="O25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6" s="9">
        <v>135000</v>
      </c>
      <c r="R2556" s="9"/>
      <c r="S2556" s="5">
        <v>1</v>
      </c>
      <c r="T25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табеле]])*S2556,0)</f>
        <v>0</v>
      </c>
      <c r="U2556" s="5">
        <f>IF(Таблица1[[#This Row],[ТТН]]&gt;0,Таблица1[[#This Row],[Ставка за ТТН]]*Таблица1[[#This Row],[ТТН]],0)</f>
        <v>0</v>
      </c>
    </row>
    <row r="2557" spans="1:22" x14ac:dyDescent="0.25">
      <c r="A2557" t="s">
        <v>84</v>
      </c>
      <c r="B2557" s="24">
        <v>23</v>
      </c>
      <c r="C2557" t="s">
        <v>174</v>
      </c>
      <c r="D2557" t="s">
        <v>12</v>
      </c>
      <c r="E2557" t="s">
        <v>214</v>
      </c>
      <c r="F2557" t="s">
        <v>66</v>
      </c>
      <c r="H2557" t="s">
        <v>24</v>
      </c>
      <c r="I2557" t="s">
        <v>217</v>
      </c>
      <c r="J2557">
        <v>8</v>
      </c>
      <c r="N2557">
        <f>Таблица1[[#This Row],[Часов на заказчика  в работе]]+Таблица1[[#This Row],[Часов на заказчика  дежурство]]</f>
        <v>0</v>
      </c>
      <c r="O25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7" s="9">
        <v>135000</v>
      </c>
      <c r="R2557" s="9"/>
      <c r="S2557" s="5">
        <v>1</v>
      </c>
      <c r="T25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табеле]])*S2557,0)</f>
        <v>0</v>
      </c>
      <c r="U2557" s="5">
        <f>IF(Таблица1[[#This Row],[ТТН]]&gt;0,Таблица1[[#This Row],[Ставка за ТТН]]*Таблица1[[#This Row],[ТТН]],0)</f>
        <v>0</v>
      </c>
    </row>
    <row r="2558" spans="1:22" x14ac:dyDescent="0.25">
      <c r="A2558" t="s">
        <v>84</v>
      </c>
      <c r="B2558" s="24">
        <v>24</v>
      </c>
      <c r="C2558" t="s">
        <v>174</v>
      </c>
      <c r="D2558" t="s">
        <v>12</v>
      </c>
      <c r="E2558" t="s">
        <v>214</v>
      </c>
      <c r="F2558" t="s">
        <v>66</v>
      </c>
      <c r="H2558" t="s">
        <v>50</v>
      </c>
      <c r="I2558" t="s">
        <v>217</v>
      </c>
      <c r="J2558">
        <v>11</v>
      </c>
      <c r="N2558">
        <f>Таблица1[[#This Row],[Часов на заказчика  в работе]]+Таблица1[[#This Row],[Часов на заказчика  дежурство]]</f>
        <v>0</v>
      </c>
      <c r="O25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8" s="9">
        <v>135000</v>
      </c>
      <c r="R2558" s="9"/>
      <c r="S2558" s="5">
        <v>1</v>
      </c>
      <c r="T25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табеле]])*S2558,0)</f>
        <v>0</v>
      </c>
      <c r="U2558" s="5">
        <f>IF(Таблица1[[#This Row],[ТТН]]&gt;0,Таблица1[[#This Row],[Ставка за ТТН]]*Таблица1[[#This Row],[ТТН]],0)</f>
        <v>0</v>
      </c>
      <c r="V2558" t="s">
        <v>88</v>
      </c>
    </row>
    <row r="2559" spans="1:22" x14ac:dyDescent="0.25">
      <c r="A2559" t="s">
        <v>84</v>
      </c>
      <c r="B2559" s="24">
        <v>25</v>
      </c>
      <c r="C2559" t="s">
        <v>174</v>
      </c>
      <c r="D2559" t="s">
        <v>12</v>
      </c>
      <c r="E2559" t="s">
        <v>214</v>
      </c>
      <c r="F2559" t="s">
        <v>66</v>
      </c>
      <c r="H2559" t="s">
        <v>10</v>
      </c>
      <c r="I2559" t="s">
        <v>217</v>
      </c>
      <c r="J2559">
        <v>11</v>
      </c>
      <c r="N2559">
        <f>Таблица1[[#This Row],[Часов на заказчика  в работе]]+Таблица1[[#This Row],[Часов на заказчика  дежурство]]</f>
        <v>0</v>
      </c>
      <c r="O25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59" s="9">
        <v>135000</v>
      </c>
      <c r="R2559" s="9"/>
      <c r="S2559" s="5">
        <v>1</v>
      </c>
      <c r="T25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табеле]])*S2559,0)</f>
        <v>4500</v>
      </c>
      <c r="U2559" s="5">
        <f>IF(Таблица1[[#This Row],[ТТН]]&gt;0,Таблица1[[#This Row],[Ставка за ТТН]]*Таблица1[[#This Row],[ТТН]],0)</f>
        <v>0</v>
      </c>
      <c r="V2559" t="s">
        <v>88</v>
      </c>
    </row>
    <row r="2560" spans="1:22" x14ac:dyDescent="0.25">
      <c r="A2560" t="s">
        <v>84</v>
      </c>
      <c r="B2560" s="24">
        <v>26</v>
      </c>
      <c r="C2560" t="s">
        <v>174</v>
      </c>
      <c r="D2560" t="s">
        <v>12</v>
      </c>
      <c r="E2560" t="s">
        <v>214</v>
      </c>
      <c r="F2560" t="s">
        <v>66</v>
      </c>
      <c r="H2560" t="s">
        <v>10</v>
      </c>
      <c r="I2560" t="s">
        <v>217</v>
      </c>
      <c r="J2560">
        <v>11</v>
      </c>
      <c r="N2560">
        <f>Таблица1[[#This Row],[Часов на заказчика  в работе]]+Таблица1[[#This Row],[Часов на заказчика  дежурство]]</f>
        <v>0</v>
      </c>
      <c r="O25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0" s="9">
        <v>135000</v>
      </c>
      <c r="R2560" s="9"/>
      <c r="S2560" s="5">
        <v>1</v>
      </c>
      <c r="T25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табеле]])*S2560,0)</f>
        <v>4500</v>
      </c>
      <c r="U2560" s="5">
        <f>IF(Таблица1[[#This Row],[ТТН]]&gt;0,Таблица1[[#This Row],[Ставка за ТТН]]*Таблица1[[#This Row],[ТТН]],0)</f>
        <v>0</v>
      </c>
      <c r="V2560" t="s">
        <v>88</v>
      </c>
    </row>
    <row r="2561" spans="1:22" x14ac:dyDescent="0.25">
      <c r="A2561" t="s">
        <v>84</v>
      </c>
      <c r="B2561" s="24">
        <v>27</v>
      </c>
      <c r="C2561" t="s">
        <v>174</v>
      </c>
      <c r="D2561" t="s">
        <v>12</v>
      </c>
      <c r="E2561" t="s">
        <v>214</v>
      </c>
      <c r="F2561" t="s">
        <v>66</v>
      </c>
      <c r="H2561" t="s">
        <v>10</v>
      </c>
      <c r="I2561" t="s">
        <v>217</v>
      </c>
      <c r="J2561">
        <v>11</v>
      </c>
      <c r="N2561">
        <f>Таблица1[[#This Row],[Часов на заказчика  в работе]]+Таблица1[[#This Row],[Часов на заказчика  дежурство]]</f>
        <v>0</v>
      </c>
      <c r="O25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1" s="9">
        <v>135000</v>
      </c>
      <c r="R2561" s="9"/>
      <c r="S2561" s="5">
        <v>1</v>
      </c>
      <c r="T25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табеле]])*S2561,0)</f>
        <v>4500</v>
      </c>
      <c r="U2561" s="5">
        <f>IF(Таблица1[[#This Row],[ТТН]]&gt;0,Таблица1[[#This Row],[Ставка за ТТН]]*Таблица1[[#This Row],[ТТН]],0)</f>
        <v>0</v>
      </c>
      <c r="V2561" t="s">
        <v>88</v>
      </c>
    </row>
    <row r="2562" spans="1:22" x14ac:dyDescent="0.25">
      <c r="A2562" t="s">
        <v>84</v>
      </c>
      <c r="B2562" s="24">
        <v>28</v>
      </c>
      <c r="C2562" t="s">
        <v>174</v>
      </c>
      <c r="D2562" t="s">
        <v>12</v>
      </c>
      <c r="E2562" t="s">
        <v>214</v>
      </c>
      <c r="F2562" t="s">
        <v>66</v>
      </c>
      <c r="H2562" t="s">
        <v>10</v>
      </c>
      <c r="I2562" t="s">
        <v>217</v>
      </c>
      <c r="J2562">
        <v>11</v>
      </c>
      <c r="N2562">
        <f>Таблица1[[#This Row],[Часов на заказчика  в работе]]+Таблица1[[#This Row],[Часов на заказчика  дежурство]]</f>
        <v>0</v>
      </c>
      <c r="O25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2" s="9">
        <v>135000</v>
      </c>
      <c r="R2562" s="9"/>
      <c r="S2562" s="5">
        <v>1</v>
      </c>
      <c r="T25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табеле]])*S2562,0)</f>
        <v>4500</v>
      </c>
      <c r="U2562" s="5">
        <f>IF(Таблица1[[#This Row],[ТТН]]&gt;0,Таблица1[[#This Row],[Ставка за ТТН]]*Таблица1[[#This Row],[ТТН]],0)</f>
        <v>0</v>
      </c>
      <c r="V2562" t="s">
        <v>88</v>
      </c>
    </row>
    <row r="2563" spans="1:22" x14ac:dyDescent="0.25">
      <c r="A2563" t="s">
        <v>84</v>
      </c>
      <c r="B2563" s="24">
        <v>29</v>
      </c>
      <c r="C2563" t="s">
        <v>174</v>
      </c>
      <c r="D2563" t="s">
        <v>12</v>
      </c>
      <c r="E2563" t="s">
        <v>214</v>
      </c>
      <c r="F2563" t="s">
        <v>66</v>
      </c>
      <c r="H2563" t="s">
        <v>10</v>
      </c>
      <c r="I2563" t="s">
        <v>217</v>
      </c>
      <c r="J2563">
        <v>11</v>
      </c>
      <c r="N2563">
        <f>Таблица1[[#This Row],[Часов на заказчика  в работе]]+Таблица1[[#This Row],[Часов на заказчика  дежурство]]</f>
        <v>0</v>
      </c>
      <c r="O25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3" s="9">
        <v>135000</v>
      </c>
      <c r="R2563" s="9"/>
      <c r="S2563" s="5">
        <v>1</v>
      </c>
      <c r="T25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табеле]])*S2563,0)</f>
        <v>4500</v>
      </c>
      <c r="U2563" s="5">
        <f>IF(Таблица1[[#This Row],[ТТН]]&gt;0,Таблица1[[#This Row],[Ставка за ТТН]]*Таблица1[[#This Row],[ТТН]],0)</f>
        <v>0</v>
      </c>
      <c r="V2563" t="s">
        <v>88</v>
      </c>
    </row>
    <row r="2564" spans="1:22" x14ac:dyDescent="0.25">
      <c r="A2564" t="s">
        <v>84</v>
      </c>
      <c r="B2564" s="24">
        <v>30</v>
      </c>
      <c r="C2564" t="s">
        <v>175</v>
      </c>
      <c r="D2564" t="s">
        <v>12</v>
      </c>
      <c r="E2564" t="s">
        <v>214</v>
      </c>
      <c r="F2564" t="s">
        <v>66</v>
      </c>
      <c r="H2564" t="s">
        <v>10</v>
      </c>
      <c r="I2564" t="s">
        <v>217</v>
      </c>
      <c r="J2564">
        <v>11</v>
      </c>
      <c r="N2564">
        <f>Таблица1[[#This Row],[Часов на заказчика  в работе]]+Таблица1[[#This Row],[Часов на заказчика  дежурство]]</f>
        <v>0</v>
      </c>
      <c r="O25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4" s="9">
        <v>135000</v>
      </c>
      <c r="R2564" s="9"/>
      <c r="S2564" s="5">
        <v>1</v>
      </c>
      <c r="T25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табеле]])*S2564,0)</f>
        <v>4500</v>
      </c>
      <c r="U2564" s="5">
        <f>IF(Таблица1[[#This Row],[ТТН]]&gt;0,Таблица1[[#This Row],[Ставка за ТТН]]*Таблица1[[#This Row],[ТТН]],0)</f>
        <v>0</v>
      </c>
      <c r="V2564" t="s">
        <v>88</v>
      </c>
    </row>
    <row r="2565" spans="1:22" x14ac:dyDescent="0.25">
      <c r="A2565" t="s">
        <v>84</v>
      </c>
      <c r="B2565" s="24">
        <v>1</v>
      </c>
      <c r="C2565" t="s">
        <v>175</v>
      </c>
      <c r="D2565" t="s">
        <v>28</v>
      </c>
      <c r="E2565" t="s">
        <v>216</v>
      </c>
      <c r="F2565" t="s">
        <v>28</v>
      </c>
      <c r="H2565" t="s">
        <v>10</v>
      </c>
      <c r="I2565" t="s">
        <v>219</v>
      </c>
      <c r="J2565">
        <v>11</v>
      </c>
      <c r="N2565">
        <f>Таблица1[[#This Row],[Часов на заказчика  в работе]]+Таблица1[[#This Row],[Часов на заказчика  дежурство]]</f>
        <v>0</v>
      </c>
      <c r="O25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5" s="9">
        <v>88000</v>
      </c>
      <c r="R2565" s="9"/>
      <c r="S2565" s="5">
        <v>1</v>
      </c>
      <c r="T25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табеле]])*S2565,0)</f>
        <v>2933.3333333333335</v>
      </c>
      <c r="U2565" s="5">
        <f>IF(Таблица1[[#This Row],[ТТН]]&gt;0,Таблица1[[#This Row],[Ставка за ТТН]]*Таблица1[[#This Row],[ТТН]],0)</f>
        <v>0</v>
      </c>
    </row>
    <row r="2566" spans="1:22" x14ac:dyDescent="0.25">
      <c r="A2566" t="s">
        <v>84</v>
      </c>
      <c r="B2566" s="24">
        <v>2</v>
      </c>
      <c r="C2566" t="s">
        <v>175</v>
      </c>
      <c r="D2566" t="s">
        <v>28</v>
      </c>
      <c r="E2566" t="s">
        <v>216</v>
      </c>
      <c r="F2566" t="s">
        <v>28</v>
      </c>
      <c r="H2566" t="s">
        <v>10</v>
      </c>
      <c r="I2566" t="s">
        <v>219</v>
      </c>
      <c r="J2566">
        <v>11</v>
      </c>
      <c r="N2566">
        <f>Таблица1[[#This Row],[Часов на заказчика  в работе]]+Таблица1[[#This Row],[Часов на заказчика  дежурство]]</f>
        <v>0</v>
      </c>
      <c r="O25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6" s="9">
        <v>88000</v>
      </c>
      <c r="R2566" s="9"/>
      <c r="S2566" s="5">
        <v>1</v>
      </c>
      <c r="T25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табеле]])*S2566,0)</f>
        <v>2933.3333333333335</v>
      </c>
      <c r="U2566" s="5">
        <f>IF(Таблица1[[#This Row],[ТТН]]&gt;0,Таблица1[[#This Row],[Ставка за ТТН]]*Таблица1[[#This Row],[ТТН]],0)</f>
        <v>0</v>
      </c>
    </row>
    <row r="2567" spans="1:22" x14ac:dyDescent="0.25">
      <c r="A2567" t="s">
        <v>84</v>
      </c>
      <c r="B2567" s="24">
        <v>3</v>
      </c>
      <c r="C2567" t="s">
        <v>175</v>
      </c>
      <c r="D2567" t="s">
        <v>28</v>
      </c>
      <c r="E2567" t="s">
        <v>216</v>
      </c>
      <c r="F2567" t="s">
        <v>28</v>
      </c>
      <c r="H2567" t="s">
        <v>10</v>
      </c>
      <c r="I2567" t="s">
        <v>219</v>
      </c>
      <c r="J2567">
        <v>11</v>
      </c>
      <c r="N2567">
        <f>Таблица1[[#This Row],[Часов на заказчика  в работе]]+Таблица1[[#This Row],[Часов на заказчика  дежурство]]</f>
        <v>0</v>
      </c>
      <c r="O25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7" s="9">
        <v>88000</v>
      </c>
      <c r="R2567" s="9"/>
      <c r="S2567" s="5">
        <v>1</v>
      </c>
      <c r="T25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табеле]])*S2567,0)</f>
        <v>2933.3333333333335</v>
      </c>
      <c r="U2567" s="5">
        <f>IF(Таблица1[[#This Row],[ТТН]]&gt;0,Таблица1[[#This Row],[Ставка за ТТН]]*Таблица1[[#This Row],[ТТН]],0)</f>
        <v>0</v>
      </c>
    </row>
    <row r="2568" spans="1:22" x14ac:dyDescent="0.25">
      <c r="A2568" t="s">
        <v>84</v>
      </c>
      <c r="B2568" s="24">
        <v>4</v>
      </c>
      <c r="C2568" t="s">
        <v>175</v>
      </c>
      <c r="D2568" t="s">
        <v>28</v>
      </c>
      <c r="E2568" t="s">
        <v>216</v>
      </c>
      <c r="F2568" t="s">
        <v>28</v>
      </c>
      <c r="H2568" t="s">
        <v>10</v>
      </c>
      <c r="I2568" t="s">
        <v>219</v>
      </c>
      <c r="J2568">
        <v>11</v>
      </c>
      <c r="N2568">
        <f>Таблица1[[#This Row],[Часов на заказчика  в работе]]+Таблица1[[#This Row],[Часов на заказчика  дежурство]]</f>
        <v>0</v>
      </c>
      <c r="O25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8" s="9">
        <v>88000</v>
      </c>
      <c r="R2568" s="9"/>
      <c r="S2568" s="5">
        <v>1</v>
      </c>
      <c r="T25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табеле]])*S2568,0)</f>
        <v>2933.3333333333335</v>
      </c>
      <c r="U2568" s="5">
        <f>IF(Таблица1[[#This Row],[ТТН]]&gt;0,Таблица1[[#This Row],[Ставка за ТТН]]*Таблица1[[#This Row],[ТТН]],0)</f>
        <v>0</v>
      </c>
    </row>
    <row r="2569" spans="1:22" x14ac:dyDescent="0.25">
      <c r="A2569" t="s">
        <v>84</v>
      </c>
      <c r="B2569" s="24">
        <v>5</v>
      </c>
      <c r="C2569" t="s">
        <v>175</v>
      </c>
      <c r="D2569" t="s">
        <v>28</v>
      </c>
      <c r="E2569" t="s">
        <v>216</v>
      </c>
      <c r="F2569" t="s">
        <v>28</v>
      </c>
      <c r="H2569" t="s">
        <v>10</v>
      </c>
      <c r="I2569" t="s">
        <v>219</v>
      </c>
      <c r="J2569">
        <v>11</v>
      </c>
      <c r="N2569">
        <f>Таблица1[[#This Row],[Часов на заказчика  в работе]]+Таблица1[[#This Row],[Часов на заказчика  дежурство]]</f>
        <v>0</v>
      </c>
      <c r="O25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69" s="9">
        <v>88000</v>
      </c>
      <c r="R2569" s="9"/>
      <c r="S2569" s="5">
        <v>1</v>
      </c>
      <c r="T25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табеле]])*S2569,0)</f>
        <v>2933.3333333333335</v>
      </c>
      <c r="U2569" s="5">
        <f>IF(Таблица1[[#This Row],[ТТН]]&gt;0,Таблица1[[#This Row],[Ставка за ТТН]]*Таблица1[[#This Row],[ТТН]],0)</f>
        <v>0</v>
      </c>
    </row>
    <row r="2570" spans="1:22" x14ac:dyDescent="0.25">
      <c r="A2570" t="s">
        <v>84</v>
      </c>
      <c r="B2570" s="24">
        <v>6</v>
      </c>
      <c r="C2570" t="s">
        <v>175</v>
      </c>
      <c r="D2570" t="s">
        <v>28</v>
      </c>
      <c r="E2570" t="s">
        <v>216</v>
      </c>
      <c r="F2570" t="s">
        <v>28</v>
      </c>
      <c r="H2570" t="s">
        <v>10</v>
      </c>
      <c r="I2570" t="s">
        <v>219</v>
      </c>
      <c r="J2570">
        <v>11</v>
      </c>
      <c r="N2570">
        <f>Таблица1[[#This Row],[Часов на заказчика  в работе]]+Таблица1[[#This Row],[Часов на заказчика  дежурство]]</f>
        <v>0</v>
      </c>
      <c r="O25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0" s="9">
        <v>88000</v>
      </c>
      <c r="R2570" s="9"/>
      <c r="S2570" s="5">
        <v>1</v>
      </c>
      <c r="T25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табеле]])*S2570,0)</f>
        <v>2933.3333333333335</v>
      </c>
      <c r="U2570" s="5">
        <f>IF(Таблица1[[#This Row],[ТТН]]&gt;0,Таблица1[[#This Row],[Ставка за ТТН]]*Таблица1[[#This Row],[ТТН]],0)</f>
        <v>0</v>
      </c>
    </row>
    <row r="2571" spans="1:22" x14ac:dyDescent="0.25">
      <c r="A2571" t="s">
        <v>84</v>
      </c>
      <c r="B2571" s="24">
        <v>7</v>
      </c>
      <c r="C2571" t="s">
        <v>175</v>
      </c>
      <c r="D2571" t="s">
        <v>28</v>
      </c>
      <c r="E2571" t="s">
        <v>216</v>
      </c>
      <c r="F2571" t="s">
        <v>28</v>
      </c>
      <c r="H2571" t="s">
        <v>10</v>
      </c>
      <c r="I2571" t="s">
        <v>219</v>
      </c>
      <c r="J2571">
        <v>11</v>
      </c>
      <c r="N2571">
        <f>Таблица1[[#This Row],[Часов на заказчика  в работе]]+Таблица1[[#This Row],[Часов на заказчика  дежурство]]</f>
        <v>0</v>
      </c>
      <c r="O25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1" s="9">
        <v>88000</v>
      </c>
      <c r="R2571" s="9"/>
      <c r="S2571" s="5">
        <v>1</v>
      </c>
      <c r="T25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табеле]])*S2571,0)</f>
        <v>2933.3333333333335</v>
      </c>
      <c r="U2571" s="5">
        <f>IF(Таблица1[[#This Row],[ТТН]]&gt;0,Таблица1[[#This Row],[Ставка за ТТН]]*Таблица1[[#This Row],[ТТН]],0)</f>
        <v>0</v>
      </c>
    </row>
    <row r="2572" spans="1:22" x14ac:dyDescent="0.25">
      <c r="A2572" t="s">
        <v>84</v>
      </c>
      <c r="B2572" s="24">
        <v>8</v>
      </c>
      <c r="C2572" t="s">
        <v>175</v>
      </c>
      <c r="D2572" t="s">
        <v>28</v>
      </c>
      <c r="E2572" t="s">
        <v>216</v>
      </c>
      <c r="F2572" t="s">
        <v>28</v>
      </c>
      <c r="H2572" t="s">
        <v>10</v>
      </c>
      <c r="I2572" t="s">
        <v>219</v>
      </c>
      <c r="J2572">
        <v>11</v>
      </c>
      <c r="N2572">
        <f>Таблица1[[#This Row],[Часов на заказчика  в работе]]+Таблица1[[#This Row],[Часов на заказчика  дежурство]]</f>
        <v>0</v>
      </c>
      <c r="O25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2" s="9">
        <v>88000</v>
      </c>
      <c r="R2572" s="9"/>
      <c r="S2572" s="5">
        <v>1</v>
      </c>
      <c r="T25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табеле]])*S2572,0)</f>
        <v>2933.3333333333335</v>
      </c>
      <c r="U2572" s="5">
        <f>IF(Таблица1[[#This Row],[ТТН]]&gt;0,Таблица1[[#This Row],[Ставка за ТТН]]*Таблица1[[#This Row],[ТТН]],0)</f>
        <v>0</v>
      </c>
    </row>
    <row r="2573" spans="1:22" x14ac:dyDescent="0.25">
      <c r="A2573" t="s">
        <v>84</v>
      </c>
      <c r="B2573" s="24">
        <v>9</v>
      </c>
      <c r="C2573" t="s">
        <v>175</v>
      </c>
      <c r="D2573" t="s">
        <v>28</v>
      </c>
      <c r="E2573" t="s">
        <v>216</v>
      </c>
      <c r="F2573" t="s">
        <v>28</v>
      </c>
      <c r="H2573" t="s">
        <v>10</v>
      </c>
      <c r="I2573" t="s">
        <v>219</v>
      </c>
      <c r="J2573">
        <v>11</v>
      </c>
      <c r="N2573">
        <f>Таблица1[[#This Row],[Часов на заказчика  в работе]]+Таблица1[[#This Row],[Часов на заказчика  дежурство]]</f>
        <v>0</v>
      </c>
      <c r="O25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3" s="9">
        <v>88000</v>
      </c>
      <c r="R2573" s="9"/>
      <c r="S2573" s="5">
        <v>1</v>
      </c>
      <c r="T25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табеле]])*S2573,0)</f>
        <v>2933.3333333333335</v>
      </c>
      <c r="U2573" s="5">
        <f>IF(Таблица1[[#This Row],[ТТН]]&gt;0,Таблица1[[#This Row],[Ставка за ТТН]]*Таблица1[[#This Row],[ТТН]],0)</f>
        <v>0</v>
      </c>
    </row>
    <row r="2574" spans="1:22" x14ac:dyDescent="0.25">
      <c r="A2574" t="s">
        <v>84</v>
      </c>
      <c r="B2574" s="24">
        <v>10</v>
      </c>
      <c r="C2574" t="s">
        <v>175</v>
      </c>
      <c r="D2574" t="s">
        <v>28</v>
      </c>
      <c r="E2574" t="s">
        <v>216</v>
      </c>
      <c r="F2574" t="s">
        <v>28</v>
      </c>
      <c r="H2574" t="s">
        <v>10</v>
      </c>
      <c r="I2574" t="s">
        <v>219</v>
      </c>
      <c r="J2574">
        <v>11</v>
      </c>
      <c r="N2574">
        <f>Таблица1[[#This Row],[Часов на заказчика  в работе]]+Таблица1[[#This Row],[Часов на заказчика  дежурство]]</f>
        <v>0</v>
      </c>
      <c r="O25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4" s="9">
        <v>88000</v>
      </c>
      <c r="R2574" s="9"/>
      <c r="S2574" s="5">
        <v>1</v>
      </c>
      <c r="T25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табеле]])*S2574,0)</f>
        <v>2933.3333333333335</v>
      </c>
      <c r="U2574" s="5">
        <f>IF(Таблица1[[#This Row],[ТТН]]&gt;0,Таблица1[[#This Row],[Ставка за ТТН]]*Таблица1[[#This Row],[ТТН]],0)</f>
        <v>0</v>
      </c>
    </row>
    <row r="2575" spans="1:22" x14ac:dyDescent="0.25">
      <c r="A2575" t="s">
        <v>84</v>
      </c>
      <c r="B2575" s="24">
        <v>11</v>
      </c>
      <c r="C2575" t="s">
        <v>175</v>
      </c>
      <c r="D2575" t="s">
        <v>28</v>
      </c>
      <c r="E2575" t="s">
        <v>216</v>
      </c>
      <c r="F2575" t="s">
        <v>28</v>
      </c>
      <c r="H2575" t="s">
        <v>10</v>
      </c>
      <c r="I2575" t="s">
        <v>219</v>
      </c>
      <c r="J2575">
        <v>11</v>
      </c>
      <c r="N2575">
        <f>Таблица1[[#This Row],[Часов на заказчика  в работе]]+Таблица1[[#This Row],[Часов на заказчика  дежурство]]</f>
        <v>0</v>
      </c>
      <c r="O25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5" s="9">
        <v>88000</v>
      </c>
      <c r="R2575" s="9"/>
      <c r="S2575" s="5">
        <v>1</v>
      </c>
      <c r="T25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табеле]])*S2575,0)</f>
        <v>2933.3333333333335</v>
      </c>
      <c r="U2575" s="5">
        <f>IF(Таблица1[[#This Row],[ТТН]]&gt;0,Таблица1[[#This Row],[Ставка за ТТН]]*Таблица1[[#This Row],[ТТН]],0)</f>
        <v>0</v>
      </c>
    </row>
    <row r="2576" spans="1:22" x14ac:dyDescent="0.25">
      <c r="A2576" t="s">
        <v>84</v>
      </c>
      <c r="B2576" s="24">
        <v>12</v>
      </c>
      <c r="C2576" t="s">
        <v>175</v>
      </c>
      <c r="D2576" t="s">
        <v>28</v>
      </c>
      <c r="E2576" t="s">
        <v>216</v>
      </c>
      <c r="F2576" t="s">
        <v>28</v>
      </c>
      <c r="H2576" t="s">
        <v>10</v>
      </c>
      <c r="I2576" t="s">
        <v>219</v>
      </c>
      <c r="J2576">
        <v>11</v>
      </c>
      <c r="N2576">
        <f>Таблица1[[#This Row],[Часов на заказчика  в работе]]+Таблица1[[#This Row],[Часов на заказчика  дежурство]]</f>
        <v>0</v>
      </c>
      <c r="O25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6" s="9">
        <v>88000</v>
      </c>
      <c r="R2576" s="9"/>
      <c r="S2576" s="5">
        <v>1</v>
      </c>
      <c r="T25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табеле]])*S2576,0)</f>
        <v>2933.3333333333335</v>
      </c>
      <c r="U2576" s="5">
        <f>IF(Таблица1[[#This Row],[ТТН]]&gt;0,Таблица1[[#This Row],[Ставка за ТТН]]*Таблица1[[#This Row],[ТТН]],0)</f>
        <v>0</v>
      </c>
    </row>
    <row r="2577" spans="1:21" x14ac:dyDescent="0.25">
      <c r="A2577" t="s">
        <v>84</v>
      </c>
      <c r="B2577" s="24">
        <v>13</v>
      </c>
      <c r="C2577" t="s">
        <v>175</v>
      </c>
      <c r="D2577" t="s">
        <v>28</v>
      </c>
      <c r="E2577" t="s">
        <v>216</v>
      </c>
      <c r="F2577" t="s">
        <v>28</v>
      </c>
      <c r="H2577" t="s">
        <v>10</v>
      </c>
      <c r="I2577" t="s">
        <v>219</v>
      </c>
      <c r="J2577">
        <v>11</v>
      </c>
      <c r="N2577">
        <f>Таблица1[[#This Row],[Часов на заказчика  в работе]]+Таблица1[[#This Row],[Часов на заказчика  дежурство]]</f>
        <v>0</v>
      </c>
      <c r="O25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7" s="9">
        <v>88000</v>
      </c>
      <c r="R2577" s="9"/>
      <c r="S2577" s="5">
        <v>1</v>
      </c>
      <c r="T25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табеле]])*S2577,0)</f>
        <v>2933.3333333333335</v>
      </c>
      <c r="U2577" s="5">
        <f>IF(Таблица1[[#This Row],[ТТН]]&gt;0,Таблица1[[#This Row],[Ставка за ТТН]]*Таблица1[[#This Row],[ТТН]],0)</f>
        <v>0</v>
      </c>
    </row>
    <row r="2578" spans="1:21" x14ac:dyDescent="0.25">
      <c r="A2578" t="s">
        <v>84</v>
      </c>
      <c r="B2578" s="24">
        <v>14</v>
      </c>
      <c r="C2578" t="s">
        <v>175</v>
      </c>
      <c r="D2578" t="s">
        <v>28</v>
      </c>
      <c r="E2578" t="s">
        <v>216</v>
      </c>
      <c r="F2578" t="s">
        <v>28</v>
      </c>
      <c r="H2578" t="s">
        <v>10</v>
      </c>
      <c r="I2578" t="s">
        <v>219</v>
      </c>
      <c r="J2578">
        <v>11</v>
      </c>
      <c r="N2578">
        <f>Таблица1[[#This Row],[Часов на заказчика  в работе]]+Таблица1[[#This Row],[Часов на заказчика  дежурство]]</f>
        <v>0</v>
      </c>
      <c r="O25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8" s="9">
        <v>88000</v>
      </c>
      <c r="R2578" s="9"/>
      <c r="S2578" s="5">
        <v>1</v>
      </c>
      <c r="T25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табеле]])*S2578,0)</f>
        <v>2933.3333333333335</v>
      </c>
      <c r="U2578" s="5">
        <f>IF(Таблица1[[#This Row],[ТТН]]&gt;0,Таблица1[[#This Row],[Ставка за ТТН]]*Таблица1[[#This Row],[ТТН]],0)</f>
        <v>0</v>
      </c>
    </row>
    <row r="2579" spans="1:21" x14ac:dyDescent="0.25">
      <c r="A2579" t="s">
        <v>84</v>
      </c>
      <c r="B2579" s="24">
        <v>15</v>
      </c>
      <c r="C2579" t="s">
        <v>175</v>
      </c>
      <c r="D2579" t="s">
        <v>28</v>
      </c>
      <c r="E2579" t="s">
        <v>216</v>
      </c>
      <c r="F2579" t="s">
        <v>28</v>
      </c>
      <c r="H2579" t="s">
        <v>10</v>
      </c>
      <c r="I2579" t="s">
        <v>219</v>
      </c>
      <c r="J2579">
        <v>11</v>
      </c>
      <c r="N2579">
        <f>Таблица1[[#This Row],[Часов на заказчика  в работе]]+Таблица1[[#This Row],[Часов на заказчика  дежурство]]</f>
        <v>0</v>
      </c>
      <c r="O25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79" s="9">
        <v>88000</v>
      </c>
      <c r="R2579" s="9"/>
      <c r="S2579" s="5">
        <v>1</v>
      </c>
      <c r="T25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табеле]])*S2579,0)</f>
        <v>2933.3333333333335</v>
      </c>
      <c r="U2579" s="5">
        <f>IF(Таблица1[[#This Row],[ТТН]]&gt;0,Таблица1[[#This Row],[Ставка за ТТН]]*Таблица1[[#This Row],[ТТН]],0)</f>
        <v>0</v>
      </c>
    </row>
    <row r="2580" spans="1:21" x14ac:dyDescent="0.25">
      <c r="A2580" t="s">
        <v>84</v>
      </c>
      <c r="B2580" s="24">
        <v>16</v>
      </c>
      <c r="C2580" t="s">
        <v>175</v>
      </c>
      <c r="D2580" t="s">
        <v>28</v>
      </c>
      <c r="E2580" t="s">
        <v>216</v>
      </c>
      <c r="F2580" t="s">
        <v>28</v>
      </c>
      <c r="H2580" t="s">
        <v>10</v>
      </c>
      <c r="I2580" t="s">
        <v>219</v>
      </c>
      <c r="J2580">
        <v>11</v>
      </c>
      <c r="N2580">
        <f>Таблица1[[#This Row],[Часов на заказчика  в работе]]+Таблица1[[#This Row],[Часов на заказчика  дежурство]]</f>
        <v>0</v>
      </c>
      <c r="O25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0" s="9">
        <v>88000</v>
      </c>
      <c r="R2580" s="9"/>
      <c r="S2580" s="5">
        <v>1</v>
      </c>
      <c r="T25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табеле]])*S2580,0)</f>
        <v>2933.3333333333335</v>
      </c>
      <c r="U2580" s="5">
        <f>IF(Таблица1[[#This Row],[ТТН]]&gt;0,Таблица1[[#This Row],[Ставка за ТТН]]*Таблица1[[#This Row],[ТТН]],0)</f>
        <v>0</v>
      </c>
    </row>
    <row r="2581" spans="1:21" x14ac:dyDescent="0.25">
      <c r="A2581" t="s">
        <v>84</v>
      </c>
      <c r="B2581" s="24">
        <v>17</v>
      </c>
      <c r="C2581" t="s">
        <v>175</v>
      </c>
      <c r="D2581" t="s">
        <v>28</v>
      </c>
      <c r="E2581" t="s">
        <v>216</v>
      </c>
      <c r="F2581" t="s">
        <v>28</v>
      </c>
      <c r="H2581" t="s">
        <v>10</v>
      </c>
      <c r="I2581" t="s">
        <v>219</v>
      </c>
      <c r="J2581">
        <v>11</v>
      </c>
      <c r="N2581">
        <f>Таблица1[[#This Row],[Часов на заказчика  в работе]]+Таблица1[[#This Row],[Часов на заказчика  дежурство]]</f>
        <v>0</v>
      </c>
      <c r="O25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1" s="9">
        <v>88000</v>
      </c>
      <c r="R2581" s="9"/>
      <c r="S2581" s="5">
        <v>1</v>
      </c>
      <c r="T25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табеле]])*S2581,0)</f>
        <v>2933.3333333333335</v>
      </c>
      <c r="U2581" s="5">
        <f>IF(Таблица1[[#This Row],[ТТН]]&gt;0,Таблица1[[#This Row],[Ставка за ТТН]]*Таблица1[[#This Row],[ТТН]],0)</f>
        <v>0</v>
      </c>
    </row>
    <row r="2582" spans="1:21" x14ac:dyDescent="0.25">
      <c r="A2582" t="s">
        <v>84</v>
      </c>
      <c r="B2582" s="24">
        <v>18</v>
      </c>
      <c r="C2582" t="s">
        <v>175</v>
      </c>
      <c r="D2582" t="s">
        <v>28</v>
      </c>
      <c r="E2582" t="s">
        <v>216</v>
      </c>
      <c r="F2582" t="s">
        <v>28</v>
      </c>
      <c r="H2582" t="s">
        <v>10</v>
      </c>
      <c r="I2582" t="s">
        <v>219</v>
      </c>
      <c r="J2582">
        <v>11</v>
      </c>
      <c r="N2582">
        <f>Таблица1[[#This Row],[Часов на заказчика  в работе]]+Таблица1[[#This Row],[Часов на заказчика  дежурство]]</f>
        <v>0</v>
      </c>
      <c r="O25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2" s="9">
        <v>88000</v>
      </c>
      <c r="R2582" s="9"/>
      <c r="S2582" s="5">
        <v>1</v>
      </c>
      <c r="T25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табеле]])*S2582,0)</f>
        <v>2933.3333333333335</v>
      </c>
      <c r="U2582" s="5">
        <f>IF(Таблица1[[#This Row],[ТТН]]&gt;0,Таблица1[[#This Row],[Ставка за ТТН]]*Таблица1[[#This Row],[ТТН]],0)</f>
        <v>0</v>
      </c>
    </row>
    <row r="2583" spans="1:21" x14ac:dyDescent="0.25">
      <c r="A2583" t="s">
        <v>84</v>
      </c>
      <c r="B2583" s="24">
        <v>19</v>
      </c>
      <c r="C2583" t="s">
        <v>175</v>
      </c>
      <c r="D2583" t="s">
        <v>28</v>
      </c>
      <c r="E2583" t="s">
        <v>216</v>
      </c>
      <c r="F2583" t="s">
        <v>28</v>
      </c>
      <c r="H2583" t="s">
        <v>10</v>
      </c>
      <c r="I2583" t="s">
        <v>219</v>
      </c>
      <c r="J2583">
        <v>11</v>
      </c>
      <c r="N2583">
        <f>Таблица1[[#This Row],[Часов на заказчика  в работе]]+Таблица1[[#This Row],[Часов на заказчика  дежурство]]</f>
        <v>0</v>
      </c>
      <c r="O25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3" s="9">
        <v>88000</v>
      </c>
      <c r="R2583" s="9"/>
      <c r="S2583" s="5">
        <v>1</v>
      </c>
      <c r="T25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табеле]])*S2583,0)</f>
        <v>2933.3333333333335</v>
      </c>
      <c r="U2583" s="5">
        <f>IF(Таблица1[[#This Row],[ТТН]]&gt;0,Таблица1[[#This Row],[Ставка за ТТН]]*Таблица1[[#This Row],[ТТН]],0)</f>
        <v>0</v>
      </c>
    </row>
    <row r="2584" spans="1:21" x14ac:dyDescent="0.25">
      <c r="A2584" t="s">
        <v>84</v>
      </c>
      <c r="B2584" s="24">
        <v>20</v>
      </c>
      <c r="C2584" t="s">
        <v>175</v>
      </c>
      <c r="D2584" t="s">
        <v>28</v>
      </c>
      <c r="E2584" t="s">
        <v>216</v>
      </c>
      <c r="F2584" t="s">
        <v>28</v>
      </c>
      <c r="H2584" t="s">
        <v>10</v>
      </c>
      <c r="I2584" t="s">
        <v>219</v>
      </c>
      <c r="J2584">
        <v>11</v>
      </c>
      <c r="N2584">
        <f>Таблица1[[#This Row],[Часов на заказчика  в работе]]+Таблица1[[#This Row],[Часов на заказчика  дежурство]]</f>
        <v>0</v>
      </c>
      <c r="O25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4" s="9">
        <v>88000</v>
      </c>
      <c r="R2584" s="9"/>
      <c r="S2584" s="5">
        <v>1</v>
      </c>
      <c r="T25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табеле]])*S2584,0)</f>
        <v>2933.3333333333335</v>
      </c>
      <c r="U2584" s="5">
        <f>IF(Таблица1[[#This Row],[ТТН]]&gt;0,Таблица1[[#This Row],[Ставка за ТТН]]*Таблица1[[#This Row],[ТТН]],0)</f>
        <v>0</v>
      </c>
    </row>
    <row r="2585" spans="1:21" x14ac:dyDescent="0.25">
      <c r="A2585" t="s">
        <v>84</v>
      </c>
      <c r="B2585" s="24">
        <v>21</v>
      </c>
      <c r="C2585" t="s">
        <v>175</v>
      </c>
      <c r="D2585" t="s">
        <v>28</v>
      </c>
      <c r="E2585" t="s">
        <v>216</v>
      </c>
      <c r="F2585" t="s">
        <v>28</v>
      </c>
      <c r="H2585" t="s">
        <v>10</v>
      </c>
      <c r="I2585" t="s">
        <v>219</v>
      </c>
      <c r="J2585">
        <v>11</v>
      </c>
      <c r="N2585">
        <f>Таблица1[[#This Row],[Часов на заказчика  в работе]]+Таблица1[[#This Row],[Часов на заказчика  дежурство]]</f>
        <v>0</v>
      </c>
      <c r="O25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5" s="9">
        <v>88000</v>
      </c>
      <c r="R2585" s="9"/>
      <c r="S2585" s="5">
        <v>1</v>
      </c>
      <c r="T25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табеле]])*S2585,0)</f>
        <v>2933.3333333333335</v>
      </c>
      <c r="U2585" s="5">
        <f>IF(Таблица1[[#This Row],[ТТН]]&gt;0,Таблица1[[#This Row],[Ставка за ТТН]]*Таблица1[[#This Row],[ТТН]],0)</f>
        <v>0</v>
      </c>
    </row>
    <row r="2586" spans="1:21" x14ac:dyDescent="0.25">
      <c r="A2586" t="s">
        <v>84</v>
      </c>
      <c r="B2586" s="24">
        <v>22</v>
      </c>
      <c r="C2586" t="s">
        <v>175</v>
      </c>
      <c r="D2586" t="s">
        <v>28</v>
      </c>
      <c r="E2586" t="s">
        <v>216</v>
      </c>
      <c r="F2586" t="s">
        <v>28</v>
      </c>
      <c r="H2586" t="s">
        <v>10</v>
      </c>
      <c r="I2586" t="s">
        <v>219</v>
      </c>
      <c r="J2586">
        <v>11</v>
      </c>
      <c r="N2586">
        <f>Таблица1[[#This Row],[Часов на заказчика  в работе]]+Таблица1[[#This Row],[Часов на заказчика  дежурство]]</f>
        <v>0</v>
      </c>
      <c r="O25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6" s="9">
        <v>88000</v>
      </c>
      <c r="R2586" s="9"/>
      <c r="S2586" s="5">
        <v>1</v>
      </c>
      <c r="T25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табеле]])*S2586,0)</f>
        <v>2933.3333333333335</v>
      </c>
      <c r="U2586" s="5">
        <f>IF(Таблица1[[#This Row],[ТТН]]&gt;0,Таблица1[[#This Row],[Ставка за ТТН]]*Таблица1[[#This Row],[ТТН]],0)</f>
        <v>0</v>
      </c>
    </row>
    <row r="2587" spans="1:21" x14ac:dyDescent="0.25">
      <c r="A2587" t="s">
        <v>84</v>
      </c>
      <c r="B2587" s="24">
        <v>23</v>
      </c>
      <c r="C2587" t="s">
        <v>175</v>
      </c>
      <c r="D2587" t="s">
        <v>28</v>
      </c>
      <c r="E2587" t="s">
        <v>216</v>
      </c>
      <c r="F2587" t="s">
        <v>28</v>
      </c>
      <c r="H2587" t="s">
        <v>10</v>
      </c>
      <c r="I2587" t="s">
        <v>219</v>
      </c>
      <c r="J2587">
        <v>11</v>
      </c>
      <c r="N2587">
        <f>Таблица1[[#This Row],[Часов на заказчика  в работе]]+Таблица1[[#This Row],[Часов на заказчика  дежурство]]</f>
        <v>0</v>
      </c>
      <c r="O25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7" s="9">
        <v>88000</v>
      </c>
      <c r="R2587" s="9"/>
      <c r="S2587" s="5">
        <v>1</v>
      </c>
      <c r="T25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табеле]])*S2587,0)</f>
        <v>2933.3333333333335</v>
      </c>
      <c r="U2587" s="5">
        <f>IF(Таблица1[[#This Row],[ТТН]]&gt;0,Таблица1[[#This Row],[Ставка за ТТН]]*Таблица1[[#This Row],[ТТН]],0)</f>
        <v>0</v>
      </c>
    </row>
    <row r="2588" spans="1:21" x14ac:dyDescent="0.25">
      <c r="A2588" t="s">
        <v>84</v>
      </c>
      <c r="B2588" s="24">
        <v>24</v>
      </c>
      <c r="C2588" t="s">
        <v>175</v>
      </c>
      <c r="D2588" t="s">
        <v>28</v>
      </c>
      <c r="E2588" t="s">
        <v>216</v>
      </c>
      <c r="F2588" t="s">
        <v>28</v>
      </c>
      <c r="H2588" t="s">
        <v>10</v>
      </c>
      <c r="I2588" t="s">
        <v>219</v>
      </c>
      <c r="J2588">
        <v>11</v>
      </c>
      <c r="N2588">
        <f>Таблица1[[#This Row],[Часов на заказчика  в работе]]+Таблица1[[#This Row],[Часов на заказчика  дежурство]]</f>
        <v>0</v>
      </c>
      <c r="O25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8" s="9">
        <v>88000</v>
      </c>
      <c r="R2588" s="9"/>
      <c r="S2588" s="5">
        <v>1</v>
      </c>
      <c r="T25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табеле]])*S2588,0)</f>
        <v>2933.3333333333335</v>
      </c>
      <c r="U2588" s="5">
        <f>IF(Таблица1[[#This Row],[ТТН]]&gt;0,Таблица1[[#This Row],[Ставка за ТТН]]*Таблица1[[#This Row],[ТТН]],0)</f>
        <v>0</v>
      </c>
    </row>
    <row r="2589" spans="1:21" x14ac:dyDescent="0.25">
      <c r="A2589" t="s">
        <v>84</v>
      </c>
      <c r="B2589" s="24">
        <v>25</v>
      </c>
      <c r="C2589" t="s">
        <v>175</v>
      </c>
      <c r="D2589" t="s">
        <v>28</v>
      </c>
      <c r="E2589" t="s">
        <v>216</v>
      </c>
      <c r="F2589" t="s">
        <v>28</v>
      </c>
      <c r="H2589" t="s">
        <v>10</v>
      </c>
      <c r="I2589" t="s">
        <v>219</v>
      </c>
      <c r="J2589">
        <v>11</v>
      </c>
      <c r="N2589">
        <f>Таблица1[[#This Row],[Часов на заказчика  в работе]]+Таблица1[[#This Row],[Часов на заказчика  дежурство]]</f>
        <v>0</v>
      </c>
      <c r="O25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89" s="9">
        <v>88000</v>
      </c>
      <c r="R2589" s="9"/>
      <c r="S2589" s="5">
        <v>1</v>
      </c>
      <c r="T25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табеле]])*S2589,0)</f>
        <v>2933.3333333333335</v>
      </c>
      <c r="U2589" s="5">
        <f>IF(Таблица1[[#This Row],[ТТН]]&gt;0,Таблица1[[#This Row],[Ставка за ТТН]]*Таблица1[[#This Row],[ТТН]],0)</f>
        <v>0</v>
      </c>
    </row>
    <row r="2590" spans="1:21" x14ac:dyDescent="0.25">
      <c r="A2590" t="s">
        <v>84</v>
      </c>
      <c r="B2590" s="24">
        <v>26</v>
      </c>
      <c r="C2590" t="s">
        <v>175</v>
      </c>
      <c r="D2590" t="s">
        <v>28</v>
      </c>
      <c r="E2590" t="s">
        <v>216</v>
      </c>
      <c r="F2590" t="s">
        <v>28</v>
      </c>
      <c r="H2590" t="s">
        <v>10</v>
      </c>
      <c r="I2590" t="s">
        <v>219</v>
      </c>
      <c r="J2590">
        <v>11</v>
      </c>
      <c r="N2590">
        <f>Таблица1[[#This Row],[Часов на заказчика  в работе]]+Таблица1[[#This Row],[Часов на заказчика  дежурство]]</f>
        <v>0</v>
      </c>
      <c r="O25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0" s="9">
        <v>88000</v>
      </c>
      <c r="R2590" s="9"/>
      <c r="S2590" s="5">
        <v>1</v>
      </c>
      <c r="T25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табеле]])*S2590,0)</f>
        <v>2933.3333333333335</v>
      </c>
      <c r="U2590" s="5">
        <f>IF(Таблица1[[#This Row],[ТТН]]&gt;0,Таблица1[[#This Row],[Ставка за ТТН]]*Таблица1[[#This Row],[ТТН]],0)</f>
        <v>0</v>
      </c>
    </row>
    <row r="2591" spans="1:21" x14ac:dyDescent="0.25">
      <c r="A2591" t="s">
        <v>84</v>
      </c>
      <c r="B2591" s="24">
        <v>27</v>
      </c>
      <c r="C2591" t="s">
        <v>175</v>
      </c>
      <c r="D2591" t="s">
        <v>28</v>
      </c>
      <c r="E2591" t="s">
        <v>216</v>
      </c>
      <c r="F2591" t="s">
        <v>28</v>
      </c>
      <c r="H2591" t="s">
        <v>10</v>
      </c>
      <c r="I2591" t="s">
        <v>219</v>
      </c>
      <c r="J2591">
        <v>11</v>
      </c>
      <c r="N2591">
        <f>Таблица1[[#This Row],[Часов на заказчика  в работе]]+Таблица1[[#This Row],[Часов на заказчика  дежурство]]</f>
        <v>0</v>
      </c>
      <c r="O25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1" s="9">
        <v>88000</v>
      </c>
      <c r="R2591" s="9"/>
      <c r="S2591" s="5">
        <v>1</v>
      </c>
      <c r="T25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табеле]])*S2591,0)</f>
        <v>2933.3333333333335</v>
      </c>
      <c r="U2591" s="5">
        <f>IF(Таблица1[[#This Row],[ТТН]]&gt;0,Таблица1[[#This Row],[Ставка за ТТН]]*Таблица1[[#This Row],[ТТН]],0)</f>
        <v>0</v>
      </c>
    </row>
    <row r="2592" spans="1:21" x14ac:dyDescent="0.25">
      <c r="A2592" t="s">
        <v>84</v>
      </c>
      <c r="B2592" s="24">
        <v>28</v>
      </c>
      <c r="C2592" t="s">
        <v>175</v>
      </c>
      <c r="D2592" t="s">
        <v>28</v>
      </c>
      <c r="E2592" t="s">
        <v>216</v>
      </c>
      <c r="F2592" t="s">
        <v>28</v>
      </c>
      <c r="H2592" t="s">
        <v>10</v>
      </c>
      <c r="I2592" t="s">
        <v>219</v>
      </c>
      <c r="J2592">
        <v>11</v>
      </c>
      <c r="N2592">
        <f>Таблица1[[#This Row],[Часов на заказчика  в работе]]+Таблица1[[#This Row],[Часов на заказчика  дежурство]]</f>
        <v>0</v>
      </c>
      <c r="O25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2" s="9">
        <v>88000</v>
      </c>
      <c r="R2592" s="9"/>
      <c r="S2592" s="5">
        <v>1</v>
      </c>
      <c r="T25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табеле]])*S2592,0)</f>
        <v>2933.3333333333335</v>
      </c>
      <c r="U2592" s="5">
        <f>IF(Таблица1[[#This Row],[ТТН]]&gt;0,Таблица1[[#This Row],[Ставка за ТТН]]*Таблица1[[#This Row],[ТТН]],0)</f>
        <v>0</v>
      </c>
    </row>
    <row r="2593" spans="1:21" x14ac:dyDescent="0.25">
      <c r="A2593" t="s">
        <v>84</v>
      </c>
      <c r="B2593" s="24">
        <v>29</v>
      </c>
      <c r="C2593" t="s">
        <v>175</v>
      </c>
      <c r="D2593" t="s">
        <v>28</v>
      </c>
      <c r="E2593" t="s">
        <v>216</v>
      </c>
      <c r="F2593" t="s">
        <v>28</v>
      </c>
      <c r="H2593" t="s">
        <v>10</v>
      </c>
      <c r="I2593" t="s">
        <v>219</v>
      </c>
      <c r="J2593">
        <v>11</v>
      </c>
      <c r="N2593">
        <f>Таблица1[[#This Row],[Часов на заказчика  в работе]]+Таблица1[[#This Row],[Часов на заказчика  дежурство]]</f>
        <v>0</v>
      </c>
      <c r="O25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3" s="9">
        <v>88000</v>
      </c>
      <c r="R2593" s="9"/>
      <c r="S2593" s="5">
        <v>1</v>
      </c>
      <c r="T25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табеле]])*S2593,0)</f>
        <v>2933.3333333333335</v>
      </c>
      <c r="U2593" s="5">
        <f>IF(Таблица1[[#This Row],[ТТН]]&gt;0,Таблица1[[#This Row],[Ставка за ТТН]]*Таблица1[[#This Row],[ТТН]],0)</f>
        <v>0</v>
      </c>
    </row>
    <row r="2594" spans="1:21" x14ac:dyDescent="0.25">
      <c r="A2594" t="s">
        <v>84</v>
      </c>
      <c r="B2594" s="24">
        <v>30</v>
      </c>
      <c r="C2594" t="s">
        <v>176</v>
      </c>
      <c r="D2594" t="s">
        <v>28</v>
      </c>
      <c r="E2594" t="s">
        <v>216</v>
      </c>
      <c r="F2594" t="s">
        <v>28</v>
      </c>
      <c r="H2594" t="s">
        <v>10</v>
      </c>
      <c r="I2594" t="s">
        <v>219</v>
      </c>
      <c r="J2594">
        <v>11</v>
      </c>
      <c r="N2594">
        <f>Таблица1[[#This Row],[Часов на заказчика  в работе]]+Таблица1[[#This Row],[Часов на заказчика  дежурство]]</f>
        <v>0</v>
      </c>
      <c r="O25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4" s="9">
        <v>88000</v>
      </c>
      <c r="R2594" s="9"/>
      <c r="S2594" s="5">
        <v>1</v>
      </c>
      <c r="T25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табеле]])*S2594,0)</f>
        <v>2933.3333333333335</v>
      </c>
      <c r="U2594" s="5">
        <f>IF(Таблица1[[#This Row],[ТТН]]&gt;0,Таблица1[[#This Row],[Ставка за ТТН]]*Таблица1[[#This Row],[ТТН]],0)</f>
        <v>0</v>
      </c>
    </row>
    <row r="2595" spans="1:21" x14ac:dyDescent="0.25">
      <c r="A2595" t="s">
        <v>84</v>
      </c>
      <c r="B2595" s="24">
        <v>1</v>
      </c>
      <c r="C2595" t="s">
        <v>176</v>
      </c>
      <c r="D2595" t="s">
        <v>12</v>
      </c>
      <c r="E2595" t="s">
        <v>215</v>
      </c>
      <c r="F2595" t="s">
        <v>65</v>
      </c>
      <c r="H2595" t="s">
        <v>52</v>
      </c>
      <c r="I2595" t="s">
        <v>217</v>
      </c>
      <c r="J2595">
        <v>1</v>
      </c>
      <c r="N2595">
        <f>Таблица1[[#This Row],[Часов на заказчика  в работе]]+Таблица1[[#This Row],[Часов на заказчика  дежурство]]</f>
        <v>0</v>
      </c>
      <c r="O25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5" s="9">
        <v>190000</v>
      </c>
      <c r="R2595" s="9"/>
      <c r="S2595" s="5">
        <v>1</v>
      </c>
      <c r="T25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табеле]])*S2595,0)</f>
        <v>0</v>
      </c>
      <c r="U2595" s="5">
        <f>IF(Таблица1[[#This Row],[ТТН]]&gt;0,Таблица1[[#This Row],[Ставка за ТТН]]*Таблица1[[#This Row],[ТТН]],0)</f>
        <v>0</v>
      </c>
    </row>
    <row r="2596" spans="1:21" x14ac:dyDescent="0.25">
      <c r="A2596" t="s">
        <v>84</v>
      </c>
      <c r="B2596" s="24">
        <v>2</v>
      </c>
      <c r="C2596" t="s">
        <v>176</v>
      </c>
      <c r="D2596" t="s">
        <v>12</v>
      </c>
      <c r="E2596" t="s">
        <v>215</v>
      </c>
      <c r="F2596" t="s">
        <v>65</v>
      </c>
      <c r="H2596" t="s">
        <v>52</v>
      </c>
      <c r="I2596" t="s">
        <v>217</v>
      </c>
      <c r="J2596">
        <v>1</v>
      </c>
      <c r="N2596">
        <f>Таблица1[[#This Row],[Часов на заказчика  в работе]]+Таблица1[[#This Row],[Часов на заказчика  дежурство]]</f>
        <v>0</v>
      </c>
      <c r="O25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6" s="9">
        <v>190000</v>
      </c>
      <c r="R2596" s="9"/>
      <c r="S2596" s="5">
        <v>1</v>
      </c>
      <c r="T25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табеле]])*S2596,0)</f>
        <v>0</v>
      </c>
      <c r="U2596" s="5">
        <f>IF(Таблица1[[#This Row],[ТТН]]&gt;0,Таблица1[[#This Row],[Ставка за ТТН]]*Таблица1[[#This Row],[ТТН]],0)</f>
        <v>0</v>
      </c>
    </row>
    <row r="2597" spans="1:21" x14ac:dyDescent="0.25">
      <c r="A2597" t="s">
        <v>84</v>
      </c>
      <c r="B2597" s="24">
        <v>3</v>
      </c>
      <c r="C2597" t="s">
        <v>176</v>
      </c>
      <c r="D2597" t="s">
        <v>12</v>
      </c>
      <c r="E2597" t="s">
        <v>215</v>
      </c>
      <c r="F2597" t="s">
        <v>65</v>
      </c>
      <c r="H2597" t="s">
        <v>24</v>
      </c>
      <c r="I2597" t="s">
        <v>217</v>
      </c>
      <c r="J2597">
        <v>8</v>
      </c>
      <c r="N2597">
        <f>Таблица1[[#This Row],[Часов на заказчика  в работе]]+Таблица1[[#This Row],[Часов на заказчика  дежурство]]</f>
        <v>0</v>
      </c>
      <c r="O25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7" s="9">
        <v>190000</v>
      </c>
      <c r="R2597" s="9"/>
      <c r="S2597" s="5">
        <v>1</v>
      </c>
      <c r="T25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табеле]])*S2597,0)</f>
        <v>0</v>
      </c>
      <c r="U2597" s="5">
        <f>IF(Таблица1[[#This Row],[ТТН]]&gt;0,Таблица1[[#This Row],[Ставка за ТТН]]*Таблица1[[#This Row],[ТТН]],0)</f>
        <v>0</v>
      </c>
    </row>
    <row r="2598" spans="1:21" x14ac:dyDescent="0.25">
      <c r="A2598" t="s">
        <v>84</v>
      </c>
      <c r="B2598" s="24">
        <v>4</v>
      </c>
      <c r="C2598" t="s">
        <v>176</v>
      </c>
      <c r="D2598" t="s">
        <v>12</v>
      </c>
      <c r="E2598" t="s">
        <v>215</v>
      </c>
      <c r="F2598" t="s">
        <v>65</v>
      </c>
      <c r="H2598" t="s">
        <v>50</v>
      </c>
      <c r="I2598" t="s">
        <v>217</v>
      </c>
      <c r="J2598">
        <v>11</v>
      </c>
      <c r="N2598">
        <f>Таблица1[[#This Row],[Часов на заказчика  в работе]]+Таблица1[[#This Row],[Часов на заказчика  дежурство]]</f>
        <v>0</v>
      </c>
      <c r="O25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8" s="9">
        <v>190000</v>
      </c>
      <c r="R2598" s="9"/>
      <c r="S2598" s="5">
        <v>1</v>
      </c>
      <c r="T25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табеле]])*S2598,0)</f>
        <v>0</v>
      </c>
      <c r="U2598" s="5">
        <f>IF(Таблица1[[#This Row],[ТТН]]&gt;0,Таблица1[[#This Row],[Ставка за ТТН]]*Таблица1[[#This Row],[ТТН]],0)</f>
        <v>0</v>
      </c>
    </row>
    <row r="2599" spans="1:21" x14ac:dyDescent="0.25">
      <c r="A2599" t="s">
        <v>84</v>
      </c>
      <c r="B2599" s="24">
        <v>5</v>
      </c>
      <c r="C2599" t="s">
        <v>176</v>
      </c>
      <c r="D2599" t="s">
        <v>12</v>
      </c>
      <c r="E2599" t="s">
        <v>215</v>
      </c>
      <c r="F2599" t="s">
        <v>65</v>
      </c>
      <c r="H2599" t="s">
        <v>50</v>
      </c>
      <c r="I2599" t="s">
        <v>217</v>
      </c>
      <c r="J2599">
        <v>11</v>
      </c>
      <c r="N2599">
        <f>Таблица1[[#This Row],[Часов на заказчика  в работе]]+Таблица1[[#This Row],[Часов на заказчика  дежурство]]</f>
        <v>0</v>
      </c>
      <c r="O25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599" s="9">
        <v>190000</v>
      </c>
      <c r="R2599" s="9"/>
      <c r="S2599" s="5">
        <v>1</v>
      </c>
      <c r="T25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табеле]])*S2599,0)</f>
        <v>0</v>
      </c>
      <c r="U2599" s="5">
        <f>IF(Таблица1[[#This Row],[ТТН]]&gt;0,Таблица1[[#This Row],[Ставка за ТТН]]*Таблица1[[#This Row],[ТТН]],0)</f>
        <v>0</v>
      </c>
    </row>
    <row r="2600" spans="1:21" x14ac:dyDescent="0.25">
      <c r="A2600" t="s">
        <v>84</v>
      </c>
      <c r="B2600" s="24">
        <v>6</v>
      </c>
      <c r="C2600" t="s">
        <v>176</v>
      </c>
      <c r="D2600" t="s">
        <v>12</v>
      </c>
      <c r="E2600" t="s">
        <v>215</v>
      </c>
      <c r="F2600" t="s">
        <v>65</v>
      </c>
      <c r="H2600" t="s">
        <v>50</v>
      </c>
      <c r="I2600" t="s">
        <v>217</v>
      </c>
      <c r="J2600">
        <v>11</v>
      </c>
      <c r="N2600">
        <f>Таблица1[[#This Row],[Часов на заказчика  в работе]]+Таблица1[[#This Row],[Часов на заказчика  дежурство]]</f>
        <v>0</v>
      </c>
      <c r="O26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0" s="9">
        <v>190000</v>
      </c>
      <c r="R2600" s="9"/>
      <c r="S2600" s="5">
        <v>1</v>
      </c>
      <c r="T26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табеле]])*S2600,0)</f>
        <v>0</v>
      </c>
      <c r="U2600" s="5">
        <f>IF(Таблица1[[#This Row],[ТТН]]&gt;0,Таблица1[[#This Row],[Ставка за ТТН]]*Таблица1[[#This Row],[ТТН]],0)</f>
        <v>0</v>
      </c>
    </row>
    <row r="2601" spans="1:21" x14ac:dyDescent="0.25">
      <c r="A2601" t="s">
        <v>84</v>
      </c>
      <c r="B2601" s="24">
        <v>7</v>
      </c>
      <c r="C2601" t="s">
        <v>176</v>
      </c>
      <c r="D2601" t="s">
        <v>12</v>
      </c>
      <c r="E2601" t="s">
        <v>215</v>
      </c>
      <c r="F2601" t="s">
        <v>65</v>
      </c>
      <c r="H2601" t="s">
        <v>24</v>
      </c>
      <c r="I2601" t="s">
        <v>217</v>
      </c>
      <c r="J2601">
        <v>8</v>
      </c>
      <c r="N2601">
        <f>Таблица1[[#This Row],[Часов на заказчика  в работе]]+Таблица1[[#This Row],[Часов на заказчика  дежурство]]</f>
        <v>0</v>
      </c>
      <c r="O26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1" s="9">
        <v>190000</v>
      </c>
      <c r="R2601" s="9"/>
      <c r="S2601" s="5">
        <v>1</v>
      </c>
      <c r="T26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табеле]])*S2601,0)</f>
        <v>0</v>
      </c>
      <c r="U2601" s="5">
        <f>IF(Таблица1[[#This Row],[ТТН]]&gt;0,Таблица1[[#This Row],[Ставка за ТТН]]*Таблица1[[#This Row],[ТТН]],0)</f>
        <v>0</v>
      </c>
    </row>
    <row r="2602" spans="1:21" x14ac:dyDescent="0.25">
      <c r="A2602" t="s">
        <v>84</v>
      </c>
      <c r="B2602" s="24">
        <v>8</v>
      </c>
      <c r="C2602" t="s">
        <v>176</v>
      </c>
      <c r="D2602" t="s">
        <v>12</v>
      </c>
      <c r="E2602" t="s">
        <v>215</v>
      </c>
      <c r="F2602" t="s">
        <v>65</v>
      </c>
      <c r="H2602" t="s">
        <v>24</v>
      </c>
      <c r="I2602" t="s">
        <v>217</v>
      </c>
      <c r="J2602">
        <v>8</v>
      </c>
      <c r="N2602">
        <f>Таблица1[[#This Row],[Часов на заказчика  в работе]]+Таблица1[[#This Row],[Часов на заказчика  дежурство]]</f>
        <v>0</v>
      </c>
      <c r="O26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2" s="9">
        <v>190000</v>
      </c>
      <c r="R2602" s="9"/>
      <c r="S2602" s="5">
        <v>1</v>
      </c>
      <c r="T26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табеле]])*S2602,0)</f>
        <v>0</v>
      </c>
      <c r="U2602" s="5">
        <f>IF(Таблица1[[#This Row],[ТТН]]&gt;0,Таблица1[[#This Row],[Ставка за ТТН]]*Таблица1[[#This Row],[ТТН]],0)</f>
        <v>0</v>
      </c>
    </row>
    <row r="2603" spans="1:21" x14ac:dyDescent="0.25">
      <c r="A2603" t="s">
        <v>84</v>
      </c>
      <c r="B2603" s="24">
        <v>9</v>
      </c>
      <c r="C2603" t="s">
        <v>176</v>
      </c>
      <c r="D2603" t="s">
        <v>12</v>
      </c>
      <c r="E2603" t="s">
        <v>215</v>
      </c>
      <c r="F2603" t="s">
        <v>65</v>
      </c>
      <c r="H2603" t="s">
        <v>24</v>
      </c>
      <c r="I2603" t="s">
        <v>217</v>
      </c>
      <c r="J2603">
        <v>8</v>
      </c>
      <c r="N2603">
        <f>Таблица1[[#This Row],[Часов на заказчика  в работе]]+Таблица1[[#This Row],[Часов на заказчика  дежурство]]</f>
        <v>0</v>
      </c>
      <c r="O26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3" s="9">
        <v>190000</v>
      </c>
      <c r="R2603" s="9"/>
      <c r="S2603" s="5">
        <v>1</v>
      </c>
      <c r="T26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табеле]])*S2603,0)</f>
        <v>0</v>
      </c>
      <c r="U2603" s="5">
        <f>IF(Таблица1[[#This Row],[ТТН]]&gt;0,Таблица1[[#This Row],[Ставка за ТТН]]*Таблица1[[#This Row],[ТТН]],0)</f>
        <v>0</v>
      </c>
    </row>
    <row r="2604" spans="1:21" x14ac:dyDescent="0.25">
      <c r="A2604" t="s">
        <v>84</v>
      </c>
      <c r="B2604" s="24">
        <v>10</v>
      </c>
      <c r="C2604" t="s">
        <v>176</v>
      </c>
      <c r="D2604" t="s">
        <v>12</v>
      </c>
      <c r="E2604" t="s">
        <v>215</v>
      </c>
      <c r="F2604" t="s">
        <v>65</v>
      </c>
      <c r="H2604" t="s">
        <v>24</v>
      </c>
      <c r="I2604" t="s">
        <v>217</v>
      </c>
      <c r="J2604">
        <v>8</v>
      </c>
      <c r="N2604">
        <f>Таблица1[[#This Row],[Часов на заказчика  в работе]]+Таблица1[[#This Row],[Часов на заказчика  дежурство]]</f>
        <v>0</v>
      </c>
      <c r="O26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4" s="9">
        <v>190000</v>
      </c>
      <c r="R2604" s="9"/>
      <c r="S2604" s="5">
        <v>1</v>
      </c>
      <c r="T26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табеле]])*S2604,0)</f>
        <v>0</v>
      </c>
      <c r="U2604" s="5">
        <f>IF(Таблица1[[#This Row],[ТТН]]&gt;0,Таблица1[[#This Row],[Ставка за ТТН]]*Таблица1[[#This Row],[ТТН]],0)</f>
        <v>0</v>
      </c>
    </row>
    <row r="2605" spans="1:21" x14ac:dyDescent="0.25">
      <c r="A2605" t="s">
        <v>84</v>
      </c>
      <c r="B2605" s="24">
        <v>11</v>
      </c>
      <c r="C2605" t="s">
        <v>176</v>
      </c>
      <c r="D2605" t="s">
        <v>12</v>
      </c>
      <c r="E2605" t="s">
        <v>215</v>
      </c>
      <c r="F2605" t="s">
        <v>65</v>
      </c>
      <c r="H2605" t="s">
        <v>23</v>
      </c>
      <c r="I2605" t="s">
        <v>217</v>
      </c>
      <c r="J2605">
        <v>11</v>
      </c>
      <c r="N2605">
        <f>Таблица1[[#This Row],[Часов на заказчика  в работе]]+Таблица1[[#This Row],[Часов на заказчика  дежурство]]</f>
        <v>0</v>
      </c>
      <c r="O26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5" s="9">
        <v>190000</v>
      </c>
      <c r="R2605" s="9"/>
      <c r="S2605" s="5">
        <v>1</v>
      </c>
      <c r="T26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табеле]])*S2605,0)</f>
        <v>6333.333333333333</v>
      </c>
      <c r="U2605" s="5">
        <f>IF(Таблица1[[#This Row],[ТТН]]&gt;0,Таблица1[[#This Row],[Ставка за ТТН]]*Таблица1[[#This Row],[ТТН]],0)</f>
        <v>0</v>
      </c>
    </row>
    <row r="2606" spans="1:21" x14ac:dyDescent="0.25">
      <c r="A2606" t="s">
        <v>84</v>
      </c>
      <c r="B2606" s="24">
        <v>12</v>
      </c>
      <c r="C2606" t="s">
        <v>176</v>
      </c>
      <c r="D2606" t="s">
        <v>12</v>
      </c>
      <c r="E2606" t="s">
        <v>215</v>
      </c>
      <c r="F2606" t="s">
        <v>65</v>
      </c>
      <c r="H2606" t="s">
        <v>10</v>
      </c>
      <c r="I2606" t="s">
        <v>219</v>
      </c>
      <c r="J2606">
        <v>11</v>
      </c>
      <c r="N2606">
        <f>Таблица1[[#This Row],[Часов на заказчика  в работе]]+Таблица1[[#This Row],[Часов на заказчика  дежурство]]</f>
        <v>0</v>
      </c>
      <c r="O26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6" s="9">
        <v>190000</v>
      </c>
      <c r="R2606" s="9"/>
      <c r="S2606" s="5">
        <v>1</v>
      </c>
      <c r="T26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табеле]])*S2606,0)</f>
        <v>6333.333333333333</v>
      </c>
      <c r="U2606" s="5">
        <f>IF(Таблица1[[#This Row],[ТТН]]&gt;0,Таблица1[[#This Row],[Ставка за ТТН]]*Таблица1[[#This Row],[ТТН]],0)</f>
        <v>0</v>
      </c>
    </row>
    <row r="2607" spans="1:21" x14ac:dyDescent="0.25">
      <c r="A2607" t="s">
        <v>84</v>
      </c>
      <c r="B2607" s="24">
        <v>13</v>
      </c>
      <c r="C2607" t="s">
        <v>176</v>
      </c>
      <c r="D2607" t="s">
        <v>12</v>
      </c>
      <c r="E2607" t="s">
        <v>215</v>
      </c>
      <c r="F2607" t="s">
        <v>65</v>
      </c>
      <c r="H2607" t="s">
        <v>10</v>
      </c>
      <c r="I2607" t="s">
        <v>219</v>
      </c>
      <c r="J2607">
        <v>11</v>
      </c>
      <c r="N2607">
        <f>Таблица1[[#This Row],[Часов на заказчика  в работе]]+Таблица1[[#This Row],[Часов на заказчика  дежурство]]</f>
        <v>0</v>
      </c>
      <c r="O26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7" s="9">
        <v>190000</v>
      </c>
      <c r="R2607" s="9"/>
      <c r="S2607" s="5">
        <v>1</v>
      </c>
      <c r="T26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табеле]])*S2607,0)</f>
        <v>6333.333333333333</v>
      </c>
      <c r="U2607" s="5">
        <f>IF(Таблица1[[#This Row],[ТТН]]&gt;0,Таблица1[[#This Row],[Ставка за ТТН]]*Таблица1[[#This Row],[ТТН]],0)</f>
        <v>0</v>
      </c>
    </row>
    <row r="2608" spans="1:21" x14ac:dyDescent="0.25">
      <c r="A2608" t="s">
        <v>84</v>
      </c>
      <c r="B2608" s="24">
        <v>14</v>
      </c>
      <c r="C2608" t="s">
        <v>176</v>
      </c>
      <c r="D2608" t="s">
        <v>12</v>
      </c>
      <c r="E2608" t="s">
        <v>215</v>
      </c>
      <c r="F2608" t="s">
        <v>65</v>
      </c>
      <c r="H2608" t="s">
        <v>10</v>
      </c>
      <c r="I2608" t="s">
        <v>219</v>
      </c>
      <c r="J2608">
        <v>11</v>
      </c>
      <c r="N2608">
        <f>Таблица1[[#This Row],[Часов на заказчика  в работе]]+Таблица1[[#This Row],[Часов на заказчика  дежурство]]</f>
        <v>0</v>
      </c>
      <c r="O26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8" s="9">
        <v>190000</v>
      </c>
      <c r="R2608" s="9"/>
      <c r="S2608" s="5">
        <v>1</v>
      </c>
      <c r="T26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табеле]])*S2608,0)</f>
        <v>6333.333333333333</v>
      </c>
      <c r="U2608" s="5">
        <f>IF(Таблица1[[#This Row],[ТТН]]&gt;0,Таблица1[[#This Row],[Ставка за ТТН]]*Таблица1[[#This Row],[ТТН]],0)</f>
        <v>0</v>
      </c>
    </row>
    <row r="2609" spans="1:21" x14ac:dyDescent="0.25">
      <c r="A2609" t="s">
        <v>84</v>
      </c>
      <c r="B2609" s="24">
        <v>15</v>
      </c>
      <c r="C2609" t="s">
        <v>176</v>
      </c>
      <c r="D2609" t="s">
        <v>12</v>
      </c>
      <c r="E2609" t="s">
        <v>215</v>
      </c>
      <c r="F2609" t="s">
        <v>65</v>
      </c>
      <c r="H2609" t="s">
        <v>10</v>
      </c>
      <c r="I2609" t="s">
        <v>219</v>
      </c>
      <c r="J2609">
        <v>11</v>
      </c>
      <c r="N2609">
        <f>Таблица1[[#This Row],[Часов на заказчика  в работе]]+Таблица1[[#This Row],[Часов на заказчика  дежурство]]</f>
        <v>0</v>
      </c>
      <c r="O26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09" s="9">
        <v>190000</v>
      </c>
      <c r="R2609" s="9"/>
      <c r="S2609" s="5">
        <v>1</v>
      </c>
      <c r="T26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табеле]])*S2609,0)</f>
        <v>6333.333333333333</v>
      </c>
      <c r="U2609" s="5">
        <f>IF(Таблица1[[#This Row],[ТТН]]&gt;0,Таблица1[[#This Row],[Ставка за ТТН]]*Таблица1[[#This Row],[ТТН]],0)</f>
        <v>0</v>
      </c>
    </row>
    <row r="2610" spans="1:21" x14ac:dyDescent="0.25">
      <c r="A2610" t="s">
        <v>84</v>
      </c>
      <c r="B2610" s="24">
        <v>16</v>
      </c>
      <c r="C2610" t="s">
        <v>176</v>
      </c>
      <c r="D2610" t="s">
        <v>12</v>
      </c>
      <c r="E2610" t="s">
        <v>215</v>
      </c>
      <c r="F2610" t="s">
        <v>65</v>
      </c>
      <c r="H2610" t="s">
        <v>10</v>
      </c>
      <c r="I2610" t="s">
        <v>219</v>
      </c>
      <c r="J2610">
        <v>11</v>
      </c>
      <c r="N2610">
        <f>Таблица1[[#This Row],[Часов на заказчика  в работе]]+Таблица1[[#This Row],[Часов на заказчика  дежурство]]</f>
        <v>0</v>
      </c>
      <c r="O26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0" s="9">
        <v>190000</v>
      </c>
      <c r="R2610" s="9"/>
      <c r="S2610" s="5">
        <v>1</v>
      </c>
      <c r="T26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табеле]])*S2610,0)</f>
        <v>6333.333333333333</v>
      </c>
      <c r="U2610" s="5">
        <f>IF(Таблица1[[#This Row],[ТТН]]&gt;0,Таблица1[[#This Row],[Ставка за ТТН]]*Таблица1[[#This Row],[ТТН]],0)</f>
        <v>0</v>
      </c>
    </row>
    <row r="2611" spans="1:21" x14ac:dyDescent="0.25">
      <c r="A2611" t="s">
        <v>84</v>
      </c>
      <c r="B2611" s="24">
        <v>17</v>
      </c>
      <c r="C2611" t="s">
        <v>176</v>
      </c>
      <c r="D2611" t="s">
        <v>12</v>
      </c>
      <c r="E2611" t="s">
        <v>215</v>
      </c>
      <c r="F2611" t="s">
        <v>65</v>
      </c>
      <c r="H2611" t="s">
        <v>10</v>
      </c>
      <c r="I2611" t="s">
        <v>219</v>
      </c>
      <c r="J2611">
        <v>11</v>
      </c>
      <c r="N2611">
        <f>Таблица1[[#This Row],[Часов на заказчика  в работе]]+Таблица1[[#This Row],[Часов на заказчика  дежурство]]</f>
        <v>0</v>
      </c>
      <c r="O26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1" s="9">
        <v>190000</v>
      </c>
      <c r="R2611" s="9"/>
      <c r="S2611" s="5">
        <v>1</v>
      </c>
      <c r="T26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табеле]])*S2611,0)</f>
        <v>6333.333333333333</v>
      </c>
      <c r="U2611" s="5">
        <f>IF(Таблица1[[#This Row],[ТТН]]&gt;0,Таблица1[[#This Row],[Ставка за ТТН]]*Таблица1[[#This Row],[ТТН]],0)</f>
        <v>0</v>
      </c>
    </row>
    <row r="2612" spans="1:21" x14ac:dyDescent="0.25">
      <c r="A2612" t="s">
        <v>84</v>
      </c>
      <c r="B2612" s="24">
        <v>18</v>
      </c>
      <c r="C2612" t="s">
        <v>176</v>
      </c>
      <c r="D2612" t="s">
        <v>12</v>
      </c>
      <c r="E2612" t="s">
        <v>215</v>
      </c>
      <c r="F2612" t="s">
        <v>65</v>
      </c>
      <c r="H2612" t="s">
        <v>10</v>
      </c>
      <c r="I2612" t="s">
        <v>219</v>
      </c>
      <c r="J2612">
        <v>22</v>
      </c>
      <c r="N2612">
        <f>Таблица1[[#This Row],[Часов на заказчика  в работе]]+Таблица1[[#This Row],[Часов на заказчика  дежурство]]</f>
        <v>0</v>
      </c>
      <c r="O26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2" s="9">
        <v>190000</v>
      </c>
      <c r="R2612" s="9"/>
      <c r="S2612" s="5">
        <v>1</v>
      </c>
      <c r="T26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табеле]])*S2612,0)</f>
        <v>12666.666666666666</v>
      </c>
      <c r="U2612" s="5">
        <f>IF(Таблица1[[#This Row],[ТТН]]&gt;0,Таблица1[[#This Row],[Ставка за ТТН]]*Таблица1[[#This Row],[ТТН]],0)</f>
        <v>0</v>
      </c>
    </row>
    <row r="2613" spans="1:21" x14ac:dyDescent="0.25">
      <c r="A2613" t="s">
        <v>84</v>
      </c>
      <c r="B2613" s="24">
        <v>19</v>
      </c>
      <c r="C2613" t="s">
        <v>176</v>
      </c>
      <c r="D2613" t="s">
        <v>12</v>
      </c>
      <c r="E2613" t="s">
        <v>215</v>
      </c>
      <c r="F2613" t="s">
        <v>65</v>
      </c>
      <c r="H2613" t="s">
        <v>10</v>
      </c>
      <c r="I2613" t="s">
        <v>219</v>
      </c>
      <c r="J2613">
        <v>11</v>
      </c>
      <c r="N2613">
        <f>Таблица1[[#This Row],[Часов на заказчика  в работе]]+Таблица1[[#This Row],[Часов на заказчика  дежурство]]</f>
        <v>0</v>
      </c>
      <c r="O26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3" s="9">
        <v>190000</v>
      </c>
      <c r="R2613" s="9"/>
      <c r="S2613" s="5">
        <v>1</v>
      </c>
      <c r="T26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табеле]])*S2613,0)</f>
        <v>6333.333333333333</v>
      </c>
      <c r="U2613" s="5">
        <f>IF(Таблица1[[#This Row],[ТТН]]&gt;0,Таблица1[[#This Row],[Ставка за ТТН]]*Таблица1[[#This Row],[ТТН]],0)</f>
        <v>0</v>
      </c>
    </row>
    <row r="2614" spans="1:21" x14ac:dyDescent="0.25">
      <c r="A2614" t="s">
        <v>84</v>
      </c>
      <c r="B2614" s="24">
        <v>20</v>
      </c>
      <c r="C2614" t="s">
        <v>176</v>
      </c>
      <c r="D2614" t="s">
        <v>12</v>
      </c>
      <c r="E2614" t="s">
        <v>215</v>
      </c>
      <c r="F2614" t="s">
        <v>65</v>
      </c>
      <c r="H2614" t="s">
        <v>10</v>
      </c>
      <c r="I2614" t="s">
        <v>219</v>
      </c>
      <c r="J2614">
        <v>11</v>
      </c>
      <c r="N2614">
        <f>Таблица1[[#This Row],[Часов на заказчика  в работе]]+Таблица1[[#This Row],[Часов на заказчика  дежурство]]</f>
        <v>0</v>
      </c>
      <c r="O26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4" s="9">
        <v>190000</v>
      </c>
      <c r="R2614" s="9"/>
      <c r="S2614" s="5">
        <v>1</v>
      </c>
      <c r="T26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табеле]])*S2614,0)</f>
        <v>6333.333333333333</v>
      </c>
      <c r="U2614" s="5">
        <f>IF(Таблица1[[#This Row],[ТТН]]&gt;0,Таблица1[[#This Row],[Ставка за ТТН]]*Таблица1[[#This Row],[ТТН]],0)</f>
        <v>0</v>
      </c>
    </row>
    <row r="2615" spans="1:21" x14ac:dyDescent="0.25">
      <c r="A2615" t="s">
        <v>84</v>
      </c>
      <c r="B2615" s="24">
        <v>21</v>
      </c>
      <c r="C2615" t="s">
        <v>176</v>
      </c>
      <c r="D2615" t="s">
        <v>12</v>
      </c>
      <c r="E2615" t="s">
        <v>215</v>
      </c>
      <c r="F2615" t="s">
        <v>65</v>
      </c>
      <c r="H2615" t="s">
        <v>10</v>
      </c>
      <c r="I2615" t="s">
        <v>219</v>
      </c>
      <c r="J2615">
        <v>11</v>
      </c>
      <c r="N2615">
        <f>Таблица1[[#This Row],[Часов на заказчика  в работе]]+Таблица1[[#This Row],[Часов на заказчика  дежурство]]</f>
        <v>0</v>
      </c>
      <c r="O26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5" s="9">
        <v>190000</v>
      </c>
      <c r="R2615" s="9"/>
      <c r="S2615" s="5">
        <v>1</v>
      </c>
      <c r="T26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табеле]])*S2615,0)</f>
        <v>6333.333333333333</v>
      </c>
      <c r="U2615" s="5">
        <f>IF(Таблица1[[#This Row],[ТТН]]&gt;0,Таблица1[[#This Row],[Ставка за ТТН]]*Таблица1[[#This Row],[ТТН]],0)</f>
        <v>0</v>
      </c>
    </row>
    <row r="2616" spans="1:21" x14ac:dyDescent="0.25">
      <c r="A2616" t="s">
        <v>84</v>
      </c>
      <c r="B2616" s="24">
        <v>22</v>
      </c>
      <c r="C2616" t="s">
        <v>176</v>
      </c>
      <c r="D2616" t="s">
        <v>12</v>
      </c>
      <c r="E2616" t="s">
        <v>215</v>
      </c>
      <c r="F2616" t="s">
        <v>65</v>
      </c>
      <c r="H2616" t="s">
        <v>10</v>
      </c>
      <c r="I2616" t="s">
        <v>219</v>
      </c>
      <c r="J2616">
        <v>11</v>
      </c>
      <c r="N2616">
        <f>Таблица1[[#This Row],[Часов на заказчика  в работе]]+Таблица1[[#This Row],[Часов на заказчика  дежурство]]</f>
        <v>0</v>
      </c>
      <c r="O26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6" s="9">
        <v>190000</v>
      </c>
      <c r="R2616" s="9"/>
      <c r="S2616" s="5">
        <v>1</v>
      </c>
      <c r="T26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табеле]])*S2616,0)</f>
        <v>6333.333333333333</v>
      </c>
      <c r="U2616" s="5">
        <f>IF(Таблица1[[#This Row],[ТТН]]&gt;0,Таблица1[[#This Row],[Ставка за ТТН]]*Таблица1[[#This Row],[ТТН]],0)</f>
        <v>0</v>
      </c>
    </row>
    <row r="2617" spans="1:21" x14ac:dyDescent="0.25">
      <c r="A2617" t="s">
        <v>84</v>
      </c>
      <c r="B2617" s="24">
        <v>23</v>
      </c>
      <c r="C2617" t="s">
        <v>176</v>
      </c>
      <c r="D2617" t="s">
        <v>12</v>
      </c>
      <c r="E2617" t="s">
        <v>215</v>
      </c>
      <c r="F2617" t="s">
        <v>65</v>
      </c>
      <c r="H2617" t="s">
        <v>10</v>
      </c>
      <c r="I2617" t="s">
        <v>219</v>
      </c>
      <c r="J2617">
        <v>11</v>
      </c>
      <c r="N2617">
        <f>Таблица1[[#This Row],[Часов на заказчика  в работе]]+Таблица1[[#This Row],[Часов на заказчика  дежурство]]</f>
        <v>0</v>
      </c>
      <c r="O26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7" s="9">
        <v>190000</v>
      </c>
      <c r="R2617" s="9"/>
      <c r="S2617" s="5">
        <v>1</v>
      </c>
      <c r="T26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табеле]])*S2617,0)</f>
        <v>6333.333333333333</v>
      </c>
      <c r="U2617" s="5">
        <f>IF(Таблица1[[#This Row],[ТТН]]&gt;0,Таблица1[[#This Row],[Ставка за ТТН]]*Таблица1[[#This Row],[ТТН]],0)</f>
        <v>0</v>
      </c>
    </row>
    <row r="2618" spans="1:21" x14ac:dyDescent="0.25">
      <c r="A2618" t="s">
        <v>84</v>
      </c>
      <c r="B2618" s="24">
        <v>24</v>
      </c>
      <c r="C2618" t="s">
        <v>176</v>
      </c>
      <c r="D2618" t="s">
        <v>12</v>
      </c>
      <c r="E2618" t="s">
        <v>215</v>
      </c>
      <c r="F2618" t="s">
        <v>65</v>
      </c>
      <c r="H2618" t="s">
        <v>10</v>
      </c>
      <c r="I2618" t="s">
        <v>219</v>
      </c>
      <c r="J2618">
        <v>22</v>
      </c>
      <c r="N2618">
        <f>Таблица1[[#This Row],[Часов на заказчика  в работе]]+Таблица1[[#This Row],[Часов на заказчика  дежурство]]</f>
        <v>0</v>
      </c>
      <c r="O26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8" s="9">
        <v>190000</v>
      </c>
      <c r="R2618" s="9"/>
      <c r="S2618" s="5">
        <v>1</v>
      </c>
      <c r="T26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табеле]])*S2618,0)</f>
        <v>12666.666666666666</v>
      </c>
      <c r="U2618" s="5">
        <f>IF(Таблица1[[#This Row],[ТТН]]&gt;0,Таблица1[[#This Row],[Ставка за ТТН]]*Таблица1[[#This Row],[ТТН]],0)</f>
        <v>0</v>
      </c>
    </row>
    <row r="2619" spans="1:21" x14ac:dyDescent="0.25">
      <c r="A2619" t="s">
        <v>84</v>
      </c>
      <c r="B2619" s="24">
        <v>25</v>
      </c>
      <c r="C2619" t="s">
        <v>176</v>
      </c>
      <c r="D2619" t="s">
        <v>12</v>
      </c>
      <c r="E2619" t="s">
        <v>215</v>
      </c>
      <c r="F2619" t="s">
        <v>65</v>
      </c>
      <c r="H2619" t="s">
        <v>10</v>
      </c>
      <c r="I2619" t="s">
        <v>219</v>
      </c>
      <c r="J2619">
        <v>22</v>
      </c>
      <c r="N2619">
        <f>Таблица1[[#This Row],[Часов на заказчика  в работе]]+Таблица1[[#This Row],[Часов на заказчика  дежурство]]</f>
        <v>0</v>
      </c>
      <c r="O26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19" s="9">
        <v>190000</v>
      </c>
      <c r="R2619" s="9"/>
      <c r="S2619" s="5">
        <v>1</v>
      </c>
      <c r="T26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табеле]])*S2619,0)</f>
        <v>12666.666666666666</v>
      </c>
      <c r="U2619" s="5">
        <f>IF(Таблица1[[#This Row],[ТТН]]&gt;0,Таблица1[[#This Row],[Ставка за ТТН]]*Таблица1[[#This Row],[ТТН]],0)</f>
        <v>0</v>
      </c>
    </row>
    <row r="2620" spans="1:21" x14ac:dyDescent="0.25">
      <c r="A2620" t="s">
        <v>84</v>
      </c>
      <c r="B2620" s="24">
        <v>26</v>
      </c>
      <c r="C2620" t="s">
        <v>176</v>
      </c>
      <c r="D2620" t="s">
        <v>12</v>
      </c>
      <c r="E2620" t="s">
        <v>215</v>
      </c>
      <c r="F2620" t="s">
        <v>65</v>
      </c>
      <c r="H2620" t="s">
        <v>10</v>
      </c>
      <c r="I2620" t="s">
        <v>219</v>
      </c>
      <c r="J2620">
        <v>11</v>
      </c>
      <c r="N2620">
        <f>Таблица1[[#This Row],[Часов на заказчика  в работе]]+Таблица1[[#This Row],[Часов на заказчика  дежурство]]</f>
        <v>0</v>
      </c>
      <c r="O26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0" s="9">
        <v>190000</v>
      </c>
      <c r="R2620" s="9"/>
      <c r="S2620" s="5">
        <v>1</v>
      </c>
      <c r="T26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табеле]])*S2620,0)</f>
        <v>6333.333333333333</v>
      </c>
      <c r="U2620" s="5">
        <f>IF(Таблица1[[#This Row],[ТТН]]&gt;0,Таблица1[[#This Row],[Ставка за ТТН]]*Таблица1[[#This Row],[ТТН]],0)</f>
        <v>0</v>
      </c>
    </row>
    <row r="2621" spans="1:21" x14ac:dyDescent="0.25">
      <c r="A2621" t="s">
        <v>84</v>
      </c>
      <c r="B2621" s="24">
        <v>27</v>
      </c>
      <c r="C2621" t="s">
        <v>176</v>
      </c>
      <c r="D2621" t="s">
        <v>12</v>
      </c>
      <c r="E2621" t="s">
        <v>215</v>
      </c>
      <c r="F2621" t="s">
        <v>65</v>
      </c>
      <c r="H2621" t="s">
        <v>10</v>
      </c>
      <c r="I2621" t="s">
        <v>219</v>
      </c>
      <c r="J2621">
        <v>11</v>
      </c>
      <c r="N2621">
        <f>Таблица1[[#This Row],[Часов на заказчика  в работе]]+Таблица1[[#This Row],[Часов на заказчика  дежурство]]</f>
        <v>0</v>
      </c>
      <c r="O26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1" s="9">
        <v>190000</v>
      </c>
      <c r="R2621" s="9"/>
      <c r="S2621" s="5">
        <v>1</v>
      </c>
      <c r="T26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табеле]])*S2621,0)</f>
        <v>6333.333333333333</v>
      </c>
      <c r="U2621" s="5">
        <f>IF(Таблица1[[#This Row],[ТТН]]&gt;0,Таблица1[[#This Row],[Ставка за ТТН]]*Таблица1[[#This Row],[ТТН]],0)</f>
        <v>0</v>
      </c>
    </row>
    <row r="2622" spans="1:21" x14ac:dyDescent="0.25">
      <c r="A2622" t="s">
        <v>84</v>
      </c>
      <c r="B2622" s="24">
        <v>28</v>
      </c>
      <c r="C2622" t="s">
        <v>176</v>
      </c>
      <c r="D2622" t="s">
        <v>12</v>
      </c>
      <c r="E2622" t="s">
        <v>215</v>
      </c>
      <c r="F2622" t="s">
        <v>65</v>
      </c>
      <c r="H2622" t="s">
        <v>10</v>
      </c>
      <c r="I2622" t="s">
        <v>219</v>
      </c>
      <c r="J2622">
        <v>11</v>
      </c>
      <c r="N2622">
        <f>Таблица1[[#This Row],[Часов на заказчика  в работе]]+Таблица1[[#This Row],[Часов на заказчика  дежурство]]</f>
        <v>0</v>
      </c>
      <c r="O26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2" s="9">
        <v>190000</v>
      </c>
      <c r="R2622" s="9"/>
      <c r="S2622" s="5">
        <v>1</v>
      </c>
      <c r="T26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табеле]])*S2622,0)</f>
        <v>6333.333333333333</v>
      </c>
      <c r="U2622" s="5">
        <f>IF(Таблица1[[#This Row],[ТТН]]&gt;0,Таблица1[[#This Row],[Ставка за ТТН]]*Таблица1[[#This Row],[ТТН]],0)</f>
        <v>0</v>
      </c>
    </row>
    <row r="2623" spans="1:21" x14ac:dyDescent="0.25">
      <c r="A2623" t="s">
        <v>84</v>
      </c>
      <c r="B2623" s="24">
        <v>29</v>
      </c>
      <c r="C2623" t="s">
        <v>176</v>
      </c>
      <c r="D2623" t="s">
        <v>12</v>
      </c>
      <c r="E2623" t="s">
        <v>215</v>
      </c>
      <c r="F2623" t="s">
        <v>65</v>
      </c>
      <c r="H2623" t="s">
        <v>10</v>
      </c>
      <c r="I2623" t="s">
        <v>219</v>
      </c>
      <c r="J2623">
        <v>22</v>
      </c>
      <c r="N2623">
        <f>Таблица1[[#This Row],[Часов на заказчика  в работе]]+Таблица1[[#This Row],[Часов на заказчика  дежурство]]</f>
        <v>0</v>
      </c>
      <c r="O26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3" s="9">
        <v>190000</v>
      </c>
      <c r="R2623" s="9"/>
      <c r="S2623" s="5">
        <v>1</v>
      </c>
      <c r="T26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табеле]])*S2623,0)</f>
        <v>12666.666666666666</v>
      </c>
      <c r="U2623" s="5">
        <f>IF(Таблица1[[#This Row],[ТТН]]&gt;0,Таблица1[[#This Row],[Ставка за ТТН]]*Таблица1[[#This Row],[ТТН]],0)</f>
        <v>0</v>
      </c>
    </row>
    <row r="2624" spans="1:21" x14ac:dyDescent="0.25">
      <c r="A2624" t="s">
        <v>84</v>
      </c>
      <c r="B2624" s="24">
        <v>30</v>
      </c>
      <c r="C2624" t="s">
        <v>177</v>
      </c>
      <c r="D2624" t="s">
        <v>12</v>
      </c>
      <c r="E2624" t="s">
        <v>215</v>
      </c>
      <c r="F2624" t="s">
        <v>65</v>
      </c>
      <c r="H2624" t="s">
        <v>10</v>
      </c>
      <c r="I2624" t="s">
        <v>219</v>
      </c>
      <c r="J2624">
        <v>11</v>
      </c>
      <c r="N2624">
        <f>Таблица1[[#This Row],[Часов на заказчика  в работе]]+Таблица1[[#This Row],[Часов на заказчика  дежурство]]</f>
        <v>0</v>
      </c>
      <c r="O26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4" s="9">
        <v>190000</v>
      </c>
      <c r="R2624" s="9"/>
      <c r="S2624" s="5">
        <v>1</v>
      </c>
      <c r="T26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табеле]])*S2624,0)</f>
        <v>6333.333333333333</v>
      </c>
      <c r="U2624" s="5">
        <f>IF(Таблица1[[#This Row],[ТТН]]&gt;0,Таблица1[[#This Row],[Ставка за ТТН]]*Таблица1[[#This Row],[ТТН]],0)</f>
        <v>0</v>
      </c>
    </row>
    <row r="2625" spans="1:21" ht="15.75" customHeight="1" x14ac:dyDescent="0.25">
      <c r="A2625" t="s">
        <v>84</v>
      </c>
      <c r="B2625" s="24">
        <v>1</v>
      </c>
      <c r="C2625" t="s">
        <v>177</v>
      </c>
      <c r="D2625" t="s">
        <v>12</v>
      </c>
      <c r="E2625" t="s">
        <v>216</v>
      </c>
      <c r="F2625" t="s">
        <v>72</v>
      </c>
      <c r="H2625" t="s">
        <v>10</v>
      </c>
      <c r="I2625" t="s">
        <v>217</v>
      </c>
      <c r="J2625">
        <v>11</v>
      </c>
      <c r="N2625">
        <f>Таблица1[[#This Row],[Часов на заказчика  в работе]]+Таблица1[[#This Row],[Часов на заказчика  дежурство]]</f>
        <v>0</v>
      </c>
      <c r="O26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5" s="9">
        <v>120000</v>
      </c>
      <c r="R2625" s="9"/>
      <c r="S2625" s="5">
        <v>1</v>
      </c>
      <c r="T26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табеле]])*S2625,0)</f>
        <v>4000</v>
      </c>
      <c r="U2625" s="5">
        <f>IF(Таблица1[[#This Row],[ТТН]]&gt;0,Таблица1[[#This Row],[Ставка за ТТН]]*Таблица1[[#This Row],[ТТН]],0)</f>
        <v>0</v>
      </c>
    </row>
    <row r="2626" spans="1:21" x14ac:dyDescent="0.25">
      <c r="A2626" t="s">
        <v>84</v>
      </c>
      <c r="B2626" s="24">
        <v>2</v>
      </c>
      <c r="C2626" t="s">
        <v>177</v>
      </c>
      <c r="D2626" t="s">
        <v>12</v>
      </c>
      <c r="E2626" t="s">
        <v>216</v>
      </c>
      <c r="F2626" t="s">
        <v>72</v>
      </c>
      <c r="H2626" t="s">
        <v>10</v>
      </c>
      <c r="I2626" t="s">
        <v>217</v>
      </c>
      <c r="J2626">
        <v>11</v>
      </c>
      <c r="N2626">
        <f>Таблица1[[#This Row],[Часов на заказчика  в работе]]+Таблица1[[#This Row],[Часов на заказчика  дежурство]]</f>
        <v>0</v>
      </c>
      <c r="O26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6" s="9">
        <v>120000</v>
      </c>
      <c r="R2626" s="9"/>
      <c r="S2626" s="5">
        <v>1</v>
      </c>
      <c r="T26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табеле]])*S2626,0)</f>
        <v>4000</v>
      </c>
      <c r="U2626" s="5">
        <f>IF(Таблица1[[#This Row],[ТТН]]&gt;0,Таблица1[[#This Row],[Ставка за ТТН]]*Таблица1[[#This Row],[ТТН]],0)</f>
        <v>0</v>
      </c>
    </row>
    <row r="2627" spans="1:21" x14ac:dyDescent="0.25">
      <c r="A2627" t="s">
        <v>84</v>
      </c>
      <c r="B2627" s="24">
        <v>3</v>
      </c>
      <c r="C2627" t="s">
        <v>177</v>
      </c>
      <c r="D2627" t="s">
        <v>12</v>
      </c>
      <c r="E2627" t="s">
        <v>216</v>
      </c>
      <c r="F2627" t="s">
        <v>72</v>
      </c>
      <c r="H2627" t="s">
        <v>10</v>
      </c>
      <c r="I2627" t="s">
        <v>217</v>
      </c>
      <c r="J2627">
        <v>22</v>
      </c>
      <c r="N2627">
        <f>Таблица1[[#This Row],[Часов на заказчика  в работе]]+Таблица1[[#This Row],[Часов на заказчика  дежурство]]</f>
        <v>0</v>
      </c>
      <c r="O26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7" s="9">
        <v>120000</v>
      </c>
      <c r="R2627" s="9"/>
      <c r="S2627" s="5">
        <v>1</v>
      </c>
      <c r="T26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табеле]])*S2627,0)</f>
        <v>8000</v>
      </c>
      <c r="U2627" s="5">
        <f>IF(Таблица1[[#This Row],[ТТН]]&gt;0,Таблица1[[#This Row],[Ставка за ТТН]]*Таблица1[[#This Row],[ТТН]],0)</f>
        <v>0</v>
      </c>
    </row>
    <row r="2628" spans="1:21" x14ac:dyDescent="0.25">
      <c r="A2628" t="s">
        <v>84</v>
      </c>
      <c r="B2628" s="24">
        <v>4</v>
      </c>
      <c r="C2628" t="s">
        <v>177</v>
      </c>
      <c r="D2628" t="s">
        <v>12</v>
      </c>
      <c r="E2628" t="s">
        <v>216</v>
      </c>
      <c r="F2628" t="s">
        <v>72</v>
      </c>
      <c r="H2628" t="s">
        <v>10</v>
      </c>
      <c r="I2628" t="s">
        <v>217</v>
      </c>
      <c r="J2628">
        <v>11</v>
      </c>
      <c r="N2628">
        <f>Таблица1[[#This Row],[Часов на заказчика  в работе]]+Таблица1[[#This Row],[Часов на заказчика  дежурство]]</f>
        <v>0</v>
      </c>
      <c r="O26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8" s="9">
        <v>120000</v>
      </c>
      <c r="R2628" s="9"/>
      <c r="S2628" s="5">
        <v>1</v>
      </c>
      <c r="T26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табеле]])*S2628,0)</f>
        <v>4000</v>
      </c>
      <c r="U2628" s="5">
        <f>IF(Таблица1[[#This Row],[ТТН]]&gt;0,Таблица1[[#This Row],[Ставка за ТТН]]*Таблица1[[#This Row],[ТТН]],0)</f>
        <v>0</v>
      </c>
    </row>
    <row r="2629" spans="1:21" x14ac:dyDescent="0.25">
      <c r="A2629" t="s">
        <v>84</v>
      </c>
      <c r="B2629" s="24">
        <v>5</v>
      </c>
      <c r="C2629" t="s">
        <v>177</v>
      </c>
      <c r="D2629" t="s">
        <v>12</v>
      </c>
      <c r="E2629" t="s">
        <v>216</v>
      </c>
      <c r="F2629" t="s">
        <v>72</v>
      </c>
      <c r="H2629" t="s">
        <v>10</v>
      </c>
      <c r="I2629" t="s">
        <v>217</v>
      </c>
      <c r="J2629">
        <v>11</v>
      </c>
      <c r="N2629">
        <f>Таблица1[[#This Row],[Часов на заказчика  в работе]]+Таблица1[[#This Row],[Часов на заказчика  дежурство]]</f>
        <v>0</v>
      </c>
      <c r="O26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29" s="9">
        <v>120000</v>
      </c>
      <c r="R2629" s="9"/>
      <c r="S2629" s="5">
        <v>1</v>
      </c>
      <c r="T26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табеле]])*S2629,0)</f>
        <v>4000</v>
      </c>
      <c r="U2629" s="5">
        <f>IF(Таблица1[[#This Row],[ТТН]]&gt;0,Таблица1[[#This Row],[Ставка за ТТН]]*Таблица1[[#This Row],[ТТН]],0)</f>
        <v>0</v>
      </c>
    </row>
    <row r="2630" spans="1:21" x14ac:dyDescent="0.25">
      <c r="A2630" t="s">
        <v>84</v>
      </c>
      <c r="B2630" s="24">
        <v>6</v>
      </c>
      <c r="C2630" t="s">
        <v>177</v>
      </c>
      <c r="D2630" t="s">
        <v>12</v>
      </c>
      <c r="E2630" t="s">
        <v>216</v>
      </c>
      <c r="F2630" t="s">
        <v>72</v>
      </c>
      <c r="H2630" t="s">
        <v>10</v>
      </c>
      <c r="I2630" t="s">
        <v>217</v>
      </c>
      <c r="J2630">
        <v>11</v>
      </c>
      <c r="N2630">
        <f>Таблица1[[#This Row],[Часов на заказчика  в работе]]+Таблица1[[#This Row],[Часов на заказчика  дежурство]]</f>
        <v>0</v>
      </c>
      <c r="O26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0" s="9">
        <v>120000</v>
      </c>
      <c r="R2630" s="9"/>
      <c r="S2630" s="5">
        <v>1</v>
      </c>
      <c r="T26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табеле]])*S2630,0)</f>
        <v>4000</v>
      </c>
      <c r="U2630" s="5">
        <f>IF(Таблица1[[#This Row],[ТТН]]&gt;0,Таблица1[[#This Row],[Ставка за ТТН]]*Таблица1[[#This Row],[ТТН]],0)</f>
        <v>0</v>
      </c>
    </row>
    <row r="2631" spans="1:21" x14ac:dyDescent="0.25">
      <c r="A2631" t="s">
        <v>84</v>
      </c>
      <c r="B2631" s="24">
        <v>7</v>
      </c>
      <c r="C2631" t="s">
        <v>177</v>
      </c>
      <c r="D2631" t="s">
        <v>12</v>
      </c>
      <c r="E2631" t="s">
        <v>216</v>
      </c>
      <c r="F2631" t="s">
        <v>72</v>
      </c>
      <c r="H2631" t="s">
        <v>10</v>
      </c>
      <c r="I2631" t="s">
        <v>217</v>
      </c>
      <c r="J2631">
        <v>11</v>
      </c>
      <c r="N2631">
        <f>Таблица1[[#This Row],[Часов на заказчика  в работе]]+Таблица1[[#This Row],[Часов на заказчика  дежурство]]</f>
        <v>0</v>
      </c>
      <c r="O26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1" s="9">
        <v>120000</v>
      </c>
      <c r="R2631" s="9"/>
      <c r="S2631" s="5">
        <v>1</v>
      </c>
      <c r="T26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табеле]])*S2631,0)</f>
        <v>4000</v>
      </c>
      <c r="U2631" s="5">
        <f>IF(Таблица1[[#This Row],[ТТН]]&gt;0,Таблица1[[#This Row],[Ставка за ТТН]]*Таблица1[[#This Row],[ТТН]],0)</f>
        <v>0</v>
      </c>
    </row>
    <row r="2632" spans="1:21" x14ac:dyDescent="0.25">
      <c r="A2632" t="s">
        <v>84</v>
      </c>
      <c r="B2632" s="24">
        <v>8</v>
      </c>
      <c r="C2632" t="s">
        <v>177</v>
      </c>
      <c r="D2632" t="s">
        <v>12</v>
      </c>
      <c r="E2632" t="s">
        <v>215</v>
      </c>
      <c r="F2632" t="s">
        <v>86</v>
      </c>
      <c r="H2632" t="s">
        <v>10</v>
      </c>
      <c r="I2632" t="s">
        <v>217</v>
      </c>
      <c r="J2632">
        <v>11</v>
      </c>
      <c r="N2632">
        <f>Таблица1[[#This Row],[Часов на заказчика  в работе]]+Таблица1[[#This Row],[Часов на заказчика  дежурство]]</f>
        <v>0</v>
      </c>
      <c r="O26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2" s="9">
        <v>160000</v>
      </c>
      <c r="R2632" s="9"/>
      <c r="S2632" s="5">
        <v>1</v>
      </c>
      <c r="T26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табеле]])*S2632,0)</f>
        <v>5333.3333333333339</v>
      </c>
      <c r="U2632" s="5">
        <f>IF(Таблица1[[#This Row],[ТТН]]&gt;0,Таблица1[[#This Row],[Ставка за ТТН]]*Таблица1[[#This Row],[ТТН]],0)</f>
        <v>0</v>
      </c>
    </row>
    <row r="2633" spans="1:21" x14ac:dyDescent="0.25">
      <c r="A2633" t="s">
        <v>84</v>
      </c>
      <c r="B2633" s="24">
        <v>9</v>
      </c>
      <c r="C2633" t="s">
        <v>177</v>
      </c>
      <c r="D2633" t="s">
        <v>12</v>
      </c>
      <c r="E2633" t="s">
        <v>215</v>
      </c>
      <c r="F2633" t="s">
        <v>86</v>
      </c>
      <c r="H2633" t="s">
        <v>10</v>
      </c>
      <c r="I2633" t="s">
        <v>217</v>
      </c>
      <c r="J2633">
        <v>22</v>
      </c>
      <c r="N2633">
        <f>Таблица1[[#This Row],[Часов на заказчика  в работе]]+Таблица1[[#This Row],[Часов на заказчика  дежурство]]</f>
        <v>0</v>
      </c>
      <c r="O26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3" s="9">
        <v>160000</v>
      </c>
      <c r="R2633" s="9"/>
      <c r="S2633" s="5">
        <v>1</v>
      </c>
      <c r="T26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табеле]])*S2633,0)</f>
        <v>10666.666666666668</v>
      </c>
      <c r="U2633" s="5">
        <f>IF(Таблица1[[#This Row],[ТТН]]&gt;0,Таблица1[[#This Row],[Ставка за ТТН]]*Таблица1[[#This Row],[ТТН]],0)</f>
        <v>0</v>
      </c>
    </row>
    <row r="2634" spans="1:21" x14ac:dyDescent="0.25">
      <c r="A2634" t="s">
        <v>84</v>
      </c>
      <c r="B2634" s="24">
        <v>10</v>
      </c>
      <c r="C2634" t="s">
        <v>177</v>
      </c>
      <c r="D2634" t="s">
        <v>12</v>
      </c>
      <c r="E2634" t="s">
        <v>215</v>
      </c>
      <c r="F2634" t="s">
        <v>86</v>
      </c>
      <c r="H2634" t="s">
        <v>10</v>
      </c>
      <c r="I2634" t="s">
        <v>217</v>
      </c>
      <c r="J2634">
        <v>22</v>
      </c>
      <c r="N2634">
        <f>Таблица1[[#This Row],[Часов на заказчика  в работе]]+Таблица1[[#This Row],[Часов на заказчика  дежурство]]</f>
        <v>0</v>
      </c>
      <c r="O26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4" s="9">
        <v>160000</v>
      </c>
      <c r="R2634" s="9"/>
      <c r="S2634" s="5">
        <v>1</v>
      </c>
      <c r="T26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табеле]])*S2634,0)</f>
        <v>10666.666666666668</v>
      </c>
      <c r="U2634" s="5">
        <f>IF(Таблица1[[#This Row],[ТТН]]&gt;0,Таблица1[[#This Row],[Ставка за ТТН]]*Таблица1[[#This Row],[ТТН]],0)</f>
        <v>0</v>
      </c>
    </row>
    <row r="2635" spans="1:21" x14ac:dyDescent="0.25">
      <c r="A2635" t="s">
        <v>84</v>
      </c>
      <c r="B2635" s="24">
        <v>11</v>
      </c>
      <c r="C2635" t="s">
        <v>177</v>
      </c>
      <c r="D2635" t="s">
        <v>12</v>
      </c>
      <c r="E2635" t="s">
        <v>215</v>
      </c>
      <c r="F2635" t="s">
        <v>86</v>
      </c>
      <c r="H2635" t="s">
        <v>10</v>
      </c>
      <c r="I2635" t="s">
        <v>217</v>
      </c>
      <c r="J2635">
        <v>11</v>
      </c>
      <c r="N2635">
        <f>Таблица1[[#This Row],[Часов на заказчика  в работе]]+Таблица1[[#This Row],[Часов на заказчика  дежурство]]</f>
        <v>0</v>
      </c>
      <c r="O26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5" s="9">
        <v>160000</v>
      </c>
      <c r="R2635" s="9"/>
      <c r="S2635" s="5">
        <v>1</v>
      </c>
      <c r="T26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табеле]])*S2635,0)</f>
        <v>5333.3333333333339</v>
      </c>
      <c r="U2635" s="5">
        <f>IF(Таблица1[[#This Row],[ТТН]]&gt;0,Таблица1[[#This Row],[Ставка за ТТН]]*Таблица1[[#This Row],[ТТН]],0)</f>
        <v>0</v>
      </c>
    </row>
    <row r="2636" spans="1:21" x14ac:dyDescent="0.25">
      <c r="A2636" t="s">
        <v>84</v>
      </c>
      <c r="B2636" s="24">
        <v>12</v>
      </c>
      <c r="C2636" t="s">
        <v>177</v>
      </c>
      <c r="D2636" t="s">
        <v>12</v>
      </c>
      <c r="E2636" t="s">
        <v>215</v>
      </c>
      <c r="F2636" t="s">
        <v>86</v>
      </c>
      <c r="H2636" t="s">
        <v>10</v>
      </c>
      <c r="I2636" t="s">
        <v>217</v>
      </c>
      <c r="J2636">
        <v>22</v>
      </c>
      <c r="N2636">
        <f>Таблица1[[#This Row],[Часов на заказчика  в работе]]+Таблица1[[#This Row],[Часов на заказчика  дежурство]]</f>
        <v>0</v>
      </c>
      <c r="O26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6" s="9">
        <v>160000</v>
      </c>
      <c r="R2636" s="9"/>
      <c r="S2636" s="5">
        <v>1</v>
      </c>
      <c r="T26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табеле]])*S2636,0)</f>
        <v>10666.666666666668</v>
      </c>
      <c r="U2636" s="5">
        <f>IF(Таблица1[[#This Row],[ТТН]]&gt;0,Таблица1[[#This Row],[Ставка за ТТН]]*Таблица1[[#This Row],[ТТН]],0)</f>
        <v>0</v>
      </c>
    </row>
    <row r="2637" spans="1:21" x14ac:dyDescent="0.25">
      <c r="A2637" t="s">
        <v>84</v>
      </c>
      <c r="B2637" s="24">
        <v>13</v>
      </c>
      <c r="C2637" t="s">
        <v>177</v>
      </c>
      <c r="D2637" t="s">
        <v>12</v>
      </c>
      <c r="E2637" t="s">
        <v>215</v>
      </c>
      <c r="F2637" t="s">
        <v>86</v>
      </c>
      <c r="H2637" t="s">
        <v>10</v>
      </c>
      <c r="I2637" t="s">
        <v>217</v>
      </c>
      <c r="J2637">
        <v>11</v>
      </c>
      <c r="N2637">
        <f>Таблица1[[#This Row],[Часов на заказчика  в работе]]+Таблица1[[#This Row],[Часов на заказчика  дежурство]]</f>
        <v>0</v>
      </c>
      <c r="O26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7" s="9">
        <v>160000</v>
      </c>
      <c r="R2637" s="9"/>
      <c r="S2637" s="5">
        <v>1</v>
      </c>
      <c r="T26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табеле]])*S2637,0)</f>
        <v>5333.3333333333339</v>
      </c>
      <c r="U2637" s="5">
        <f>IF(Таблица1[[#This Row],[ТТН]]&gt;0,Таблица1[[#This Row],[Ставка за ТТН]]*Таблица1[[#This Row],[ТТН]],0)</f>
        <v>0</v>
      </c>
    </row>
    <row r="2638" spans="1:21" x14ac:dyDescent="0.25">
      <c r="A2638" t="s">
        <v>84</v>
      </c>
      <c r="B2638" s="24">
        <v>14</v>
      </c>
      <c r="C2638" t="s">
        <v>177</v>
      </c>
      <c r="D2638" t="s">
        <v>12</v>
      </c>
      <c r="E2638" t="s">
        <v>215</v>
      </c>
      <c r="F2638" t="s">
        <v>86</v>
      </c>
      <c r="H2638" t="s">
        <v>10</v>
      </c>
      <c r="I2638" t="s">
        <v>217</v>
      </c>
      <c r="J2638">
        <v>22</v>
      </c>
      <c r="N2638">
        <f>Таблица1[[#This Row],[Часов на заказчика  в работе]]+Таблица1[[#This Row],[Часов на заказчика  дежурство]]</f>
        <v>0</v>
      </c>
      <c r="O26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8" s="9">
        <v>160000</v>
      </c>
      <c r="R2638" s="9"/>
      <c r="S2638" s="5">
        <v>1</v>
      </c>
      <c r="T26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табеле]])*S2638,0)</f>
        <v>10666.666666666668</v>
      </c>
      <c r="U2638" s="5">
        <f>IF(Таблица1[[#This Row],[ТТН]]&gt;0,Таблица1[[#This Row],[Ставка за ТТН]]*Таблица1[[#This Row],[ТТН]],0)</f>
        <v>0</v>
      </c>
    </row>
    <row r="2639" spans="1:21" x14ac:dyDescent="0.25">
      <c r="A2639" t="s">
        <v>84</v>
      </c>
      <c r="B2639" s="24">
        <v>15</v>
      </c>
      <c r="C2639" t="s">
        <v>177</v>
      </c>
      <c r="D2639" t="s">
        <v>12</v>
      </c>
      <c r="E2639" t="s">
        <v>215</v>
      </c>
      <c r="F2639" t="s">
        <v>86</v>
      </c>
      <c r="H2639" t="s">
        <v>10</v>
      </c>
      <c r="I2639" t="s">
        <v>217</v>
      </c>
      <c r="J2639">
        <v>22</v>
      </c>
      <c r="N2639">
        <f>Таблица1[[#This Row],[Часов на заказчика  в работе]]+Таблица1[[#This Row],[Часов на заказчика  дежурство]]</f>
        <v>0</v>
      </c>
      <c r="O26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39" s="9">
        <v>160000</v>
      </c>
      <c r="R2639" s="9"/>
      <c r="S2639" s="5">
        <v>1</v>
      </c>
      <c r="T26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табеле]])*S2639,0)</f>
        <v>10666.666666666668</v>
      </c>
      <c r="U2639" s="5">
        <f>IF(Таблица1[[#This Row],[ТТН]]&gt;0,Таблица1[[#This Row],[Ставка за ТТН]]*Таблица1[[#This Row],[ТТН]],0)</f>
        <v>0</v>
      </c>
    </row>
    <row r="2640" spans="1:21" x14ac:dyDescent="0.25">
      <c r="A2640" t="s">
        <v>84</v>
      </c>
      <c r="B2640" s="24">
        <v>16</v>
      </c>
      <c r="C2640" t="s">
        <v>177</v>
      </c>
      <c r="D2640" t="s">
        <v>12</v>
      </c>
      <c r="E2640" t="s">
        <v>215</v>
      </c>
      <c r="F2640" t="s">
        <v>86</v>
      </c>
      <c r="H2640" t="s">
        <v>10</v>
      </c>
      <c r="I2640" t="s">
        <v>217</v>
      </c>
      <c r="J2640">
        <v>22</v>
      </c>
      <c r="N2640">
        <f>Таблица1[[#This Row],[Часов на заказчика  в работе]]+Таблица1[[#This Row],[Часов на заказчика  дежурство]]</f>
        <v>0</v>
      </c>
      <c r="O26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0" s="9">
        <v>160000</v>
      </c>
      <c r="R2640" s="9"/>
      <c r="S2640" s="5">
        <v>1</v>
      </c>
      <c r="T26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табеле]])*S2640,0)</f>
        <v>10666.666666666668</v>
      </c>
      <c r="U2640" s="5">
        <f>IF(Таблица1[[#This Row],[ТТН]]&gt;0,Таблица1[[#This Row],[Ставка за ТТН]]*Таблица1[[#This Row],[ТТН]],0)</f>
        <v>0</v>
      </c>
    </row>
    <row r="2641" spans="1:21" x14ac:dyDescent="0.25">
      <c r="A2641" t="s">
        <v>84</v>
      </c>
      <c r="B2641" s="24">
        <v>17</v>
      </c>
      <c r="C2641" t="s">
        <v>177</v>
      </c>
      <c r="D2641" t="s">
        <v>12</v>
      </c>
      <c r="E2641" t="s">
        <v>215</v>
      </c>
      <c r="F2641" t="s">
        <v>86</v>
      </c>
      <c r="H2641" t="s">
        <v>10</v>
      </c>
      <c r="I2641" t="s">
        <v>217</v>
      </c>
      <c r="J2641">
        <v>22</v>
      </c>
      <c r="N2641">
        <f>Таблица1[[#This Row],[Часов на заказчика  в работе]]+Таблица1[[#This Row],[Часов на заказчика  дежурство]]</f>
        <v>0</v>
      </c>
      <c r="O26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1" s="9">
        <v>160000</v>
      </c>
      <c r="R2641" s="9"/>
      <c r="S2641" s="5">
        <v>1</v>
      </c>
      <c r="T26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табеле]])*S2641,0)</f>
        <v>10666.666666666668</v>
      </c>
      <c r="U2641" s="5">
        <f>IF(Таблица1[[#This Row],[ТТН]]&gt;0,Таблица1[[#This Row],[Ставка за ТТН]]*Таблица1[[#This Row],[ТТН]],0)</f>
        <v>0</v>
      </c>
    </row>
    <row r="2642" spans="1:21" x14ac:dyDescent="0.25">
      <c r="A2642" t="s">
        <v>84</v>
      </c>
      <c r="B2642" s="24">
        <v>18</v>
      </c>
      <c r="C2642" t="s">
        <v>177</v>
      </c>
      <c r="D2642" t="s">
        <v>12</v>
      </c>
      <c r="E2642" t="s">
        <v>215</v>
      </c>
      <c r="F2642" t="s">
        <v>86</v>
      </c>
      <c r="H2642" t="s">
        <v>10</v>
      </c>
      <c r="I2642" t="s">
        <v>217</v>
      </c>
      <c r="J2642">
        <v>16</v>
      </c>
      <c r="N2642">
        <f>Таблица1[[#This Row],[Часов на заказчика  в работе]]+Таблица1[[#This Row],[Часов на заказчика  дежурство]]</f>
        <v>0</v>
      </c>
      <c r="O26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2" s="9">
        <v>160000</v>
      </c>
      <c r="R2642" s="9"/>
      <c r="S2642" s="5">
        <v>1</v>
      </c>
      <c r="T26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табеле]])*S2642,0)</f>
        <v>7757.575757575758</v>
      </c>
      <c r="U2642" s="5">
        <f>IF(Таблица1[[#This Row],[ТТН]]&gt;0,Таблица1[[#This Row],[Ставка за ТТН]]*Таблица1[[#This Row],[ТТН]],0)</f>
        <v>0</v>
      </c>
    </row>
    <row r="2643" spans="1:21" x14ac:dyDescent="0.25">
      <c r="A2643" t="s">
        <v>84</v>
      </c>
      <c r="B2643" s="24">
        <v>19</v>
      </c>
      <c r="C2643" t="s">
        <v>177</v>
      </c>
      <c r="D2643" t="s">
        <v>12</v>
      </c>
      <c r="E2643" t="s">
        <v>215</v>
      </c>
      <c r="F2643" t="s">
        <v>86</v>
      </c>
      <c r="H2643" t="s">
        <v>10</v>
      </c>
      <c r="I2643" t="s">
        <v>217</v>
      </c>
      <c r="J2643">
        <v>22</v>
      </c>
      <c r="N2643">
        <f>Таблица1[[#This Row],[Часов на заказчика  в работе]]+Таблица1[[#This Row],[Часов на заказчика  дежурство]]</f>
        <v>0</v>
      </c>
      <c r="O26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3" s="9">
        <v>160000</v>
      </c>
      <c r="R2643" s="9"/>
      <c r="S2643" s="5">
        <v>1</v>
      </c>
      <c r="T26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табеле]])*S2643,0)</f>
        <v>10666.666666666668</v>
      </c>
      <c r="U2643" s="5">
        <f>IF(Таблица1[[#This Row],[ТТН]]&gt;0,Таблица1[[#This Row],[Ставка за ТТН]]*Таблица1[[#This Row],[ТТН]],0)</f>
        <v>0</v>
      </c>
    </row>
    <row r="2644" spans="1:21" x14ac:dyDescent="0.25">
      <c r="A2644" t="s">
        <v>84</v>
      </c>
      <c r="B2644" s="24">
        <v>20</v>
      </c>
      <c r="C2644" t="s">
        <v>177</v>
      </c>
      <c r="D2644" t="s">
        <v>12</v>
      </c>
      <c r="E2644" t="s">
        <v>215</v>
      </c>
      <c r="F2644" t="s">
        <v>86</v>
      </c>
      <c r="H2644" t="s">
        <v>10</v>
      </c>
      <c r="I2644" t="s">
        <v>217</v>
      </c>
      <c r="J2644">
        <v>15</v>
      </c>
      <c r="N2644">
        <f>Таблица1[[#This Row],[Часов на заказчика  в работе]]+Таблица1[[#This Row],[Часов на заказчика  дежурство]]</f>
        <v>0</v>
      </c>
      <c r="O26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4" s="9">
        <v>160000</v>
      </c>
      <c r="R2644" s="9"/>
      <c r="S2644" s="5">
        <v>1</v>
      </c>
      <c r="T26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табеле]])*S2644,0)</f>
        <v>7272.727272727273</v>
      </c>
      <c r="U2644" s="5">
        <f>IF(Таблица1[[#This Row],[ТТН]]&gt;0,Таблица1[[#This Row],[Ставка за ТТН]]*Таблица1[[#This Row],[ТТН]],0)</f>
        <v>0</v>
      </c>
    </row>
    <row r="2645" spans="1:21" x14ac:dyDescent="0.25">
      <c r="A2645" t="s">
        <v>84</v>
      </c>
      <c r="B2645" s="24">
        <v>21</v>
      </c>
      <c r="C2645" t="s">
        <v>177</v>
      </c>
      <c r="D2645" t="s">
        <v>12</v>
      </c>
      <c r="E2645" t="s">
        <v>215</v>
      </c>
      <c r="F2645" t="s">
        <v>86</v>
      </c>
      <c r="H2645" t="s">
        <v>10</v>
      </c>
      <c r="I2645" t="s">
        <v>217</v>
      </c>
      <c r="J2645">
        <v>22</v>
      </c>
      <c r="N2645">
        <f>Таблица1[[#This Row],[Часов на заказчика  в работе]]+Таблица1[[#This Row],[Часов на заказчика  дежурство]]</f>
        <v>0</v>
      </c>
      <c r="O26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5" s="9">
        <v>160000</v>
      </c>
      <c r="R2645" s="9"/>
      <c r="S2645" s="5">
        <v>1</v>
      </c>
      <c r="T26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табеле]])*S2645,0)</f>
        <v>10666.666666666668</v>
      </c>
      <c r="U2645" s="5">
        <f>IF(Таблица1[[#This Row],[ТТН]]&gt;0,Таблица1[[#This Row],[Ставка за ТТН]]*Таблица1[[#This Row],[ТТН]],0)</f>
        <v>0</v>
      </c>
    </row>
    <row r="2646" spans="1:21" x14ac:dyDescent="0.25">
      <c r="A2646" t="s">
        <v>84</v>
      </c>
      <c r="B2646" s="24">
        <v>22</v>
      </c>
      <c r="C2646" t="s">
        <v>177</v>
      </c>
      <c r="D2646" t="s">
        <v>12</v>
      </c>
      <c r="E2646" t="s">
        <v>215</v>
      </c>
      <c r="F2646" t="s">
        <v>86</v>
      </c>
      <c r="H2646" t="s">
        <v>10</v>
      </c>
      <c r="I2646" t="s">
        <v>217</v>
      </c>
      <c r="J2646">
        <v>22</v>
      </c>
      <c r="N2646">
        <f>Таблица1[[#This Row],[Часов на заказчика  в работе]]+Таблица1[[#This Row],[Часов на заказчика  дежурство]]</f>
        <v>0</v>
      </c>
      <c r="O26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6" s="9">
        <v>160000</v>
      </c>
      <c r="R2646" s="9"/>
      <c r="S2646" s="5">
        <v>1</v>
      </c>
      <c r="T26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табеле]])*S2646,0)</f>
        <v>10666.666666666668</v>
      </c>
      <c r="U2646" s="5">
        <f>IF(Таблица1[[#This Row],[ТТН]]&gt;0,Таблица1[[#This Row],[Ставка за ТТН]]*Таблица1[[#This Row],[ТТН]],0)</f>
        <v>0</v>
      </c>
    </row>
    <row r="2647" spans="1:21" x14ac:dyDescent="0.25">
      <c r="A2647" t="s">
        <v>84</v>
      </c>
      <c r="B2647" s="24">
        <v>23</v>
      </c>
      <c r="C2647" t="s">
        <v>177</v>
      </c>
      <c r="D2647" t="s">
        <v>12</v>
      </c>
      <c r="E2647" t="s">
        <v>215</v>
      </c>
      <c r="F2647" t="s">
        <v>86</v>
      </c>
      <c r="H2647" t="s">
        <v>10</v>
      </c>
      <c r="I2647" t="s">
        <v>217</v>
      </c>
      <c r="J2647">
        <v>22</v>
      </c>
      <c r="N2647">
        <f>Таблица1[[#This Row],[Часов на заказчика  в работе]]+Таблица1[[#This Row],[Часов на заказчика  дежурство]]</f>
        <v>0</v>
      </c>
      <c r="O26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7" s="9">
        <v>160000</v>
      </c>
      <c r="R2647" s="9"/>
      <c r="S2647" s="5">
        <v>1</v>
      </c>
      <c r="T26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табеле]])*S2647,0)</f>
        <v>10666.666666666668</v>
      </c>
      <c r="U2647" s="5">
        <f>IF(Таблица1[[#This Row],[ТТН]]&gt;0,Таблица1[[#This Row],[Ставка за ТТН]]*Таблица1[[#This Row],[ТТН]],0)</f>
        <v>0</v>
      </c>
    </row>
    <row r="2648" spans="1:21" x14ac:dyDescent="0.25">
      <c r="A2648" t="s">
        <v>84</v>
      </c>
      <c r="B2648" s="24">
        <v>24</v>
      </c>
      <c r="C2648" t="s">
        <v>177</v>
      </c>
      <c r="D2648" t="s">
        <v>12</v>
      </c>
      <c r="E2648" t="s">
        <v>215</v>
      </c>
      <c r="F2648" t="s">
        <v>86</v>
      </c>
      <c r="H2648" t="s">
        <v>10</v>
      </c>
      <c r="I2648" t="s">
        <v>217</v>
      </c>
      <c r="J2648">
        <v>16</v>
      </c>
      <c r="N2648">
        <f>Таблица1[[#This Row],[Часов на заказчика  в работе]]+Таблица1[[#This Row],[Часов на заказчика  дежурство]]</f>
        <v>0</v>
      </c>
      <c r="O26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8" s="9">
        <v>160000</v>
      </c>
      <c r="R2648" s="9"/>
      <c r="S2648" s="5">
        <v>1</v>
      </c>
      <c r="T26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табеле]])*S2648,0)</f>
        <v>7757.575757575758</v>
      </c>
      <c r="U2648" s="5">
        <f>IF(Таблица1[[#This Row],[ТТН]]&gt;0,Таблица1[[#This Row],[Ставка за ТТН]]*Таблица1[[#This Row],[ТТН]],0)</f>
        <v>0</v>
      </c>
    </row>
    <row r="2649" spans="1:21" x14ac:dyDescent="0.25">
      <c r="A2649" t="s">
        <v>84</v>
      </c>
      <c r="B2649" s="24">
        <v>25</v>
      </c>
      <c r="C2649" t="s">
        <v>177</v>
      </c>
      <c r="D2649" t="s">
        <v>12</v>
      </c>
      <c r="E2649" t="s">
        <v>215</v>
      </c>
      <c r="F2649" t="s">
        <v>86</v>
      </c>
      <c r="H2649" t="s">
        <v>10</v>
      </c>
      <c r="I2649" t="s">
        <v>217</v>
      </c>
      <c r="J2649">
        <v>11</v>
      </c>
      <c r="N2649">
        <f>Таблица1[[#This Row],[Часов на заказчика  в работе]]+Таблица1[[#This Row],[Часов на заказчика  дежурство]]</f>
        <v>0</v>
      </c>
      <c r="O26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49" s="9">
        <v>160000</v>
      </c>
      <c r="R2649" s="9"/>
      <c r="S2649" s="5">
        <v>1</v>
      </c>
      <c r="T26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табеле]])*S2649,0)</f>
        <v>5333.3333333333339</v>
      </c>
      <c r="U2649" s="5">
        <f>IF(Таблица1[[#This Row],[ТТН]]&gt;0,Таблица1[[#This Row],[Ставка за ТТН]]*Таблица1[[#This Row],[ТТН]],0)</f>
        <v>0</v>
      </c>
    </row>
    <row r="2650" spans="1:21" x14ac:dyDescent="0.25">
      <c r="A2650" t="s">
        <v>84</v>
      </c>
      <c r="B2650" s="24">
        <v>26</v>
      </c>
      <c r="C2650" t="s">
        <v>177</v>
      </c>
      <c r="D2650" t="s">
        <v>12</v>
      </c>
      <c r="E2650" t="s">
        <v>215</v>
      </c>
      <c r="F2650" t="s">
        <v>86</v>
      </c>
      <c r="H2650" t="s">
        <v>10</v>
      </c>
      <c r="I2650" t="s">
        <v>217</v>
      </c>
      <c r="J2650">
        <v>18</v>
      </c>
      <c r="N2650">
        <f>Таблица1[[#This Row],[Часов на заказчика  в работе]]+Таблица1[[#This Row],[Часов на заказчика  дежурство]]</f>
        <v>0</v>
      </c>
      <c r="O26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0" s="9">
        <v>160000</v>
      </c>
      <c r="R2650" s="9"/>
      <c r="S2650" s="5">
        <v>1</v>
      </c>
      <c r="T26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табеле]])*S2650,0)</f>
        <v>8727.2727272727279</v>
      </c>
      <c r="U2650" s="5">
        <f>IF(Таблица1[[#This Row],[ТТН]]&gt;0,Таблица1[[#This Row],[Ставка за ТТН]]*Таблица1[[#This Row],[ТТН]],0)</f>
        <v>0</v>
      </c>
    </row>
    <row r="2651" spans="1:21" x14ac:dyDescent="0.25">
      <c r="A2651" t="s">
        <v>84</v>
      </c>
      <c r="B2651" s="24">
        <v>27</v>
      </c>
      <c r="C2651" t="s">
        <v>177</v>
      </c>
      <c r="D2651" t="s">
        <v>12</v>
      </c>
      <c r="E2651" t="s">
        <v>215</v>
      </c>
      <c r="F2651" t="s">
        <v>86</v>
      </c>
      <c r="H2651" t="s">
        <v>10</v>
      </c>
      <c r="I2651" t="s">
        <v>217</v>
      </c>
      <c r="J2651">
        <v>22</v>
      </c>
      <c r="N2651">
        <f>Таблица1[[#This Row],[Часов на заказчика  в работе]]+Таблица1[[#This Row],[Часов на заказчика  дежурство]]</f>
        <v>0</v>
      </c>
      <c r="O26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1" s="9">
        <v>160000</v>
      </c>
      <c r="R2651" s="9"/>
      <c r="S2651" s="5">
        <v>1</v>
      </c>
      <c r="T26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табеле]])*S2651,0)</f>
        <v>10666.666666666668</v>
      </c>
      <c r="U2651" s="5">
        <f>IF(Таблица1[[#This Row],[ТТН]]&gt;0,Таблица1[[#This Row],[Ставка за ТТН]]*Таблица1[[#This Row],[ТТН]],0)</f>
        <v>0</v>
      </c>
    </row>
    <row r="2652" spans="1:21" x14ac:dyDescent="0.25">
      <c r="A2652" t="s">
        <v>84</v>
      </c>
      <c r="B2652" s="24">
        <v>28</v>
      </c>
      <c r="C2652" t="s">
        <v>177</v>
      </c>
      <c r="D2652" t="s">
        <v>12</v>
      </c>
      <c r="E2652" t="s">
        <v>215</v>
      </c>
      <c r="F2652" t="s">
        <v>86</v>
      </c>
      <c r="H2652" t="s">
        <v>10</v>
      </c>
      <c r="I2652" t="s">
        <v>217</v>
      </c>
      <c r="J2652">
        <v>22</v>
      </c>
      <c r="N2652">
        <f>Таблица1[[#This Row],[Часов на заказчика  в работе]]+Таблица1[[#This Row],[Часов на заказчика  дежурство]]</f>
        <v>0</v>
      </c>
      <c r="O26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2" s="9">
        <v>160000</v>
      </c>
      <c r="R2652" s="9"/>
      <c r="S2652" s="5">
        <v>1</v>
      </c>
      <c r="T26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табеле]])*S2652,0)</f>
        <v>10666.666666666668</v>
      </c>
      <c r="U2652" s="5">
        <f>IF(Таблица1[[#This Row],[ТТН]]&gt;0,Таблица1[[#This Row],[Ставка за ТТН]]*Таблица1[[#This Row],[ТТН]],0)</f>
        <v>0</v>
      </c>
    </row>
    <row r="2653" spans="1:21" x14ac:dyDescent="0.25">
      <c r="A2653" t="s">
        <v>84</v>
      </c>
      <c r="B2653" s="24">
        <v>29</v>
      </c>
      <c r="C2653" t="s">
        <v>177</v>
      </c>
      <c r="D2653" t="s">
        <v>12</v>
      </c>
      <c r="E2653" t="s">
        <v>215</v>
      </c>
      <c r="F2653" t="s">
        <v>86</v>
      </c>
      <c r="H2653" t="s">
        <v>10</v>
      </c>
      <c r="I2653" t="s">
        <v>217</v>
      </c>
      <c r="J2653">
        <v>11</v>
      </c>
      <c r="N2653">
        <f>Таблица1[[#This Row],[Часов на заказчика  в работе]]+Таблица1[[#This Row],[Часов на заказчика  дежурство]]</f>
        <v>0</v>
      </c>
      <c r="O26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3" s="9">
        <v>160000</v>
      </c>
      <c r="R2653" s="9"/>
      <c r="S2653" s="5">
        <v>1</v>
      </c>
      <c r="T26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табеле]])*S2653,0)</f>
        <v>5333.3333333333339</v>
      </c>
      <c r="U2653" s="5">
        <f>IF(Таблица1[[#This Row],[ТТН]]&gt;0,Таблица1[[#This Row],[Ставка за ТТН]]*Таблица1[[#This Row],[ТТН]],0)</f>
        <v>0</v>
      </c>
    </row>
    <row r="2654" spans="1:21" x14ac:dyDescent="0.25">
      <c r="A2654" t="s">
        <v>84</v>
      </c>
      <c r="B2654" s="24">
        <v>30</v>
      </c>
      <c r="C2654" t="s">
        <v>178</v>
      </c>
      <c r="D2654" t="s">
        <v>12</v>
      </c>
      <c r="E2654" t="s">
        <v>215</v>
      </c>
      <c r="F2654" t="s">
        <v>86</v>
      </c>
      <c r="H2654" t="s">
        <v>10</v>
      </c>
      <c r="I2654" t="s">
        <v>217</v>
      </c>
      <c r="J2654">
        <v>14</v>
      </c>
      <c r="N2654">
        <f>Таблица1[[#This Row],[Часов на заказчика  в работе]]+Таблица1[[#This Row],[Часов на заказчика  дежурство]]</f>
        <v>0</v>
      </c>
      <c r="O26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4" s="9">
        <v>160000</v>
      </c>
      <c r="R2654" s="9"/>
      <c r="S2654" s="5">
        <v>1</v>
      </c>
      <c r="T26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табеле]])*S2654,0)</f>
        <v>6787.878787878788</v>
      </c>
      <c r="U2654" s="5">
        <f>IF(Таблица1[[#This Row],[ТТН]]&gt;0,Таблица1[[#This Row],[Ставка за ТТН]]*Таблица1[[#This Row],[ТТН]],0)</f>
        <v>0</v>
      </c>
    </row>
    <row r="2655" spans="1:21" x14ac:dyDescent="0.25">
      <c r="A2655" t="s">
        <v>84</v>
      </c>
      <c r="B2655" s="24">
        <v>1</v>
      </c>
      <c r="C2655" t="s">
        <v>178</v>
      </c>
      <c r="D2655" t="s">
        <v>28</v>
      </c>
      <c r="E2655" t="s">
        <v>216</v>
      </c>
      <c r="F2655" t="s">
        <v>28</v>
      </c>
      <c r="H2655" t="s">
        <v>10</v>
      </c>
      <c r="I2655" t="s">
        <v>219</v>
      </c>
      <c r="J2655">
        <v>11</v>
      </c>
      <c r="N2655">
        <f>Таблица1[[#This Row],[Часов на заказчика  в работе]]+Таблица1[[#This Row],[Часов на заказчика  дежурство]]</f>
        <v>0</v>
      </c>
      <c r="O26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5" s="9">
        <v>88000</v>
      </c>
      <c r="R2655" s="9"/>
      <c r="S2655" s="5">
        <v>1</v>
      </c>
      <c r="T26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табеле]])*S2655,0)</f>
        <v>2933.3333333333335</v>
      </c>
      <c r="U2655" s="5">
        <f>IF(Таблица1[[#This Row],[ТТН]]&gt;0,Таблица1[[#This Row],[Ставка за ТТН]]*Таблица1[[#This Row],[ТТН]],0)</f>
        <v>0</v>
      </c>
    </row>
    <row r="2656" spans="1:21" x14ac:dyDescent="0.25">
      <c r="A2656" t="s">
        <v>84</v>
      </c>
      <c r="B2656" s="24">
        <v>2</v>
      </c>
      <c r="C2656" t="s">
        <v>178</v>
      </c>
      <c r="D2656" t="s">
        <v>28</v>
      </c>
      <c r="E2656" t="s">
        <v>216</v>
      </c>
      <c r="F2656" t="s">
        <v>28</v>
      </c>
      <c r="H2656" t="s">
        <v>10</v>
      </c>
      <c r="I2656" t="s">
        <v>219</v>
      </c>
      <c r="J2656">
        <v>11</v>
      </c>
      <c r="N2656">
        <f>Таблица1[[#This Row],[Часов на заказчика  в работе]]+Таблица1[[#This Row],[Часов на заказчика  дежурство]]</f>
        <v>0</v>
      </c>
      <c r="O26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6" s="9">
        <v>88000</v>
      </c>
      <c r="R2656" s="9"/>
      <c r="S2656" s="5">
        <v>1</v>
      </c>
      <c r="T26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табеле]])*S2656,0)</f>
        <v>2933.3333333333335</v>
      </c>
      <c r="U2656" s="5">
        <f>IF(Таблица1[[#This Row],[ТТН]]&gt;0,Таблица1[[#This Row],[Ставка за ТТН]]*Таблица1[[#This Row],[ТТН]],0)</f>
        <v>0</v>
      </c>
    </row>
    <row r="2657" spans="1:21" x14ac:dyDescent="0.25">
      <c r="A2657" t="s">
        <v>84</v>
      </c>
      <c r="B2657" s="24">
        <v>3</v>
      </c>
      <c r="C2657" t="s">
        <v>178</v>
      </c>
      <c r="D2657" t="s">
        <v>28</v>
      </c>
      <c r="E2657" t="s">
        <v>216</v>
      </c>
      <c r="F2657" t="s">
        <v>28</v>
      </c>
      <c r="H2657" t="s">
        <v>10</v>
      </c>
      <c r="I2657" t="s">
        <v>219</v>
      </c>
      <c r="J2657">
        <v>11</v>
      </c>
      <c r="N2657">
        <f>Таблица1[[#This Row],[Часов на заказчика  в работе]]+Таблица1[[#This Row],[Часов на заказчика  дежурство]]</f>
        <v>0</v>
      </c>
      <c r="O26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7" s="9">
        <v>88000</v>
      </c>
      <c r="R2657" s="9"/>
      <c r="S2657" s="5">
        <v>1</v>
      </c>
      <c r="T26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табеле]])*S2657,0)</f>
        <v>2933.3333333333335</v>
      </c>
      <c r="U2657" s="5">
        <f>IF(Таблица1[[#This Row],[ТТН]]&gt;0,Таблица1[[#This Row],[Ставка за ТТН]]*Таблица1[[#This Row],[ТТН]],0)</f>
        <v>0</v>
      </c>
    </row>
    <row r="2658" spans="1:21" x14ac:dyDescent="0.25">
      <c r="A2658" t="s">
        <v>84</v>
      </c>
      <c r="B2658" s="24">
        <v>4</v>
      </c>
      <c r="C2658" t="s">
        <v>178</v>
      </c>
      <c r="D2658" t="s">
        <v>28</v>
      </c>
      <c r="E2658" t="s">
        <v>216</v>
      </c>
      <c r="F2658" t="s">
        <v>28</v>
      </c>
      <c r="H2658" t="s">
        <v>10</v>
      </c>
      <c r="I2658" t="s">
        <v>219</v>
      </c>
      <c r="J2658">
        <v>11</v>
      </c>
      <c r="N2658">
        <f>Таблица1[[#This Row],[Часов на заказчика  в работе]]+Таблица1[[#This Row],[Часов на заказчика  дежурство]]</f>
        <v>0</v>
      </c>
      <c r="O26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8" s="9">
        <v>88000</v>
      </c>
      <c r="R2658" s="9"/>
      <c r="S2658" s="5">
        <v>1</v>
      </c>
      <c r="T26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табеле]])*S2658,0)</f>
        <v>2933.3333333333335</v>
      </c>
      <c r="U2658" s="5">
        <f>IF(Таблица1[[#This Row],[ТТН]]&gt;0,Таблица1[[#This Row],[Ставка за ТТН]]*Таблица1[[#This Row],[ТТН]],0)</f>
        <v>0</v>
      </c>
    </row>
    <row r="2659" spans="1:21" x14ac:dyDescent="0.25">
      <c r="A2659" t="s">
        <v>84</v>
      </c>
      <c r="B2659" s="24">
        <v>5</v>
      </c>
      <c r="C2659" t="s">
        <v>178</v>
      </c>
      <c r="D2659" t="s">
        <v>28</v>
      </c>
      <c r="E2659" t="s">
        <v>216</v>
      </c>
      <c r="F2659" t="s">
        <v>28</v>
      </c>
      <c r="H2659" t="s">
        <v>10</v>
      </c>
      <c r="I2659" t="s">
        <v>219</v>
      </c>
      <c r="J2659">
        <v>11</v>
      </c>
      <c r="N2659">
        <f>Таблица1[[#This Row],[Часов на заказчика  в работе]]+Таблица1[[#This Row],[Часов на заказчика  дежурство]]</f>
        <v>0</v>
      </c>
      <c r="O26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59" s="9">
        <v>88000</v>
      </c>
      <c r="R2659" s="9"/>
      <c r="S2659" s="5">
        <v>1</v>
      </c>
      <c r="T26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табеле]])*S2659,0)</f>
        <v>2933.3333333333335</v>
      </c>
      <c r="U2659" s="5">
        <f>IF(Таблица1[[#This Row],[ТТН]]&gt;0,Таблица1[[#This Row],[Ставка за ТТН]]*Таблица1[[#This Row],[ТТН]],0)</f>
        <v>0</v>
      </c>
    </row>
    <row r="2660" spans="1:21" x14ac:dyDescent="0.25">
      <c r="A2660" t="s">
        <v>84</v>
      </c>
      <c r="B2660" s="24">
        <v>6</v>
      </c>
      <c r="C2660" t="s">
        <v>178</v>
      </c>
      <c r="D2660" t="s">
        <v>28</v>
      </c>
      <c r="E2660" t="s">
        <v>216</v>
      </c>
      <c r="F2660" t="s">
        <v>28</v>
      </c>
      <c r="H2660" t="s">
        <v>10</v>
      </c>
      <c r="I2660" t="s">
        <v>219</v>
      </c>
      <c r="J2660">
        <v>11</v>
      </c>
      <c r="N2660">
        <f>Таблица1[[#This Row],[Часов на заказчика  в работе]]+Таблица1[[#This Row],[Часов на заказчика  дежурство]]</f>
        <v>0</v>
      </c>
      <c r="O26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0" s="9">
        <v>88000</v>
      </c>
      <c r="R2660" s="9"/>
      <c r="S2660" s="5">
        <v>1</v>
      </c>
      <c r="T26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табеле]])*S2660,0)</f>
        <v>2933.3333333333335</v>
      </c>
      <c r="U2660" s="5">
        <f>IF(Таблица1[[#This Row],[ТТН]]&gt;0,Таблица1[[#This Row],[Ставка за ТТН]]*Таблица1[[#This Row],[ТТН]],0)</f>
        <v>0</v>
      </c>
    </row>
    <row r="2661" spans="1:21" x14ac:dyDescent="0.25">
      <c r="A2661" t="s">
        <v>84</v>
      </c>
      <c r="B2661" s="24">
        <v>7</v>
      </c>
      <c r="C2661" t="s">
        <v>178</v>
      </c>
      <c r="D2661" t="s">
        <v>28</v>
      </c>
      <c r="E2661" t="s">
        <v>216</v>
      </c>
      <c r="F2661" t="s">
        <v>28</v>
      </c>
      <c r="H2661" t="s">
        <v>10</v>
      </c>
      <c r="I2661" t="s">
        <v>219</v>
      </c>
      <c r="J2661">
        <v>11</v>
      </c>
      <c r="N2661">
        <f>Таблица1[[#This Row],[Часов на заказчика  в работе]]+Таблица1[[#This Row],[Часов на заказчика  дежурство]]</f>
        <v>0</v>
      </c>
      <c r="O26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1" s="9">
        <v>88000</v>
      </c>
      <c r="R2661" s="9"/>
      <c r="S2661" s="5">
        <v>1</v>
      </c>
      <c r="T26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табеле]])*S2661,0)</f>
        <v>2933.3333333333335</v>
      </c>
      <c r="U2661" s="5">
        <f>IF(Таблица1[[#This Row],[ТТН]]&gt;0,Таблица1[[#This Row],[Ставка за ТТН]]*Таблица1[[#This Row],[ТТН]],0)</f>
        <v>0</v>
      </c>
    </row>
    <row r="2662" spans="1:21" x14ac:dyDescent="0.25">
      <c r="A2662" t="s">
        <v>84</v>
      </c>
      <c r="B2662" s="24">
        <v>8</v>
      </c>
      <c r="C2662" t="s">
        <v>178</v>
      </c>
      <c r="D2662" t="s">
        <v>28</v>
      </c>
      <c r="E2662" t="s">
        <v>216</v>
      </c>
      <c r="F2662" t="s">
        <v>28</v>
      </c>
      <c r="H2662" t="s">
        <v>10</v>
      </c>
      <c r="I2662" t="s">
        <v>219</v>
      </c>
      <c r="J2662">
        <v>11</v>
      </c>
      <c r="N2662">
        <f>Таблица1[[#This Row],[Часов на заказчика  в работе]]+Таблица1[[#This Row],[Часов на заказчика  дежурство]]</f>
        <v>0</v>
      </c>
      <c r="O26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2" s="9">
        <v>88000</v>
      </c>
      <c r="R2662" s="9"/>
      <c r="S2662" s="5">
        <v>1</v>
      </c>
      <c r="T26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табеле]])*S2662,0)</f>
        <v>2933.3333333333335</v>
      </c>
      <c r="U2662" s="5">
        <f>IF(Таблица1[[#This Row],[ТТН]]&gt;0,Таблица1[[#This Row],[Ставка за ТТН]]*Таблица1[[#This Row],[ТТН]],0)</f>
        <v>0</v>
      </c>
    </row>
    <row r="2663" spans="1:21" x14ac:dyDescent="0.25">
      <c r="A2663" t="s">
        <v>84</v>
      </c>
      <c r="B2663" s="24">
        <v>9</v>
      </c>
      <c r="C2663" t="s">
        <v>178</v>
      </c>
      <c r="D2663" t="s">
        <v>28</v>
      </c>
      <c r="E2663" t="s">
        <v>216</v>
      </c>
      <c r="F2663" t="s">
        <v>28</v>
      </c>
      <c r="H2663" t="s">
        <v>10</v>
      </c>
      <c r="I2663" t="s">
        <v>219</v>
      </c>
      <c r="J2663">
        <v>11</v>
      </c>
      <c r="N2663">
        <f>Таблица1[[#This Row],[Часов на заказчика  в работе]]+Таблица1[[#This Row],[Часов на заказчика  дежурство]]</f>
        <v>0</v>
      </c>
      <c r="O26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3" s="9">
        <v>88000</v>
      </c>
      <c r="R2663" s="9"/>
      <c r="S2663" s="5">
        <v>1</v>
      </c>
      <c r="T26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табеле]])*S2663,0)</f>
        <v>2933.3333333333335</v>
      </c>
      <c r="U2663" s="5">
        <f>IF(Таблица1[[#This Row],[ТТН]]&gt;0,Таблица1[[#This Row],[Ставка за ТТН]]*Таблица1[[#This Row],[ТТН]],0)</f>
        <v>0</v>
      </c>
    </row>
    <row r="2664" spans="1:21" x14ac:dyDescent="0.25">
      <c r="A2664" t="s">
        <v>84</v>
      </c>
      <c r="B2664" s="24">
        <v>10</v>
      </c>
      <c r="C2664" t="s">
        <v>178</v>
      </c>
      <c r="D2664" t="s">
        <v>28</v>
      </c>
      <c r="E2664" t="s">
        <v>216</v>
      </c>
      <c r="F2664" t="s">
        <v>28</v>
      </c>
      <c r="H2664" t="s">
        <v>10</v>
      </c>
      <c r="I2664" t="s">
        <v>219</v>
      </c>
      <c r="J2664">
        <v>11</v>
      </c>
      <c r="N2664">
        <f>Таблица1[[#This Row],[Часов на заказчика  в работе]]+Таблица1[[#This Row],[Часов на заказчика  дежурство]]</f>
        <v>0</v>
      </c>
      <c r="O26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4" s="9">
        <v>88000</v>
      </c>
      <c r="R2664" s="9"/>
      <c r="S2664" s="5">
        <v>1</v>
      </c>
      <c r="T26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табеле]])*S2664,0)</f>
        <v>2933.3333333333335</v>
      </c>
      <c r="U2664" s="5">
        <f>IF(Таблица1[[#This Row],[ТТН]]&gt;0,Таблица1[[#This Row],[Ставка за ТТН]]*Таблица1[[#This Row],[ТТН]],0)</f>
        <v>0</v>
      </c>
    </row>
    <row r="2665" spans="1:21" x14ac:dyDescent="0.25">
      <c r="A2665" t="s">
        <v>84</v>
      </c>
      <c r="B2665" s="24">
        <v>11</v>
      </c>
      <c r="C2665" t="s">
        <v>178</v>
      </c>
      <c r="D2665" t="s">
        <v>28</v>
      </c>
      <c r="E2665" t="s">
        <v>216</v>
      </c>
      <c r="F2665" t="s">
        <v>28</v>
      </c>
      <c r="H2665" t="s">
        <v>10</v>
      </c>
      <c r="I2665" t="s">
        <v>219</v>
      </c>
      <c r="J2665">
        <v>11</v>
      </c>
      <c r="N2665">
        <f>Таблица1[[#This Row],[Часов на заказчика  в работе]]+Таблица1[[#This Row],[Часов на заказчика  дежурство]]</f>
        <v>0</v>
      </c>
      <c r="O26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5" s="9">
        <v>88000</v>
      </c>
      <c r="R2665" s="9"/>
      <c r="S2665" s="5">
        <v>1</v>
      </c>
      <c r="T26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табеле]])*S2665,0)</f>
        <v>2933.3333333333335</v>
      </c>
      <c r="U2665" s="5">
        <f>IF(Таблица1[[#This Row],[ТТН]]&gt;0,Таблица1[[#This Row],[Ставка за ТТН]]*Таблица1[[#This Row],[ТТН]],0)</f>
        <v>0</v>
      </c>
    </row>
    <row r="2666" spans="1:21" x14ac:dyDescent="0.25">
      <c r="A2666" t="s">
        <v>84</v>
      </c>
      <c r="B2666" s="24">
        <v>12</v>
      </c>
      <c r="C2666" t="s">
        <v>178</v>
      </c>
      <c r="D2666" t="s">
        <v>28</v>
      </c>
      <c r="E2666" t="s">
        <v>216</v>
      </c>
      <c r="F2666" t="s">
        <v>28</v>
      </c>
      <c r="H2666" t="s">
        <v>10</v>
      </c>
      <c r="I2666" t="s">
        <v>219</v>
      </c>
      <c r="J2666">
        <v>11</v>
      </c>
      <c r="N2666">
        <f>Таблица1[[#This Row],[Часов на заказчика  в работе]]+Таблица1[[#This Row],[Часов на заказчика  дежурство]]</f>
        <v>0</v>
      </c>
      <c r="O26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6" s="9">
        <v>88000</v>
      </c>
      <c r="R2666" s="9"/>
      <c r="S2666" s="5">
        <v>1</v>
      </c>
      <c r="T26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табеле]])*S2666,0)</f>
        <v>2933.3333333333335</v>
      </c>
      <c r="U2666" s="5">
        <f>IF(Таблица1[[#This Row],[ТТН]]&gt;0,Таблица1[[#This Row],[Ставка за ТТН]]*Таблица1[[#This Row],[ТТН]],0)</f>
        <v>0</v>
      </c>
    </row>
    <row r="2667" spans="1:21" x14ac:dyDescent="0.25">
      <c r="A2667" t="s">
        <v>84</v>
      </c>
      <c r="B2667" s="24">
        <v>13</v>
      </c>
      <c r="C2667" t="s">
        <v>178</v>
      </c>
      <c r="D2667" t="s">
        <v>28</v>
      </c>
      <c r="E2667" t="s">
        <v>216</v>
      </c>
      <c r="F2667" t="s">
        <v>28</v>
      </c>
      <c r="H2667" t="s">
        <v>10</v>
      </c>
      <c r="I2667" t="s">
        <v>219</v>
      </c>
      <c r="J2667">
        <v>11</v>
      </c>
      <c r="N2667">
        <f>Таблица1[[#This Row],[Часов на заказчика  в работе]]+Таблица1[[#This Row],[Часов на заказчика  дежурство]]</f>
        <v>0</v>
      </c>
      <c r="O26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7" s="9">
        <v>88000</v>
      </c>
      <c r="R2667" s="9"/>
      <c r="S2667" s="5">
        <v>1</v>
      </c>
      <c r="T26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табеле]])*S2667,0)</f>
        <v>2933.3333333333335</v>
      </c>
      <c r="U2667" s="5">
        <f>IF(Таблица1[[#This Row],[ТТН]]&gt;0,Таблица1[[#This Row],[Ставка за ТТН]]*Таблица1[[#This Row],[ТТН]],0)</f>
        <v>0</v>
      </c>
    </row>
    <row r="2668" spans="1:21" x14ac:dyDescent="0.25">
      <c r="A2668" t="s">
        <v>84</v>
      </c>
      <c r="B2668" s="24">
        <v>14</v>
      </c>
      <c r="C2668" t="s">
        <v>178</v>
      </c>
      <c r="D2668" t="s">
        <v>28</v>
      </c>
      <c r="E2668" t="s">
        <v>216</v>
      </c>
      <c r="F2668" t="s">
        <v>28</v>
      </c>
      <c r="H2668" t="s">
        <v>10</v>
      </c>
      <c r="I2668" t="s">
        <v>219</v>
      </c>
      <c r="J2668">
        <v>11</v>
      </c>
      <c r="N2668">
        <f>Таблица1[[#This Row],[Часов на заказчика  в работе]]+Таблица1[[#This Row],[Часов на заказчика  дежурство]]</f>
        <v>0</v>
      </c>
      <c r="O26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8" s="9">
        <v>88000</v>
      </c>
      <c r="R2668" s="9"/>
      <c r="S2668" s="5">
        <v>1</v>
      </c>
      <c r="T26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табеле]])*S2668,0)</f>
        <v>2933.3333333333335</v>
      </c>
      <c r="U2668" s="5">
        <f>IF(Таблица1[[#This Row],[ТТН]]&gt;0,Таблица1[[#This Row],[Ставка за ТТН]]*Таблица1[[#This Row],[ТТН]],0)</f>
        <v>0</v>
      </c>
    </row>
    <row r="2669" spans="1:21" x14ac:dyDescent="0.25">
      <c r="A2669" t="s">
        <v>84</v>
      </c>
      <c r="B2669" s="24">
        <v>15</v>
      </c>
      <c r="C2669" t="s">
        <v>178</v>
      </c>
      <c r="D2669" t="s">
        <v>28</v>
      </c>
      <c r="E2669" t="s">
        <v>216</v>
      </c>
      <c r="F2669" t="s">
        <v>28</v>
      </c>
      <c r="H2669" t="s">
        <v>10</v>
      </c>
      <c r="I2669" t="s">
        <v>219</v>
      </c>
      <c r="J2669">
        <v>11</v>
      </c>
      <c r="N2669">
        <f>Таблица1[[#This Row],[Часов на заказчика  в работе]]+Таблица1[[#This Row],[Часов на заказчика  дежурство]]</f>
        <v>0</v>
      </c>
      <c r="O26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69" s="9">
        <v>88000</v>
      </c>
      <c r="R2669" s="9"/>
      <c r="S2669" s="5">
        <v>1</v>
      </c>
      <c r="T26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табеле]])*S2669,0)</f>
        <v>2933.3333333333335</v>
      </c>
      <c r="U2669" s="5">
        <f>IF(Таблица1[[#This Row],[ТТН]]&gt;0,Таблица1[[#This Row],[Ставка за ТТН]]*Таблица1[[#This Row],[ТТН]],0)</f>
        <v>0</v>
      </c>
    </row>
    <row r="2670" spans="1:21" x14ac:dyDescent="0.25">
      <c r="A2670" t="s">
        <v>84</v>
      </c>
      <c r="B2670" s="24">
        <v>16</v>
      </c>
      <c r="C2670" t="s">
        <v>178</v>
      </c>
      <c r="D2670" t="s">
        <v>28</v>
      </c>
      <c r="E2670" t="s">
        <v>216</v>
      </c>
      <c r="F2670" t="s">
        <v>28</v>
      </c>
      <c r="H2670" t="s">
        <v>10</v>
      </c>
      <c r="I2670" t="s">
        <v>219</v>
      </c>
      <c r="J2670">
        <v>11</v>
      </c>
      <c r="N2670">
        <f>Таблица1[[#This Row],[Часов на заказчика  в работе]]+Таблица1[[#This Row],[Часов на заказчика  дежурство]]</f>
        <v>0</v>
      </c>
      <c r="O26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0" s="9">
        <v>88000</v>
      </c>
      <c r="R2670" s="9"/>
      <c r="S2670" s="5">
        <v>1</v>
      </c>
      <c r="T26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табеле]])*S2670,0)</f>
        <v>2933.3333333333335</v>
      </c>
      <c r="U2670" s="5">
        <f>IF(Таблица1[[#This Row],[ТТН]]&gt;0,Таблица1[[#This Row],[Ставка за ТТН]]*Таблица1[[#This Row],[ТТН]],0)</f>
        <v>0</v>
      </c>
    </row>
    <row r="2671" spans="1:21" x14ac:dyDescent="0.25">
      <c r="A2671" t="s">
        <v>84</v>
      </c>
      <c r="B2671" s="24">
        <v>17</v>
      </c>
      <c r="C2671" t="s">
        <v>178</v>
      </c>
      <c r="D2671" t="s">
        <v>28</v>
      </c>
      <c r="E2671" t="s">
        <v>216</v>
      </c>
      <c r="F2671" t="s">
        <v>28</v>
      </c>
      <c r="H2671" t="s">
        <v>10</v>
      </c>
      <c r="I2671" t="s">
        <v>219</v>
      </c>
      <c r="J2671">
        <v>11</v>
      </c>
      <c r="N2671">
        <f>Таблица1[[#This Row],[Часов на заказчика  в работе]]+Таблица1[[#This Row],[Часов на заказчика  дежурство]]</f>
        <v>0</v>
      </c>
      <c r="O26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1" s="9">
        <v>88000</v>
      </c>
      <c r="R2671" s="9"/>
      <c r="S2671" s="5">
        <v>1</v>
      </c>
      <c r="T26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табеле]])*S2671,0)</f>
        <v>2933.3333333333335</v>
      </c>
      <c r="U2671" s="5">
        <f>IF(Таблица1[[#This Row],[ТТН]]&gt;0,Таблица1[[#This Row],[Ставка за ТТН]]*Таблица1[[#This Row],[ТТН]],0)</f>
        <v>0</v>
      </c>
    </row>
    <row r="2672" spans="1:21" x14ac:dyDescent="0.25">
      <c r="A2672" t="s">
        <v>84</v>
      </c>
      <c r="B2672" s="24">
        <v>18</v>
      </c>
      <c r="C2672" t="s">
        <v>178</v>
      </c>
      <c r="D2672" t="s">
        <v>28</v>
      </c>
      <c r="E2672" t="s">
        <v>216</v>
      </c>
      <c r="F2672" t="s">
        <v>28</v>
      </c>
      <c r="H2672" t="s">
        <v>10</v>
      </c>
      <c r="I2672" t="s">
        <v>219</v>
      </c>
      <c r="J2672">
        <v>11</v>
      </c>
      <c r="N2672">
        <f>Таблица1[[#This Row],[Часов на заказчика  в работе]]+Таблица1[[#This Row],[Часов на заказчика  дежурство]]</f>
        <v>0</v>
      </c>
      <c r="O26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2" s="9">
        <v>88000</v>
      </c>
      <c r="R2672" s="9"/>
      <c r="S2672" s="5">
        <v>1</v>
      </c>
      <c r="T26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табеле]])*S2672,0)</f>
        <v>2933.3333333333335</v>
      </c>
      <c r="U2672" s="5">
        <f>IF(Таблица1[[#This Row],[ТТН]]&gt;0,Таблица1[[#This Row],[Ставка за ТТН]]*Таблица1[[#This Row],[ТТН]],0)</f>
        <v>0</v>
      </c>
    </row>
    <row r="2673" spans="1:21" x14ac:dyDescent="0.25">
      <c r="A2673" t="s">
        <v>84</v>
      </c>
      <c r="B2673" s="24">
        <v>19</v>
      </c>
      <c r="C2673" t="s">
        <v>178</v>
      </c>
      <c r="D2673" t="s">
        <v>28</v>
      </c>
      <c r="E2673" t="s">
        <v>216</v>
      </c>
      <c r="F2673" t="s">
        <v>28</v>
      </c>
      <c r="H2673" t="s">
        <v>10</v>
      </c>
      <c r="I2673" t="s">
        <v>219</v>
      </c>
      <c r="J2673">
        <v>11</v>
      </c>
      <c r="N2673">
        <f>Таблица1[[#This Row],[Часов на заказчика  в работе]]+Таблица1[[#This Row],[Часов на заказчика  дежурство]]</f>
        <v>0</v>
      </c>
      <c r="O26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3" s="9">
        <v>88000</v>
      </c>
      <c r="R2673" s="9"/>
      <c r="S2673" s="5">
        <v>1</v>
      </c>
      <c r="T26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табеле]])*S2673,0)</f>
        <v>2933.3333333333335</v>
      </c>
      <c r="U2673" s="5">
        <f>IF(Таблица1[[#This Row],[ТТН]]&gt;0,Таблица1[[#This Row],[Ставка за ТТН]]*Таблица1[[#This Row],[ТТН]],0)</f>
        <v>0</v>
      </c>
    </row>
    <row r="2674" spans="1:21" x14ac:dyDescent="0.25">
      <c r="A2674" t="s">
        <v>84</v>
      </c>
      <c r="B2674" s="24">
        <v>20</v>
      </c>
      <c r="C2674" t="s">
        <v>178</v>
      </c>
      <c r="D2674" t="s">
        <v>28</v>
      </c>
      <c r="E2674" t="s">
        <v>216</v>
      </c>
      <c r="F2674" t="s">
        <v>28</v>
      </c>
      <c r="H2674" t="s">
        <v>10</v>
      </c>
      <c r="I2674" t="s">
        <v>219</v>
      </c>
      <c r="J2674">
        <v>11</v>
      </c>
      <c r="N2674">
        <f>Таблица1[[#This Row],[Часов на заказчика  в работе]]+Таблица1[[#This Row],[Часов на заказчика  дежурство]]</f>
        <v>0</v>
      </c>
      <c r="O26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4" s="9">
        <v>88000</v>
      </c>
      <c r="R2674" s="9"/>
      <c r="S2674" s="5">
        <v>1</v>
      </c>
      <c r="T26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табеле]])*S2674,0)</f>
        <v>2933.3333333333335</v>
      </c>
      <c r="U2674" s="5">
        <f>IF(Таблица1[[#This Row],[ТТН]]&gt;0,Таблица1[[#This Row],[Ставка за ТТН]]*Таблица1[[#This Row],[ТТН]],0)</f>
        <v>0</v>
      </c>
    </row>
    <row r="2675" spans="1:21" x14ac:dyDescent="0.25">
      <c r="A2675" t="s">
        <v>84</v>
      </c>
      <c r="B2675" s="24">
        <v>21</v>
      </c>
      <c r="C2675" t="s">
        <v>178</v>
      </c>
      <c r="D2675" t="s">
        <v>28</v>
      </c>
      <c r="E2675" t="s">
        <v>216</v>
      </c>
      <c r="F2675" t="s">
        <v>28</v>
      </c>
      <c r="H2675" t="s">
        <v>10</v>
      </c>
      <c r="I2675" t="s">
        <v>219</v>
      </c>
      <c r="J2675">
        <v>11</v>
      </c>
      <c r="N2675">
        <f>Таблица1[[#This Row],[Часов на заказчика  в работе]]+Таблица1[[#This Row],[Часов на заказчика  дежурство]]</f>
        <v>0</v>
      </c>
      <c r="O26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5" s="9">
        <v>88000</v>
      </c>
      <c r="R2675" s="9"/>
      <c r="S2675" s="5">
        <v>1</v>
      </c>
      <c r="T26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табеле]])*S2675,0)</f>
        <v>2933.3333333333335</v>
      </c>
      <c r="U2675" s="5">
        <f>IF(Таблица1[[#This Row],[ТТН]]&gt;0,Таблица1[[#This Row],[Ставка за ТТН]]*Таблица1[[#This Row],[ТТН]],0)</f>
        <v>0</v>
      </c>
    </row>
    <row r="2676" spans="1:21" x14ac:dyDescent="0.25">
      <c r="A2676" t="s">
        <v>84</v>
      </c>
      <c r="B2676" s="24">
        <v>22</v>
      </c>
      <c r="C2676" t="s">
        <v>178</v>
      </c>
      <c r="D2676" t="s">
        <v>28</v>
      </c>
      <c r="E2676" t="s">
        <v>216</v>
      </c>
      <c r="F2676" t="s">
        <v>28</v>
      </c>
      <c r="H2676" t="s">
        <v>10</v>
      </c>
      <c r="I2676" t="s">
        <v>219</v>
      </c>
      <c r="J2676">
        <v>11</v>
      </c>
      <c r="N2676">
        <f>Таблица1[[#This Row],[Часов на заказчика  в работе]]+Таблица1[[#This Row],[Часов на заказчика  дежурство]]</f>
        <v>0</v>
      </c>
      <c r="O26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6" s="9">
        <v>88000</v>
      </c>
      <c r="R2676" s="9"/>
      <c r="S2676" s="5">
        <v>1</v>
      </c>
      <c r="T26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табеле]])*S2676,0)</f>
        <v>2933.3333333333335</v>
      </c>
      <c r="U2676" s="5">
        <f>IF(Таблица1[[#This Row],[ТТН]]&gt;0,Таблица1[[#This Row],[Ставка за ТТН]]*Таблица1[[#This Row],[ТТН]],0)</f>
        <v>0</v>
      </c>
    </row>
    <row r="2677" spans="1:21" x14ac:dyDescent="0.25">
      <c r="A2677" t="s">
        <v>84</v>
      </c>
      <c r="B2677" s="24">
        <v>23</v>
      </c>
      <c r="C2677" t="s">
        <v>178</v>
      </c>
      <c r="D2677" t="s">
        <v>28</v>
      </c>
      <c r="E2677" t="s">
        <v>216</v>
      </c>
      <c r="F2677" t="s">
        <v>28</v>
      </c>
      <c r="H2677" t="s">
        <v>10</v>
      </c>
      <c r="I2677" t="s">
        <v>219</v>
      </c>
      <c r="J2677">
        <v>11</v>
      </c>
      <c r="N2677">
        <f>Таблица1[[#This Row],[Часов на заказчика  в работе]]+Таблица1[[#This Row],[Часов на заказчика  дежурство]]</f>
        <v>0</v>
      </c>
      <c r="O26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7" s="9">
        <v>88000</v>
      </c>
      <c r="R2677" s="9"/>
      <c r="S2677" s="5">
        <v>1</v>
      </c>
      <c r="T26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табеле]])*S2677,0)</f>
        <v>2933.3333333333335</v>
      </c>
      <c r="U2677" s="5">
        <f>IF(Таблица1[[#This Row],[ТТН]]&gt;0,Таблица1[[#This Row],[Ставка за ТТН]]*Таблица1[[#This Row],[ТТН]],0)</f>
        <v>0</v>
      </c>
    </row>
    <row r="2678" spans="1:21" x14ac:dyDescent="0.25">
      <c r="A2678" t="s">
        <v>84</v>
      </c>
      <c r="B2678" s="24">
        <v>24</v>
      </c>
      <c r="C2678" t="s">
        <v>178</v>
      </c>
      <c r="D2678" t="s">
        <v>28</v>
      </c>
      <c r="E2678" t="s">
        <v>216</v>
      </c>
      <c r="F2678" t="s">
        <v>28</v>
      </c>
      <c r="H2678" t="s">
        <v>10</v>
      </c>
      <c r="I2678" t="s">
        <v>219</v>
      </c>
      <c r="J2678">
        <v>11</v>
      </c>
      <c r="N2678">
        <f>Таблица1[[#This Row],[Часов на заказчика  в работе]]+Таблица1[[#This Row],[Часов на заказчика  дежурство]]</f>
        <v>0</v>
      </c>
      <c r="O26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8" s="9">
        <v>88000</v>
      </c>
      <c r="R2678" s="9"/>
      <c r="S2678" s="5">
        <v>1</v>
      </c>
      <c r="T26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табеле]])*S2678,0)</f>
        <v>2933.3333333333335</v>
      </c>
      <c r="U2678" s="5">
        <f>IF(Таблица1[[#This Row],[ТТН]]&gt;0,Таблица1[[#This Row],[Ставка за ТТН]]*Таблица1[[#This Row],[ТТН]],0)</f>
        <v>0</v>
      </c>
    </row>
    <row r="2679" spans="1:21" x14ac:dyDescent="0.25">
      <c r="A2679" t="s">
        <v>84</v>
      </c>
      <c r="B2679" s="24">
        <v>25</v>
      </c>
      <c r="C2679" t="s">
        <v>178</v>
      </c>
      <c r="D2679" t="s">
        <v>28</v>
      </c>
      <c r="E2679" t="s">
        <v>216</v>
      </c>
      <c r="F2679" t="s">
        <v>28</v>
      </c>
      <c r="H2679" t="s">
        <v>10</v>
      </c>
      <c r="I2679" t="s">
        <v>219</v>
      </c>
      <c r="J2679">
        <v>11</v>
      </c>
      <c r="N2679">
        <f>Таблица1[[#This Row],[Часов на заказчика  в работе]]+Таблица1[[#This Row],[Часов на заказчика  дежурство]]</f>
        <v>0</v>
      </c>
      <c r="O26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79" s="9">
        <v>88000</v>
      </c>
      <c r="R2679" s="9"/>
      <c r="S2679" s="5">
        <v>1</v>
      </c>
      <c r="T26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табеле]])*S2679,0)</f>
        <v>2933.3333333333335</v>
      </c>
      <c r="U2679" s="5">
        <f>IF(Таблица1[[#This Row],[ТТН]]&gt;0,Таблица1[[#This Row],[Ставка за ТТН]]*Таблица1[[#This Row],[ТТН]],0)</f>
        <v>0</v>
      </c>
    </row>
    <row r="2680" spans="1:21" x14ac:dyDescent="0.25">
      <c r="A2680" t="s">
        <v>84</v>
      </c>
      <c r="B2680" s="24">
        <v>26</v>
      </c>
      <c r="C2680" t="s">
        <v>178</v>
      </c>
      <c r="D2680" t="s">
        <v>28</v>
      </c>
      <c r="E2680" t="s">
        <v>216</v>
      </c>
      <c r="F2680" t="s">
        <v>28</v>
      </c>
      <c r="H2680" t="s">
        <v>10</v>
      </c>
      <c r="I2680" t="s">
        <v>219</v>
      </c>
      <c r="J2680">
        <v>11</v>
      </c>
      <c r="N2680">
        <f>Таблица1[[#This Row],[Часов на заказчика  в работе]]+Таблица1[[#This Row],[Часов на заказчика  дежурство]]</f>
        <v>0</v>
      </c>
      <c r="O26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0" s="9">
        <v>88000</v>
      </c>
      <c r="R2680" s="9"/>
      <c r="S2680" s="5">
        <v>1</v>
      </c>
      <c r="T26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табеле]])*S2680,0)</f>
        <v>2933.3333333333335</v>
      </c>
      <c r="U2680" s="5">
        <f>IF(Таблица1[[#This Row],[ТТН]]&gt;0,Таблица1[[#This Row],[Ставка за ТТН]]*Таблица1[[#This Row],[ТТН]],0)</f>
        <v>0</v>
      </c>
    </row>
    <row r="2681" spans="1:21" x14ac:dyDescent="0.25">
      <c r="A2681" t="s">
        <v>84</v>
      </c>
      <c r="B2681" s="24">
        <v>27</v>
      </c>
      <c r="C2681" t="s">
        <v>178</v>
      </c>
      <c r="D2681" t="s">
        <v>28</v>
      </c>
      <c r="E2681" t="s">
        <v>216</v>
      </c>
      <c r="F2681" t="s">
        <v>28</v>
      </c>
      <c r="H2681" t="s">
        <v>10</v>
      </c>
      <c r="I2681" t="s">
        <v>219</v>
      </c>
      <c r="J2681">
        <v>11</v>
      </c>
      <c r="N2681">
        <f>Таблица1[[#This Row],[Часов на заказчика  в работе]]+Таблица1[[#This Row],[Часов на заказчика  дежурство]]</f>
        <v>0</v>
      </c>
      <c r="O26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1" s="9">
        <v>88000</v>
      </c>
      <c r="R2681" s="9"/>
      <c r="S2681" s="5">
        <v>1</v>
      </c>
      <c r="T26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табеле]])*S2681,0)</f>
        <v>2933.3333333333335</v>
      </c>
      <c r="U2681" s="5">
        <f>IF(Таблица1[[#This Row],[ТТН]]&gt;0,Таблица1[[#This Row],[Ставка за ТТН]]*Таблица1[[#This Row],[ТТН]],0)</f>
        <v>0</v>
      </c>
    </row>
    <row r="2682" spans="1:21" x14ac:dyDescent="0.25">
      <c r="A2682" t="s">
        <v>84</v>
      </c>
      <c r="B2682" s="24">
        <v>28</v>
      </c>
      <c r="C2682" t="s">
        <v>178</v>
      </c>
      <c r="D2682" t="s">
        <v>28</v>
      </c>
      <c r="E2682" t="s">
        <v>216</v>
      </c>
      <c r="F2682" t="s">
        <v>28</v>
      </c>
      <c r="H2682" t="s">
        <v>10</v>
      </c>
      <c r="I2682" t="s">
        <v>219</v>
      </c>
      <c r="J2682">
        <v>11</v>
      </c>
      <c r="N2682">
        <f>Таблица1[[#This Row],[Часов на заказчика  в работе]]+Таблица1[[#This Row],[Часов на заказчика  дежурство]]</f>
        <v>0</v>
      </c>
      <c r="O26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2" s="9">
        <v>88000</v>
      </c>
      <c r="R2682" s="9"/>
      <c r="S2682" s="5">
        <v>1</v>
      </c>
      <c r="T26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табеле]])*S2682,0)</f>
        <v>2933.3333333333335</v>
      </c>
      <c r="U2682" s="5">
        <f>IF(Таблица1[[#This Row],[ТТН]]&gt;0,Таблица1[[#This Row],[Ставка за ТТН]]*Таблица1[[#This Row],[ТТН]],0)</f>
        <v>0</v>
      </c>
    </row>
    <row r="2683" spans="1:21" x14ac:dyDescent="0.25">
      <c r="A2683" t="s">
        <v>84</v>
      </c>
      <c r="B2683" s="24">
        <v>29</v>
      </c>
      <c r="C2683" t="s">
        <v>178</v>
      </c>
      <c r="D2683" t="s">
        <v>28</v>
      </c>
      <c r="E2683" t="s">
        <v>216</v>
      </c>
      <c r="F2683" t="s">
        <v>28</v>
      </c>
      <c r="H2683" t="s">
        <v>10</v>
      </c>
      <c r="I2683" t="s">
        <v>219</v>
      </c>
      <c r="J2683">
        <v>11</v>
      </c>
      <c r="N2683">
        <f>Таблица1[[#This Row],[Часов на заказчика  в работе]]+Таблица1[[#This Row],[Часов на заказчика  дежурство]]</f>
        <v>0</v>
      </c>
      <c r="O26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3" s="9">
        <v>88000</v>
      </c>
      <c r="R2683" s="9"/>
      <c r="S2683" s="5">
        <v>1</v>
      </c>
      <c r="T26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табеле]])*S2683,0)</f>
        <v>2933.3333333333335</v>
      </c>
      <c r="U2683" s="5">
        <f>IF(Таблица1[[#This Row],[ТТН]]&gt;0,Таблица1[[#This Row],[Ставка за ТТН]]*Таблица1[[#This Row],[ТТН]],0)</f>
        <v>0</v>
      </c>
    </row>
    <row r="2684" spans="1:21" x14ac:dyDescent="0.25">
      <c r="A2684" t="s">
        <v>84</v>
      </c>
      <c r="B2684" s="24">
        <v>30</v>
      </c>
      <c r="C2684" t="s">
        <v>179</v>
      </c>
      <c r="D2684" t="s">
        <v>28</v>
      </c>
      <c r="E2684" t="s">
        <v>216</v>
      </c>
      <c r="F2684" t="s">
        <v>28</v>
      </c>
      <c r="H2684" t="s">
        <v>10</v>
      </c>
      <c r="I2684" t="s">
        <v>219</v>
      </c>
      <c r="J2684">
        <v>11</v>
      </c>
      <c r="N2684">
        <f>Таблица1[[#This Row],[Часов на заказчика  в работе]]+Таблица1[[#This Row],[Часов на заказчика  дежурство]]</f>
        <v>0</v>
      </c>
      <c r="O26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4" s="9">
        <v>88000</v>
      </c>
      <c r="R2684" s="9"/>
      <c r="S2684" s="5">
        <v>1</v>
      </c>
      <c r="T26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табеле]])*S2684,0)</f>
        <v>2933.3333333333335</v>
      </c>
      <c r="U2684" s="5">
        <f>IF(Таблица1[[#This Row],[ТТН]]&gt;0,Таблица1[[#This Row],[Ставка за ТТН]]*Таблица1[[#This Row],[ТТН]],0)</f>
        <v>0</v>
      </c>
    </row>
    <row r="2685" spans="1:21" x14ac:dyDescent="0.25">
      <c r="A2685" t="s">
        <v>84</v>
      </c>
      <c r="B2685" s="24">
        <v>1</v>
      </c>
      <c r="C2685" t="s">
        <v>179</v>
      </c>
      <c r="D2685" t="s">
        <v>71</v>
      </c>
      <c r="E2685" t="s">
        <v>216</v>
      </c>
      <c r="F2685" t="s">
        <v>71</v>
      </c>
      <c r="H2685" t="s">
        <v>10</v>
      </c>
      <c r="I2685" t="s">
        <v>217</v>
      </c>
      <c r="J2685">
        <v>11</v>
      </c>
      <c r="N2685">
        <f>Таблица1[[#This Row],[Часов на заказчика  в работе]]+Таблица1[[#This Row],[Часов на заказчика  дежурство]]</f>
        <v>0</v>
      </c>
      <c r="O26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5" s="9"/>
      <c r="R2685" s="9"/>
      <c r="S2685" s="5">
        <v>1</v>
      </c>
      <c r="T26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табеле]])*S2685,0)</f>
        <v>0</v>
      </c>
      <c r="U2685" s="5">
        <f>IF(Таблица1[[#This Row],[ТТН]]&gt;0,Таблица1[[#This Row],[Ставка за ТТН]]*Таблица1[[#This Row],[ТТН]],0)</f>
        <v>0</v>
      </c>
    </row>
    <row r="2686" spans="1:21" x14ac:dyDescent="0.25">
      <c r="A2686" t="s">
        <v>84</v>
      </c>
      <c r="B2686" s="24">
        <v>2</v>
      </c>
      <c r="C2686" t="s">
        <v>179</v>
      </c>
      <c r="D2686" t="s">
        <v>71</v>
      </c>
      <c r="E2686" t="s">
        <v>216</v>
      </c>
      <c r="F2686" t="s">
        <v>71</v>
      </c>
      <c r="H2686" t="s">
        <v>10</v>
      </c>
      <c r="I2686" t="s">
        <v>217</v>
      </c>
      <c r="J2686">
        <v>11</v>
      </c>
      <c r="N2686">
        <f>Таблица1[[#This Row],[Часов на заказчика  в работе]]+Таблица1[[#This Row],[Часов на заказчика  дежурство]]</f>
        <v>0</v>
      </c>
      <c r="O26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6" s="9"/>
      <c r="R2686" s="9"/>
      <c r="S2686" s="5">
        <v>1</v>
      </c>
      <c r="T26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табеле]])*S2686,0)</f>
        <v>0</v>
      </c>
      <c r="U2686" s="5">
        <f>IF(Таблица1[[#This Row],[ТТН]]&gt;0,Таблица1[[#This Row],[Ставка за ТТН]]*Таблица1[[#This Row],[ТТН]],0)</f>
        <v>0</v>
      </c>
    </row>
    <row r="2687" spans="1:21" x14ac:dyDescent="0.25">
      <c r="A2687" t="s">
        <v>84</v>
      </c>
      <c r="B2687" s="24">
        <v>3</v>
      </c>
      <c r="C2687" t="s">
        <v>179</v>
      </c>
      <c r="D2687" t="s">
        <v>71</v>
      </c>
      <c r="E2687" t="s">
        <v>216</v>
      </c>
      <c r="F2687" t="s">
        <v>71</v>
      </c>
      <c r="H2687" t="s">
        <v>10</v>
      </c>
      <c r="I2687" t="s">
        <v>217</v>
      </c>
      <c r="J2687">
        <v>11</v>
      </c>
      <c r="N2687">
        <f>Таблица1[[#This Row],[Часов на заказчика  в работе]]+Таблица1[[#This Row],[Часов на заказчика  дежурство]]</f>
        <v>0</v>
      </c>
      <c r="O26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7" s="9"/>
      <c r="R2687" s="9"/>
      <c r="S2687" s="5">
        <v>1</v>
      </c>
      <c r="T26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табеле]])*S2687,0)</f>
        <v>0</v>
      </c>
      <c r="U2687" s="5">
        <f>IF(Таблица1[[#This Row],[ТТН]]&gt;0,Таблица1[[#This Row],[Ставка за ТТН]]*Таблица1[[#This Row],[ТТН]],0)</f>
        <v>0</v>
      </c>
    </row>
    <row r="2688" spans="1:21" x14ac:dyDescent="0.25">
      <c r="A2688" t="s">
        <v>84</v>
      </c>
      <c r="B2688" s="24">
        <v>4</v>
      </c>
      <c r="C2688" t="s">
        <v>179</v>
      </c>
      <c r="D2688" t="s">
        <v>71</v>
      </c>
      <c r="E2688" t="s">
        <v>216</v>
      </c>
      <c r="F2688" t="s">
        <v>71</v>
      </c>
      <c r="H2688" t="s">
        <v>10</v>
      </c>
      <c r="I2688" t="s">
        <v>217</v>
      </c>
      <c r="J2688">
        <v>11</v>
      </c>
      <c r="N2688">
        <f>Таблица1[[#This Row],[Часов на заказчика  в работе]]+Таблица1[[#This Row],[Часов на заказчика  дежурство]]</f>
        <v>0</v>
      </c>
      <c r="O26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8" s="9"/>
      <c r="R2688" s="9"/>
      <c r="S2688" s="5">
        <v>1</v>
      </c>
      <c r="T26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табеле]])*S2688,0)</f>
        <v>0</v>
      </c>
      <c r="U2688" s="5">
        <f>IF(Таблица1[[#This Row],[ТТН]]&gt;0,Таблица1[[#This Row],[Ставка за ТТН]]*Таблица1[[#This Row],[ТТН]],0)</f>
        <v>0</v>
      </c>
    </row>
    <row r="2689" spans="1:21" x14ac:dyDescent="0.25">
      <c r="A2689" t="s">
        <v>84</v>
      </c>
      <c r="B2689" s="24">
        <v>5</v>
      </c>
      <c r="C2689" t="s">
        <v>179</v>
      </c>
      <c r="D2689" t="s">
        <v>71</v>
      </c>
      <c r="E2689" t="s">
        <v>216</v>
      </c>
      <c r="F2689" t="s">
        <v>71</v>
      </c>
      <c r="H2689" t="s">
        <v>10</v>
      </c>
      <c r="I2689" t="s">
        <v>217</v>
      </c>
      <c r="J2689">
        <v>11</v>
      </c>
      <c r="N2689">
        <f>Таблица1[[#This Row],[Часов на заказчика  в работе]]+Таблица1[[#This Row],[Часов на заказчика  дежурство]]</f>
        <v>0</v>
      </c>
      <c r="O26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89" s="9"/>
      <c r="R2689" s="9"/>
      <c r="S2689" s="5">
        <v>1</v>
      </c>
      <c r="T26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табеле]])*S2689,0)</f>
        <v>0</v>
      </c>
      <c r="U2689" s="5">
        <f>IF(Таблица1[[#This Row],[ТТН]]&gt;0,Таблица1[[#This Row],[Ставка за ТТН]]*Таблица1[[#This Row],[ТТН]],0)</f>
        <v>0</v>
      </c>
    </row>
    <row r="2690" spans="1:21" x14ac:dyDescent="0.25">
      <c r="A2690" t="s">
        <v>84</v>
      </c>
      <c r="B2690" s="24">
        <v>6</v>
      </c>
      <c r="C2690" t="s">
        <v>179</v>
      </c>
      <c r="D2690" t="s">
        <v>71</v>
      </c>
      <c r="E2690" t="s">
        <v>216</v>
      </c>
      <c r="F2690" t="s">
        <v>71</v>
      </c>
      <c r="H2690" t="s">
        <v>10</v>
      </c>
      <c r="I2690" t="s">
        <v>217</v>
      </c>
      <c r="J2690">
        <v>11</v>
      </c>
      <c r="N2690">
        <f>Таблица1[[#This Row],[Часов на заказчика  в работе]]+Таблица1[[#This Row],[Часов на заказчика  дежурство]]</f>
        <v>0</v>
      </c>
      <c r="O26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0" s="9"/>
      <c r="R2690" s="9"/>
      <c r="S2690" s="5">
        <v>1</v>
      </c>
      <c r="T26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табеле]])*S2690,0)</f>
        <v>0</v>
      </c>
      <c r="U2690" s="5">
        <f>IF(Таблица1[[#This Row],[ТТН]]&gt;0,Таблица1[[#This Row],[Ставка за ТТН]]*Таблица1[[#This Row],[ТТН]],0)</f>
        <v>0</v>
      </c>
    </row>
    <row r="2691" spans="1:21" x14ac:dyDescent="0.25">
      <c r="A2691" t="s">
        <v>84</v>
      </c>
      <c r="B2691" s="24">
        <v>7</v>
      </c>
      <c r="C2691" t="s">
        <v>179</v>
      </c>
      <c r="D2691" t="s">
        <v>71</v>
      </c>
      <c r="E2691" t="s">
        <v>216</v>
      </c>
      <c r="F2691" t="s">
        <v>71</v>
      </c>
      <c r="H2691" t="s">
        <v>10</v>
      </c>
      <c r="I2691" t="s">
        <v>217</v>
      </c>
      <c r="J2691">
        <v>11</v>
      </c>
      <c r="N2691">
        <f>Таблица1[[#This Row],[Часов на заказчика  в работе]]+Таблица1[[#This Row],[Часов на заказчика  дежурство]]</f>
        <v>0</v>
      </c>
      <c r="O26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1" s="9"/>
      <c r="R2691" s="9"/>
      <c r="S2691" s="5">
        <v>1</v>
      </c>
      <c r="T26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табеле]])*S2691,0)</f>
        <v>0</v>
      </c>
      <c r="U2691" s="5">
        <f>IF(Таблица1[[#This Row],[ТТН]]&gt;0,Таблица1[[#This Row],[Ставка за ТТН]]*Таблица1[[#This Row],[ТТН]],0)</f>
        <v>0</v>
      </c>
    </row>
    <row r="2692" spans="1:21" x14ac:dyDescent="0.25">
      <c r="A2692" t="s">
        <v>84</v>
      </c>
      <c r="B2692" s="24">
        <v>8</v>
      </c>
      <c r="C2692" t="s">
        <v>179</v>
      </c>
      <c r="D2692" t="s">
        <v>71</v>
      </c>
      <c r="E2692" t="s">
        <v>216</v>
      </c>
      <c r="F2692" t="s">
        <v>71</v>
      </c>
      <c r="H2692" t="s">
        <v>10</v>
      </c>
      <c r="I2692" t="s">
        <v>217</v>
      </c>
      <c r="J2692">
        <v>11</v>
      </c>
      <c r="N2692">
        <f>Таблица1[[#This Row],[Часов на заказчика  в работе]]+Таблица1[[#This Row],[Часов на заказчика  дежурство]]</f>
        <v>0</v>
      </c>
      <c r="O26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2" s="9"/>
      <c r="R2692" s="9"/>
      <c r="S2692" s="5">
        <v>1</v>
      </c>
      <c r="T26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табеле]])*S2692,0)</f>
        <v>0</v>
      </c>
      <c r="U2692" s="5">
        <f>IF(Таблица1[[#This Row],[ТТН]]&gt;0,Таблица1[[#This Row],[Ставка за ТТН]]*Таблица1[[#This Row],[ТТН]],0)</f>
        <v>0</v>
      </c>
    </row>
    <row r="2693" spans="1:21" x14ac:dyDescent="0.25">
      <c r="A2693" t="s">
        <v>84</v>
      </c>
      <c r="B2693" s="24">
        <v>9</v>
      </c>
      <c r="C2693" t="s">
        <v>179</v>
      </c>
      <c r="D2693" t="s">
        <v>71</v>
      </c>
      <c r="E2693" t="s">
        <v>216</v>
      </c>
      <c r="F2693" t="s">
        <v>71</v>
      </c>
      <c r="H2693" t="s">
        <v>10</v>
      </c>
      <c r="I2693" t="s">
        <v>217</v>
      </c>
      <c r="J2693">
        <v>11</v>
      </c>
      <c r="N2693">
        <f>Таблица1[[#This Row],[Часов на заказчика  в работе]]+Таблица1[[#This Row],[Часов на заказчика  дежурство]]</f>
        <v>0</v>
      </c>
      <c r="O26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3" s="9"/>
      <c r="R2693" s="9"/>
      <c r="S2693" s="5">
        <v>1</v>
      </c>
      <c r="T26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табеле]])*S2693,0)</f>
        <v>0</v>
      </c>
      <c r="U2693" s="5">
        <f>IF(Таблица1[[#This Row],[ТТН]]&gt;0,Таблица1[[#This Row],[Ставка за ТТН]]*Таблица1[[#This Row],[ТТН]],0)</f>
        <v>0</v>
      </c>
    </row>
    <row r="2694" spans="1:21" x14ac:dyDescent="0.25">
      <c r="A2694" t="s">
        <v>84</v>
      </c>
      <c r="B2694" s="24">
        <v>10</v>
      </c>
      <c r="C2694" t="s">
        <v>179</v>
      </c>
      <c r="D2694" t="s">
        <v>71</v>
      </c>
      <c r="E2694" t="s">
        <v>216</v>
      </c>
      <c r="F2694" t="s">
        <v>71</v>
      </c>
      <c r="H2694" t="s">
        <v>10</v>
      </c>
      <c r="I2694" t="s">
        <v>217</v>
      </c>
      <c r="J2694">
        <v>11</v>
      </c>
      <c r="N2694">
        <f>Таблица1[[#This Row],[Часов на заказчика  в работе]]+Таблица1[[#This Row],[Часов на заказчика  дежурство]]</f>
        <v>0</v>
      </c>
      <c r="O26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4" s="9"/>
      <c r="R2694" s="9"/>
      <c r="S2694" s="5">
        <v>1</v>
      </c>
      <c r="T26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табеле]])*S2694,0)</f>
        <v>0</v>
      </c>
      <c r="U2694" s="5">
        <f>IF(Таблица1[[#This Row],[ТТН]]&gt;0,Таблица1[[#This Row],[Ставка за ТТН]]*Таблица1[[#This Row],[ТТН]],0)</f>
        <v>0</v>
      </c>
    </row>
    <row r="2695" spans="1:21" x14ac:dyDescent="0.25">
      <c r="A2695" t="s">
        <v>84</v>
      </c>
      <c r="B2695" s="24">
        <v>11</v>
      </c>
      <c r="C2695" t="s">
        <v>179</v>
      </c>
      <c r="D2695" t="s">
        <v>71</v>
      </c>
      <c r="E2695" t="s">
        <v>216</v>
      </c>
      <c r="F2695" t="s">
        <v>71</v>
      </c>
      <c r="H2695" t="s">
        <v>10</v>
      </c>
      <c r="I2695" t="s">
        <v>217</v>
      </c>
      <c r="J2695">
        <v>11</v>
      </c>
      <c r="N2695">
        <f>Таблица1[[#This Row],[Часов на заказчика  в работе]]+Таблица1[[#This Row],[Часов на заказчика  дежурство]]</f>
        <v>0</v>
      </c>
      <c r="O26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5" s="9"/>
      <c r="R2695" s="9"/>
      <c r="S2695" s="5">
        <v>1</v>
      </c>
      <c r="T26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табеле]])*S2695,0)</f>
        <v>0</v>
      </c>
      <c r="U2695" s="5">
        <f>IF(Таблица1[[#This Row],[ТТН]]&gt;0,Таблица1[[#This Row],[Ставка за ТТН]]*Таблица1[[#This Row],[ТТН]],0)</f>
        <v>0</v>
      </c>
    </row>
    <row r="2696" spans="1:21" x14ac:dyDescent="0.25">
      <c r="A2696" t="s">
        <v>84</v>
      </c>
      <c r="B2696" s="24">
        <v>12</v>
      </c>
      <c r="C2696" t="s">
        <v>179</v>
      </c>
      <c r="D2696" t="s">
        <v>71</v>
      </c>
      <c r="E2696" t="s">
        <v>216</v>
      </c>
      <c r="F2696" t="s">
        <v>71</v>
      </c>
      <c r="H2696" t="s">
        <v>10</v>
      </c>
      <c r="I2696" t="s">
        <v>217</v>
      </c>
      <c r="J2696">
        <v>11</v>
      </c>
      <c r="N2696">
        <f>Таблица1[[#This Row],[Часов на заказчика  в работе]]+Таблица1[[#This Row],[Часов на заказчика  дежурство]]</f>
        <v>0</v>
      </c>
      <c r="O26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6" s="9"/>
      <c r="R2696" s="9"/>
      <c r="S2696" s="5">
        <v>1</v>
      </c>
      <c r="T26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табеле]])*S2696,0)</f>
        <v>0</v>
      </c>
      <c r="U2696" s="5">
        <f>IF(Таблица1[[#This Row],[ТТН]]&gt;0,Таблица1[[#This Row],[Ставка за ТТН]]*Таблица1[[#This Row],[ТТН]],0)</f>
        <v>0</v>
      </c>
    </row>
    <row r="2697" spans="1:21" x14ac:dyDescent="0.25">
      <c r="A2697" t="s">
        <v>84</v>
      </c>
      <c r="B2697" s="24">
        <v>13</v>
      </c>
      <c r="C2697" t="s">
        <v>179</v>
      </c>
      <c r="D2697" t="s">
        <v>71</v>
      </c>
      <c r="E2697" t="s">
        <v>216</v>
      </c>
      <c r="F2697" t="s">
        <v>71</v>
      </c>
      <c r="H2697" t="s">
        <v>10</v>
      </c>
      <c r="I2697" t="s">
        <v>217</v>
      </c>
      <c r="J2697">
        <v>11</v>
      </c>
      <c r="N2697">
        <f>Таблица1[[#This Row],[Часов на заказчика  в работе]]+Таблица1[[#This Row],[Часов на заказчика  дежурство]]</f>
        <v>0</v>
      </c>
      <c r="O26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7" s="9"/>
      <c r="R2697" s="9"/>
      <c r="S2697" s="5">
        <v>1</v>
      </c>
      <c r="T26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табеле]])*S2697,0)</f>
        <v>0</v>
      </c>
      <c r="U2697" s="5">
        <f>IF(Таблица1[[#This Row],[ТТН]]&gt;0,Таблица1[[#This Row],[Ставка за ТТН]]*Таблица1[[#This Row],[ТТН]],0)</f>
        <v>0</v>
      </c>
    </row>
    <row r="2698" spans="1:21" x14ac:dyDescent="0.25">
      <c r="A2698" t="s">
        <v>84</v>
      </c>
      <c r="B2698" s="24">
        <v>14</v>
      </c>
      <c r="C2698" t="s">
        <v>179</v>
      </c>
      <c r="D2698" t="s">
        <v>71</v>
      </c>
      <c r="E2698" t="s">
        <v>216</v>
      </c>
      <c r="F2698" t="s">
        <v>71</v>
      </c>
      <c r="H2698" t="s">
        <v>10</v>
      </c>
      <c r="I2698" t="s">
        <v>217</v>
      </c>
      <c r="J2698">
        <v>11</v>
      </c>
      <c r="N2698">
        <f>Таблица1[[#This Row],[Часов на заказчика  в работе]]+Таблица1[[#This Row],[Часов на заказчика  дежурство]]</f>
        <v>0</v>
      </c>
      <c r="O26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8" s="9"/>
      <c r="R2698" s="9"/>
      <c r="S2698" s="5">
        <v>1</v>
      </c>
      <c r="T26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табеле]])*S2698,0)</f>
        <v>0</v>
      </c>
      <c r="U2698" s="5">
        <f>IF(Таблица1[[#This Row],[ТТН]]&gt;0,Таблица1[[#This Row],[Ставка за ТТН]]*Таблица1[[#This Row],[ТТН]],0)</f>
        <v>0</v>
      </c>
    </row>
    <row r="2699" spans="1:21" x14ac:dyDescent="0.25">
      <c r="A2699" t="s">
        <v>84</v>
      </c>
      <c r="B2699" s="24">
        <v>15</v>
      </c>
      <c r="C2699" t="s">
        <v>179</v>
      </c>
      <c r="D2699" t="s">
        <v>71</v>
      </c>
      <c r="E2699" t="s">
        <v>216</v>
      </c>
      <c r="F2699" t="s">
        <v>71</v>
      </c>
      <c r="H2699" t="s">
        <v>24</v>
      </c>
      <c r="I2699" t="s">
        <v>217</v>
      </c>
      <c r="J2699">
        <v>8</v>
      </c>
      <c r="N2699">
        <f>Таблица1[[#This Row],[Часов на заказчика  в работе]]+Таблица1[[#This Row],[Часов на заказчика  дежурство]]</f>
        <v>0</v>
      </c>
      <c r="O26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699" s="9"/>
      <c r="R2699" s="9"/>
      <c r="S2699" s="5">
        <v>1</v>
      </c>
      <c r="T26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табеле]])*S2699,0)</f>
        <v>0</v>
      </c>
      <c r="U2699" s="5">
        <f>IF(Таблица1[[#This Row],[ТТН]]&gt;0,Таблица1[[#This Row],[Ставка за ТТН]]*Таблица1[[#This Row],[ТТН]],0)</f>
        <v>0</v>
      </c>
    </row>
    <row r="2700" spans="1:21" x14ac:dyDescent="0.25">
      <c r="A2700" t="s">
        <v>84</v>
      </c>
      <c r="B2700" s="24">
        <v>16</v>
      </c>
      <c r="C2700" t="s">
        <v>179</v>
      </c>
      <c r="D2700" t="s">
        <v>71</v>
      </c>
      <c r="E2700" t="s">
        <v>216</v>
      </c>
      <c r="F2700" t="s">
        <v>71</v>
      </c>
      <c r="H2700" t="s">
        <v>24</v>
      </c>
      <c r="I2700" t="s">
        <v>217</v>
      </c>
      <c r="J2700">
        <v>8</v>
      </c>
      <c r="N2700">
        <f>Таблица1[[#This Row],[Часов на заказчика  в работе]]+Таблица1[[#This Row],[Часов на заказчика  дежурство]]</f>
        <v>0</v>
      </c>
      <c r="O27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0" s="9"/>
      <c r="R2700" s="9"/>
      <c r="S2700" s="5">
        <v>1</v>
      </c>
      <c r="T27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табеле]])*S2700,0)</f>
        <v>0</v>
      </c>
      <c r="U2700" s="5">
        <f>IF(Таблица1[[#This Row],[ТТН]]&gt;0,Таблица1[[#This Row],[Ставка за ТТН]]*Таблица1[[#This Row],[ТТН]],0)</f>
        <v>0</v>
      </c>
    </row>
    <row r="2701" spans="1:21" x14ac:dyDescent="0.25">
      <c r="A2701" t="s">
        <v>84</v>
      </c>
      <c r="B2701" s="24">
        <v>17</v>
      </c>
      <c r="C2701" t="s">
        <v>179</v>
      </c>
      <c r="D2701" t="s">
        <v>71</v>
      </c>
      <c r="E2701" t="s">
        <v>216</v>
      </c>
      <c r="F2701" t="s">
        <v>71</v>
      </c>
      <c r="H2701" t="s">
        <v>29</v>
      </c>
      <c r="I2701" t="s">
        <v>217</v>
      </c>
      <c r="J2701">
        <v>8</v>
      </c>
      <c r="N2701">
        <f>Таблица1[[#This Row],[Часов на заказчика  в работе]]+Таблица1[[#This Row],[Часов на заказчика  дежурство]]</f>
        <v>0</v>
      </c>
      <c r="O27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1" s="9"/>
      <c r="R2701" s="9"/>
      <c r="S2701" s="5">
        <v>1</v>
      </c>
      <c r="T27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табеле]])*S2701,0)</f>
        <v>0</v>
      </c>
      <c r="U2701" s="5">
        <f>IF(Таблица1[[#This Row],[ТТН]]&gt;0,Таблица1[[#This Row],[Ставка за ТТН]]*Таблица1[[#This Row],[ТТН]],0)</f>
        <v>0</v>
      </c>
    </row>
    <row r="2702" spans="1:21" x14ac:dyDescent="0.25">
      <c r="A2702" t="s">
        <v>84</v>
      </c>
      <c r="B2702" s="24">
        <v>18</v>
      </c>
      <c r="C2702" t="s">
        <v>179</v>
      </c>
      <c r="D2702" t="s">
        <v>71</v>
      </c>
      <c r="E2702" t="s">
        <v>216</v>
      </c>
      <c r="F2702" t="s">
        <v>71</v>
      </c>
      <c r="H2702" t="s">
        <v>29</v>
      </c>
      <c r="I2702" t="s">
        <v>217</v>
      </c>
      <c r="J2702">
        <v>8</v>
      </c>
      <c r="N2702">
        <f>Таблица1[[#This Row],[Часов на заказчика  в работе]]+Таблица1[[#This Row],[Часов на заказчика  дежурство]]</f>
        <v>0</v>
      </c>
      <c r="O27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2" s="9"/>
      <c r="R2702" s="9"/>
      <c r="S2702" s="5">
        <v>1</v>
      </c>
      <c r="T27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табеле]])*S2702,0)</f>
        <v>0</v>
      </c>
      <c r="U2702" s="5">
        <f>IF(Таблица1[[#This Row],[ТТН]]&gt;0,Таблица1[[#This Row],[Ставка за ТТН]]*Таблица1[[#This Row],[ТТН]],0)</f>
        <v>0</v>
      </c>
    </row>
    <row r="2703" spans="1:21" x14ac:dyDescent="0.25">
      <c r="A2703" t="s">
        <v>84</v>
      </c>
      <c r="B2703" s="24">
        <v>19</v>
      </c>
      <c r="C2703" t="s">
        <v>179</v>
      </c>
      <c r="D2703" t="s">
        <v>71</v>
      </c>
      <c r="E2703" t="s">
        <v>216</v>
      </c>
      <c r="F2703" t="s">
        <v>71</v>
      </c>
      <c r="H2703" t="s">
        <v>29</v>
      </c>
      <c r="I2703" t="s">
        <v>217</v>
      </c>
      <c r="J2703">
        <v>8</v>
      </c>
      <c r="N2703">
        <f>Таблица1[[#This Row],[Часов на заказчика  в работе]]+Таблица1[[#This Row],[Часов на заказчика  дежурство]]</f>
        <v>0</v>
      </c>
      <c r="O27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3" s="9"/>
      <c r="R2703" s="9"/>
      <c r="S2703" s="5">
        <v>1</v>
      </c>
      <c r="T27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табеле]])*S2703,0)</f>
        <v>0</v>
      </c>
      <c r="U2703" s="5">
        <f>IF(Таблица1[[#This Row],[ТТН]]&gt;0,Таблица1[[#This Row],[Ставка за ТТН]]*Таблица1[[#This Row],[ТТН]],0)</f>
        <v>0</v>
      </c>
    </row>
    <row r="2704" spans="1:21" x14ac:dyDescent="0.25">
      <c r="A2704" t="s">
        <v>84</v>
      </c>
      <c r="B2704" s="24">
        <v>20</v>
      </c>
      <c r="C2704" t="s">
        <v>179</v>
      </c>
      <c r="D2704" t="s">
        <v>71</v>
      </c>
      <c r="E2704" t="s">
        <v>216</v>
      </c>
      <c r="F2704" t="s">
        <v>71</v>
      </c>
      <c r="H2704" t="s">
        <v>30</v>
      </c>
      <c r="I2704" t="s">
        <v>217</v>
      </c>
      <c r="J2704">
        <v>1</v>
      </c>
      <c r="N2704">
        <f>Таблица1[[#This Row],[Часов на заказчика  в работе]]+Таблица1[[#This Row],[Часов на заказчика  дежурство]]</f>
        <v>0</v>
      </c>
      <c r="O27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4" s="9"/>
      <c r="R2704" s="9"/>
      <c r="S2704" s="5">
        <v>1</v>
      </c>
      <c r="T27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табеле]])*S2704,0)</f>
        <v>0</v>
      </c>
      <c r="U2704" s="5">
        <f>IF(Таблица1[[#This Row],[ТТН]]&gt;0,Таблица1[[#This Row],[Ставка за ТТН]]*Таблица1[[#This Row],[ТТН]],0)</f>
        <v>0</v>
      </c>
    </row>
    <row r="2705" spans="1:21" x14ac:dyDescent="0.25">
      <c r="A2705" t="s">
        <v>84</v>
      </c>
      <c r="B2705" s="24">
        <v>21</v>
      </c>
      <c r="C2705" t="s">
        <v>179</v>
      </c>
      <c r="D2705" t="s">
        <v>71</v>
      </c>
      <c r="E2705" t="s">
        <v>216</v>
      </c>
      <c r="F2705" t="s">
        <v>71</v>
      </c>
      <c r="H2705" t="s">
        <v>30</v>
      </c>
      <c r="I2705" t="s">
        <v>217</v>
      </c>
      <c r="J2705">
        <v>1</v>
      </c>
      <c r="N2705">
        <f>Таблица1[[#This Row],[Часов на заказчика  в работе]]+Таблица1[[#This Row],[Часов на заказчика  дежурство]]</f>
        <v>0</v>
      </c>
      <c r="O27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5" s="9"/>
      <c r="R2705" s="9"/>
      <c r="S2705" s="5">
        <v>1</v>
      </c>
      <c r="T27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табеле]])*S2705,0)</f>
        <v>0</v>
      </c>
      <c r="U2705" s="5">
        <f>IF(Таблица1[[#This Row],[ТТН]]&gt;0,Таблица1[[#This Row],[Ставка за ТТН]]*Таблица1[[#This Row],[ТТН]],0)</f>
        <v>0</v>
      </c>
    </row>
    <row r="2706" spans="1:21" x14ac:dyDescent="0.25">
      <c r="A2706" t="s">
        <v>84</v>
      </c>
      <c r="B2706" s="24">
        <v>22</v>
      </c>
      <c r="C2706" t="s">
        <v>179</v>
      </c>
      <c r="D2706" t="s">
        <v>71</v>
      </c>
      <c r="E2706" t="s">
        <v>216</v>
      </c>
      <c r="F2706" t="s">
        <v>71</v>
      </c>
      <c r="H2706" t="s">
        <v>29</v>
      </c>
      <c r="I2706" t="s">
        <v>217</v>
      </c>
      <c r="J2706">
        <v>8</v>
      </c>
      <c r="N2706">
        <f>Таблица1[[#This Row],[Часов на заказчика  в работе]]+Таблица1[[#This Row],[Часов на заказчика  дежурство]]</f>
        <v>0</v>
      </c>
      <c r="O27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6" s="9"/>
      <c r="R2706" s="9"/>
      <c r="S2706" s="5">
        <v>1</v>
      </c>
      <c r="T27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табеле]])*S2706,0)</f>
        <v>0</v>
      </c>
      <c r="U2706" s="5">
        <f>IF(Таблица1[[#This Row],[ТТН]]&gt;0,Таблица1[[#This Row],[Ставка за ТТН]]*Таблица1[[#This Row],[ТТН]],0)</f>
        <v>0</v>
      </c>
    </row>
    <row r="2707" spans="1:21" x14ac:dyDescent="0.25">
      <c r="A2707" t="s">
        <v>84</v>
      </c>
      <c r="B2707" s="24">
        <v>23</v>
      </c>
      <c r="C2707" t="s">
        <v>179</v>
      </c>
      <c r="D2707" t="s">
        <v>71</v>
      </c>
      <c r="E2707" t="s">
        <v>216</v>
      </c>
      <c r="F2707" t="s">
        <v>71</v>
      </c>
      <c r="H2707" t="s">
        <v>29</v>
      </c>
      <c r="I2707" t="s">
        <v>217</v>
      </c>
      <c r="J2707">
        <v>8</v>
      </c>
      <c r="N2707">
        <f>Таблица1[[#This Row],[Часов на заказчика  в работе]]+Таблица1[[#This Row],[Часов на заказчика  дежурство]]</f>
        <v>0</v>
      </c>
      <c r="O27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7" s="9"/>
      <c r="R2707" s="9"/>
      <c r="S2707" s="5">
        <v>1</v>
      </c>
      <c r="T27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табеле]])*S2707,0)</f>
        <v>0</v>
      </c>
      <c r="U2707" s="5">
        <f>IF(Таблица1[[#This Row],[ТТН]]&gt;0,Таблица1[[#This Row],[Ставка за ТТН]]*Таблица1[[#This Row],[ТТН]],0)</f>
        <v>0</v>
      </c>
    </row>
    <row r="2708" spans="1:21" x14ac:dyDescent="0.25">
      <c r="A2708" t="s">
        <v>84</v>
      </c>
      <c r="B2708" s="24">
        <v>24</v>
      </c>
      <c r="C2708" t="s">
        <v>179</v>
      </c>
      <c r="D2708" t="s">
        <v>71</v>
      </c>
      <c r="E2708" t="s">
        <v>216</v>
      </c>
      <c r="F2708" t="s">
        <v>71</v>
      </c>
      <c r="H2708" t="s">
        <v>29</v>
      </c>
      <c r="I2708" t="s">
        <v>217</v>
      </c>
      <c r="J2708">
        <v>8</v>
      </c>
      <c r="N2708">
        <f>Таблица1[[#This Row],[Часов на заказчика  в работе]]+Таблица1[[#This Row],[Часов на заказчика  дежурство]]</f>
        <v>0</v>
      </c>
      <c r="O27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8" s="9"/>
      <c r="R2708" s="9"/>
      <c r="S2708" s="5">
        <v>1</v>
      </c>
      <c r="T27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табеле]])*S2708,0)</f>
        <v>0</v>
      </c>
      <c r="U2708" s="5">
        <f>IF(Таблица1[[#This Row],[ТТН]]&gt;0,Таблица1[[#This Row],[Ставка за ТТН]]*Таблица1[[#This Row],[ТТН]],0)</f>
        <v>0</v>
      </c>
    </row>
    <row r="2709" spans="1:21" x14ac:dyDescent="0.25">
      <c r="A2709" t="s">
        <v>84</v>
      </c>
      <c r="B2709" s="24">
        <v>25</v>
      </c>
      <c r="C2709" t="s">
        <v>179</v>
      </c>
      <c r="D2709" t="s">
        <v>71</v>
      </c>
      <c r="E2709" t="s">
        <v>216</v>
      </c>
      <c r="F2709" t="s">
        <v>71</v>
      </c>
      <c r="H2709" t="s">
        <v>29</v>
      </c>
      <c r="I2709" t="s">
        <v>217</v>
      </c>
      <c r="J2709">
        <v>8</v>
      </c>
      <c r="N2709">
        <f>Таблица1[[#This Row],[Часов на заказчика  в работе]]+Таблица1[[#This Row],[Часов на заказчика  дежурство]]</f>
        <v>0</v>
      </c>
      <c r="O27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09" s="9"/>
      <c r="R2709" s="9"/>
      <c r="S2709" s="5">
        <v>1</v>
      </c>
      <c r="T27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табеле]])*S2709,0)</f>
        <v>0</v>
      </c>
      <c r="U2709" s="5">
        <f>IF(Таблица1[[#This Row],[ТТН]]&gt;0,Таблица1[[#This Row],[Ставка за ТТН]]*Таблица1[[#This Row],[ТТН]],0)</f>
        <v>0</v>
      </c>
    </row>
    <row r="2710" spans="1:21" x14ac:dyDescent="0.25">
      <c r="A2710" t="s">
        <v>84</v>
      </c>
      <c r="B2710" s="24">
        <v>26</v>
      </c>
      <c r="C2710" t="s">
        <v>179</v>
      </c>
      <c r="D2710" t="s">
        <v>71</v>
      </c>
      <c r="E2710" t="s">
        <v>216</v>
      </c>
      <c r="F2710" t="s">
        <v>71</v>
      </c>
      <c r="H2710" t="s">
        <v>29</v>
      </c>
      <c r="I2710" t="s">
        <v>217</v>
      </c>
      <c r="J2710">
        <v>8</v>
      </c>
      <c r="N2710">
        <f>Таблица1[[#This Row],[Часов на заказчика  в работе]]+Таблица1[[#This Row],[Часов на заказчика  дежурство]]</f>
        <v>0</v>
      </c>
      <c r="O27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0" s="9"/>
      <c r="R2710" s="9"/>
      <c r="S2710" s="5">
        <v>1</v>
      </c>
      <c r="T27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табеле]])*S2710,0)</f>
        <v>0</v>
      </c>
      <c r="U2710" s="5">
        <f>IF(Таблица1[[#This Row],[ТТН]]&gt;0,Таблица1[[#This Row],[Ставка за ТТН]]*Таблица1[[#This Row],[ТТН]],0)</f>
        <v>0</v>
      </c>
    </row>
    <row r="2711" spans="1:21" x14ac:dyDescent="0.25">
      <c r="A2711" t="s">
        <v>84</v>
      </c>
      <c r="B2711" s="24">
        <v>27</v>
      </c>
      <c r="C2711" t="s">
        <v>179</v>
      </c>
      <c r="D2711" t="s">
        <v>71</v>
      </c>
      <c r="E2711" t="s">
        <v>216</v>
      </c>
      <c r="F2711" t="s">
        <v>71</v>
      </c>
      <c r="H2711" t="s">
        <v>30</v>
      </c>
      <c r="I2711" t="s">
        <v>217</v>
      </c>
      <c r="J2711">
        <v>1</v>
      </c>
      <c r="N2711">
        <f>Таблица1[[#This Row],[Часов на заказчика  в работе]]+Таблица1[[#This Row],[Часов на заказчика  дежурство]]</f>
        <v>0</v>
      </c>
      <c r="O27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1" s="9"/>
      <c r="R2711" s="9"/>
      <c r="S2711" s="5">
        <v>1</v>
      </c>
      <c r="T27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табеле]])*S2711,0)</f>
        <v>0</v>
      </c>
      <c r="U2711" s="5">
        <f>IF(Таблица1[[#This Row],[ТТН]]&gt;0,Таблица1[[#This Row],[Ставка за ТТН]]*Таблица1[[#This Row],[ТТН]],0)</f>
        <v>0</v>
      </c>
    </row>
    <row r="2712" spans="1:21" x14ac:dyDescent="0.25">
      <c r="A2712" t="s">
        <v>84</v>
      </c>
      <c r="B2712" s="24">
        <v>28</v>
      </c>
      <c r="C2712" t="s">
        <v>179</v>
      </c>
      <c r="D2712" t="s">
        <v>71</v>
      </c>
      <c r="E2712" t="s">
        <v>216</v>
      </c>
      <c r="F2712" t="s">
        <v>71</v>
      </c>
      <c r="H2712" t="s">
        <v>30</v>
      </c>
      <c r="I2712" t="s">
        <v>217</v>
      </c>
      <c r="J2712">
        <v>1</v>
      </c>
      <c r="N2712">
        <f>Таблица1[[#This Row],[Часов на заказчика  в работе]]+Таблица1[[#This Row],[Часов на заказчика  дежурство]]</f>
        <v>0</v>
      </c>
      <c r="O27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2" s="9"/>
      <c r="R2712" s="9"/>
      <c r="S2712" s="5">
        <v>1</v>
      </c>
      <c r="T27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табеле]])*S2712,0)</f>
        <v>0</v>
      </c>
      <c r="U2712" s="5">
        <f>IF(Таблица1[[#This Row],[ТТН]]&gt;0,Таблица1[[#This Row],[Ставка за ТТН]]*Таблица1[[#This Row],[ТТН]],0)</f>
        <v>0</v>
      </c>
    </row>
    <row r="2713" spans="1:21" x14ac:dyDescent="0.25">
      <c r="A2713" t="s">
        <v>84</v>
      </c>
      <c r="B2713" s="24">
        <v>29</v>
      </c>
      <c r="C2713" t="s">
        <v>179</v>
      </c>
      <c r="D2713" t="s">
        <v>71</v>
      </c>
      <c r="E2713" t="s">
        <v>216</v>
      </c>
      <c r="F2713" t="s">
        <v>71</v>
      </c>
      <c r="H2713" t="s">
        <v>29</v>
      </c>
      <c r="I2713" t="s">
        <v>217</v>
      </c>
      <c r="J2713">
        <v>8</v>
      </c>
      <c r="N2713">
        <f>Таблица1[[#This Row],[Часов на заказчика  в работе]]+Таблица1[[#This Row],[Часов на заказчика  дежурство]]</f>
        <v>0</v>
      </c>
      <c r="O27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3" s="9"/>
      <c r="R2713" s="9"/>
      <c r="S2713" s="5">
        <v>1</v>
      </c>
      <c r="T27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табеле]])*S2713,0)</f>
        <v>0</v>
      </c>
      <c r="U2713" s="5">
        <f>IF(Таблица1[[#This Row],[ТТН]]&gt;0,Таблица1[[#This Row],[Ставка за ТТН]]*Таблица1[[#This Row],[ТТН]],0)</f>
        <v>0</v>
      </c>
    </row>
    <row r="2714" spans="1:21" x14ac:dyDescent="0.25">
      <c r="A2714" t="s">
        <v>84</v>
      </c>
      <c r="B2714" s="24">
        <v>30</v>
      </c>
      <c r="C2714" t="s">
        <v>154</v>
      </c>
      <c r="D2714" t="s">
        <v>71</v>
      </c>
      <c r="E2714" t="s">
        <v>216</v>
      </c>
      <c r="F2714" t="s">
        <v>71</v>
      </c>
      <c r="H2714" t="s">
        <v>29</v>
      </c>
      <c r="I2714" t="s">
        <v>217</v>
      </c>
      <c r="J2714">
        <v>8</v>
      </c>
      <c r="N2714">
        <f>Таблица1[[#This Row],[Часов на заказчика  в работе]]+Таблица1[[#This Row],[Часов на заказчика  дежурство]]</f>
        <v>0</v>
      </c>
      <c r="O27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4" s="9"/>
      <c r="R2714" s="9"/>
      <c r="S2714" s="5">
        <v>1</v>
      </c>
      <c r="T27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табеле]])*S2714,0)</f>
        <v>0</v>
      </c>
      <c r="U2714" s="5">
        <f>IF(Таблица1[[#This Row],[ТТН]]&gt;0,Таблица1[[#This Row],[Ставка за ТТН]]*Таблица1[[#This Row],[ТТН]],0)</f>
        <v>0</v>
      </c>
    </row>
    <row r="2715" spans="1:21" x14ac:dyDescent="0.25">
      <c r="A2715" t="s">
        <v>84</v>
      </c>
      <c r="B2715" s="24">
        <v>1</v>
      </c>
      <c r="C2715" t="s">
        <v>154</v>
      </c>
      <c r="D2715" t="s">
        <v>71</v>
      </c>
      <c r="E2715" t="s">
        <v>216</v>
      </c>
      <c r="F2715" t="s">
        <v>71</v>
      </c>
      <c r="H2715" t="s">
        <v>10</v>
      </c>
      <c r="I2715" t="s">
        <v>217</v>
      </c>
      <c r="J2715">
        <v>11</v>
      </c>
      <c r="N2715">
        <f>Таблица1[[#This Row],[Часов на заказчика  в работе]]+Таблица1[[#This Row],[Часов на заказчика  дежурство]]</f>
        <v>0</v>
      </c>
      <c r="O27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5" s="9"/>
      <c r="R2715" s="9"/>
      <c r="S2715" s="5">
        <v>1</v>
      </c>
      <c r="T27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табеле]])*S2715,0)</f>
        <v>0</v>
      </c>
      <c r="U2715" s="5">
        <f>IF(Таблица1[[#This Row],[ТТН]]&gt;0,Таблица1[[#This Row],[Ставка за ТТН]]*Таблица1[[#This Row],[ТТН]],0)</f>
        <v>0</v>
      </c>
    </row>
    <row r="2716" spans="1:21" x14ac:dyDescent="0.25">
      <c r="A2716" t="s">
        <v>84</v>
      </c>
      <c r="B2716" s="24">
        <v>2</v>
      </c>
      <c r="C2716" t="s">
        <v>154</v>
      </c>
      <c r="D2716" t="s">
        <v>71</v>
      </c>
      <c r="E2716" t="s">
        <v>216</v>
      </c>
      <c r="F2716" t="s">
        <v>71</v>
      </c>
      <c r="H2716" t="s">
        <v>10</v>
      </c>
      <c r="I2716" t="s">
        <v>217</v>
      </c>
      <c r="J2716">
        <v>11</v>
      </c>
      <c r="N2716">
        <f>Таблица1[[#This Row],[Часов на заказчика  в работе]]+Таблица1[[#This Row],[Часов на заказчика  дежурство]]</f>
        <v>0</v>
      </c>
      <c r="O27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6" s="9"/>
      <c r="R2716" s="9"/>
      <c r="S2716" s="5">
        <v>1</v>
      </c>
      <c r="T27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табеле]])*S2716,0)</f>
        <v>0</v>
      </c>
      <c r="U2716" s="5">
        <f>IF(Таблица1[[#This Row],[ТТН]]&gt;0,Таблица1[[#This Row],[Ставка за ТТН]]*Таблица1[[#This Row],[ТТН]],0)</f>
        <v>0</v>
      </c>
    </row>
    <row r="2717" spans="1:21" x14ac:dyDescent="0.25">
      <c r="A2717" t="s">
        <v>84</v>
      </c>
      <c r="B2717" s="24">
        <v>3</v>
      </c>
      <c r="C2717" t="s">
        <v>154</v>
      </c>
      <c r="D2717" t="s">
        <v>71</v>
      </c>
      <c r="E2717" t="s">
        <v>216</v>
      </c>
      <c r="F2717" t="s">
        <v>71</v>
      </c>
      <c r="H2717" t="s">
        <v>10</v>
      </c>
      <c r="I2717" t="s">
        <v>217</v>
      </c>
      <c r="J2717">
        <v>11</v>
      </c>
      <c r="N2717">
        <f>Таблица1[[#This Row],[Часов на заказчика  в работе]]+Таблица1[[#This Row],[Часов на заказчика  дежурство]]</f>
        <v>0</v>
      </c>
      <c r="O27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7" s="9"/>
      <c r="R2717" s="9"/>
      <c r="S2717" s="5">
        <v>1</v>
      </c>
      <c r="T27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табеле]])*S2717,0)</f>
        <v>0</v>
      </c>
      <c r="U2717" s="5">
        <f>IF(Таблица1[[#This Row],[ТТН]]&gt;0,Таблица1[[#This Row],[Ставка за ТТН]]*Таблица1[[#This Row],[ТТН]],0)</f>
        <v>0</v>
      </c>
    </row>
    <row r="2718" spans="1:21" x14ac:dyDescent="0.25">
      <c r="A2718" t="s">
        <v>84</v>
      </c>
      <c r="B2718" s="24">
        <v>4</v>
      </c>
      <c r="C2718" t="s">
        <v>154</v>
      </c>
      <c r="D2718" t="s">
        <v>71</v>
      </c>
      <c r="E2718" t="s">
        <v>216</v>
      </c>
      <c r="F2718" t="s">
        <v>71</v>
      </c>
      <c r="H2718" t="s">
        <v>10</v>
      </c>
      <c r="I2718" t="s">
        <v>217</v>
      </c>
      <c r="J2718">
        <v>11</v>
      </c>
      <c r="N2718">
        <f>Таблица1[[#This Row],[Часов на заказчика  в работе]]+Таблица1[[#This Row],[Часов на заказчика  дежурство]]</f>
        <v>0</v>
      </c>
      <c r="O27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8" s="9"/>
      <c r="R2718" s="9"/>
      <c r="S2718" s="5">
        <v>1</v>
      </c>
      <c r="T27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табеле]])*S2718,0)</f>
        <v>0</v>
      </c>
      <c r="U2718" s="5">
        <f>IF(Таблица1[[#This Row],[ТТН]]&gt;0,Таблица1[[#This Row],[Ставка за ТТН]]*Таблица1[[#This Row],[ТТН]],0)</f>
        <v>0</v>
      </c>
    </row>
    <row r="2719" spans="1:21" x14ac:dyDescent="0.25">
      <c r="A2719" t="s">
        <v>84</v>
      </c>
      <c r="B2719" s="24">
        <v>5</v>
      </c>
      <c r="C2719" t="s">
        <v>154</v>
      </c>
      <c r="D2719" t="s">
        <v>71</v>
      </c>
      <c r="E2719" t="s">
        <v>216</v>
      </c>
      <c r="F2719" t="s">
        <v>71</v>
      </c>
      <c r="H2719" t="s">
        <v>10</v>
      </c>
      <c r="I2719" t="s">
        <v>217</v>
      </c>
      <c r="J2719">
        <v>11</v>
      </c>
      <c r="N2719">
        <f>Таблица1[[#This Row],[Часов на заказчика  в работе]]+Таблица1[[#This Row],[Часов на заказчика  дежурство]]</f>
        <v>0</v>
      </c>
      <c r="O27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19" s="9"/>
      <c r="R2719" s="9"/>
      <c r="S2719" s="5">
        <v>1</v>
      </c>
      <c r="T27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табеле]])*S2719,0)</f>
        <v>0</v>
      </c>
      <c r="U2719" s="5">
        <f>IF(Таблица1[[#This Row],[ТТН]]&gt;0,Таблица1[[#This Row],[Ставка за ТТН]]*Таблица1[[#This Row],[ТТН]],0)</f>
        <v>0</v>
      </c>
    </row>
    <row r="2720" spans="1:21" x14ac:dyDescent="0.25">
      <c r="A2720" t="s">
        <v>84</v>
      </c>
      <c r="B2720" s="24">
        <v>6</v>
      </c>
      <c r="C2720" t="s">
        <v>154</v>
      </c>
      <c r="D2720" t="s">
        <v>71</v>
      </c>
      <c r="E2720" t="s">
        <v>216</v>
      </c>
      <c r="F2720" t="s">
        <v>71</v>
      </c>
      <c r="H2720" t="s">
        <v>10</v>
      </c>
      <c r="I2720" t="s">
        <v>217</v>
      </c>
      <c r="J2720">
        <v>11</v>
      </c>
      <c r="N2720">
        <f>Таблица1[[#This Row],[Часов на заказчика  в работе]]+Таблица1[[#This Row],[Часов на заказчика  дежурство]]</f>
        <v>0</v>
      </c>
      <c r="O27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0" s="9"/>
      <c r="R2720" s="9"/>
      <c r="S2720" s="5">
        <v>1</v>
      </c>
      <c r="T27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табеле]])*S2720,0)</f>
        <v>0</v>
      </c>
      <c r="U2720" s="5">
        <f>IF(Таблица1[[#This Row],[ТТН]]&gt;0,Таблица1[[#This Row],[Ставка за ТТН]]*Таблица1[[#This Row],[ТТН]],0)</f>
        <v>0</v>
      </c>
    </row>
    <row r="2721" spans="1:21" x14ac:dyDescent="0.25">
      <c r="A2721" t="s">
        <v>84</v>
      </c>
      <c r="B2721" s="24">
        <v>7</v>
      </c>
      <c r="C2721" t="s">
        <v>154</v>
      </c>
      <c r="D2721" t="s">
        <v>71</v>
      </c>
      <c r="E2721" t="s">
        <v>216</v>
      </c>
      <c r="F2721" t="s">
        <v>71</v>
      </c>
      <c r="H2721" t="s">
        <v>10</v>
      </c>
      <c r="I2721" t="s">
        <v>217</v>
      </c>
      <c r="J2721">
        <v>11</v>
      </c>
      <c r="N2721">
        <f>Таблица1[[#This Row],[Часов на заказчика  в работе]]+Таблица1[[#This Row],[Часов на заказчика  дежурство]]</f>
        <v>0</v>
      </c>
      <c r="O27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1" s="9"/>
      <c r="R2721" s="9"/>
      <c r="S2721" s="5">
        <v>1</v>
      </c>
      <c r="T27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табеле]])*S2721,0)</f>
        <v>0</v>
      </c>
      <c r="U2721" s="5">
        <f>IF(Таблица1[[#This Row],[ТТН]]&gt;0,Таблица1[[#This Row],[Ставка за ТТН]]*Таблица1[[#This Row],[ТТН]],0)</f>
        <v>0</v>
      </c>
    </row>
    <row r="2722" spans="1:21" x14ac:dyDescent="0.25">
      <c r="A2722" t="s">
        <v>84</v>
      </c>
      <c r="B2722" s="24">
        <v>8</v>
      </c>
      <c r="C2722" t="s">
        <v>154</v>
      </c>
      <c r="D2722" t="s">
        <v>71</v>
      </c>
      <c r="E2722" t="s">
        <v>216</v>
      </c>
      <c r="F2722" t="s">
        <v>71</v>
      </c>
      <c r="H2722" t="s">
        <v>10</v>
      </c>
      <c r="I2722" t="s">
        <v>217</v>
      </c>
      <c r="J2722">
        <v>11</v>
      </c>
      <c r="N2722">
        <f>Таблица1[[#This Row],[Часов на заказчика  в работе]]+Таблица1[[#This Row],[Часов на заказчика  дежурство]]</f>
        <v>0</v>
      </c>
      <c r="O27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2" s="9"/>
      <c r="R2722" s="9"/>
      <c r="S2722" s="5">
        <v>1</v>
      </c>
      <c r="T27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табеле]])*S2722,0)</f>
        <v>0</v>
      </c>
      <c r="U2722" s="5">
        <f>IF(Таблица1[[#This Row],[ТТН]]&gt;0,Таблица1[[#This Row],[Ставка за ТТН]]*Таблица1[[#This Row],[ТТН]],0)</f>
        <v>0</v>
      </c>
    </row>
    <row r="2723" spans="1:21" x14ac:dyDescent="0.25">
      <c r="A2723" t="s">
        <v>84</v>
      </c>
      <c r="B2723" s="24">
        <v>9</v>
      </c>
      <c r="C2723" t="s">
        <v>154</v>
      </c>
      <c r="D2723" t="s">
        <v>71</v>
      </c>
      <c r="E2723" t="s">
        <v>216</v>
      </c>
      <c r="F2723" t="s">
        <v>71</v>
      </c>
      <c r="H2723" t="s">
        <v>10</v>
      </c>
      <c r="I2723" t="s">
        <v>217</v>
      </c>
      <c r="J2723">
        <v>11</v>
      </c>
      <c r="N2723">
        <f>Таблица1[[#This Row],[Часов на заказчика  в работе]]+Таблица1[[#This Row],[Часов на заказчика  дежурство]]</f>
        <v>0</v>
      </c>
      <c r="O27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3" s="9"/>
      <c r="R2723" s="9"/>
      <c r="S2723" s="5">
        <v>1</v>
      </c>
      <c r="T27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табеле]])*S2723,0)</f>
        <v>0</v>
      </c>
      <c r="U2723" s="5">
        <f>IF(Таблица1[[#This Row],[ТТН]]&gt;0,Таблица1[[#This Row],[Ставка за ТТН]]*Таблица1[[#This Row],[ТТН]],0)</f>
        <v>0</v>
      </c>
    </row>
    <row r="2724" spans="1:21" x14ac:dyDescent="0.25">
      <c r="A2724" t="s">
        <v>84</v>
      </c>
      <c r="B2724" s="24">
        <v>10</v>
      </c>
      <c r="C2724" t="s">
        <v>154</v>
      </c>
      <c r="D2724" t="s">
        <v>71</v>
      </c>
      <c r="E2724" t="s">
        <v>216</v>
      </c>
      <c r="F2724" t="s">
        <v>71</v>
      </c>
      <c r="H2724" t="s">
        <v>10</v>
      </c>
      <c r="I2724" t="s">
        <v>217</v>
      </c>
      <c r="J2724">
        <v>11</v>
      </c>
      <c r="N2724">
        <f>Таблица1[[#This Row],[Часов на заказчика  в работе]]+Таблица1[[#This Row],[Часов на заказчика  дежурство]]</f>
        <v>0</v>
      </c>
      <c r="O27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4" s="9"/>
      <c r="R2724" s="9"/>
      <c r="S2724" s="5">
        <v>1</v>
      </c>
      <c r="T27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табеле]])*S2724,0)</f>
        <v>0</v>
      </c>
      <c r="U2724" s="5">
        <f>IF(Таблица1[[#This Row],[ТТН]]&gt;0,Таблица1[[#This Row],[Ставка за ТТН]]*Таблица1[[#This Row],[ТТН]],0)</f>
        <v>0</v>
      </c>
    </row>
    <row r="2725" spans="1:21" x14ac:dyDescent="0.25">
      <c r="A2725" t="s">
        <v>84</v>
      </c>
      <c r="B2725" s="24">
        <v>11</v>
      </c>
      <c r="C2725" t="s">
        <v>154</v>
      </c>
      <c r="D2725" t="s">
        <v>71</v>
      </c>
      <c r="E2725" t="s">
        <v>216</v>
      </c>
      <c r="F2725" t="s">
        <v>71</v>
      </c>
      <c r="H2725" t="s">
        <v>10</v>
      </c>
      <c r="I2725" t="s">
        <v>217</v>
      </c>
      <c r="J2725">
        <v>11</v>
      </c>
      <c r="N2725">
        <f>Таблица1[[#This Row],[Часов на заказчика  в работе]]+Таблица1[[#This Row],[Часов на заказчика  дежурство]]</f>
        <v>0</v>
      </c>
      <c r="O27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5" s="9"/>
      <c r="R2725" s="9"/>
      <c r="S2725" s="5">
        <v>1</v>
      </c>
      <c r="T27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табеле]])*S2725,0)</f>
        <v>0</v>
      </c>
      <c r="U2725" s="5">
        <f>IF(Таблица1[[#This Row],[ТТН]]&gt;0,Таблица1[[#This Row],[Ставка за ТТН]]*Таблица1[[#This Row],[ТТН]],0)</f>
        <v>0</v>
      </c>
    </row>
    <row r="2726" spans="1:21" x14ac:dyDescent="0.25">
      <c r="A2726" t="s">
        <v>84</v>
      </c>
      <c r="B2726" s="24">
        <v>12</v>
      </c>
      <c r="C2726" t="s">
        <v>154</v>
      </c>
      <c r="D2726" t="s">
        <v>71</v>
      </c>
      <c r="E2726" t="s">
        <v>216</v>
      </c>
      <c r="F2726" t="s">
        <v>71</v>
      </c>
      <c r="H2726" t="s">
        <v>10</v>
      </c>
      <c r="I2726" t="s">
        <v>217</v>
      </c>
      <c r="J2726">
        <v>11</v>
      </c>
      <c r="N2726">
        <f>Таблица1[[#This Row],[Часов на заказчика  в работе]]+Таблица1[[#This Row],[Часов на заказчика  дежурство]]</f>
        <v>0</v>
      </c>
      <c r="O27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6" s="9"/>
      <c r="R2726" s="9"/>
      <c r="S2726" s="5">
        <v>1</v>
      </c>
      <c r="T27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табеле]])*S2726,0)</f>
        <v>0</v>
      </c>
      <c r="U2726" s="5">
        <f>IF(Таблица1[[#This Row],[ТТН]]&gt;0,Таблица1[[#This Row],[Ставка за ТТН]]*Таблица1[[#This Row],[ТТН]],0)</f>
        <v>0</v>
      </c>
    </row>
    <row r="2727" spans="1:21" x14ac:dyDescent="0.25">
      <c r="A2727" t="s">
        <v>84</v>
      </c>
      <c r="B2727" s="24">
        <v>13</v>
      </c>
      <c r="C2727" t="s">
        <v>154</v>
      </c>
      <c r="D2727" t="s">
        <v>71</v>
      </c>
      <c r="E2727" t="s">
        <v>216</v>
      </c>
      <c r="F2727" t="s">
        <v>71</v>
      </c>
      <c r="H2727" t="s">
        <v>10</v>
      </c>
      <c r="I2727" t="s">
        <v>217</v>
      </c>
      <c r="J2727">
        <v>11</v>
      </c>
      <c r="N2727">
        <f>Таблица1[[#This Row],[Часов на заказчика  в работе]]+Таблица1[[#This Row],[Часов на заказчика  дежурство]]</f>
        <v>0</v>
      </c>
      <c r="O27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7" s="9"/>
      <c r="R2727" s="9"/>
      <c r="S2727" s="5">
        <v>1</v>
      </c>
      <c r="T27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табеле]])*S2727,0)</f>
        <v>0</v>
      </c>
      <c r="U2727" s="5">
        <f>IF(Таблица1[[#This Row],[ТТН]]&gt;0,Таблица1[[#This Row],[Ставка за ТТН]]*Таблица1[[#This Row],[ТТН]],0)</f>
        <v>0</v>
      </c>
    </row>
    <row r="2728" spans="1:21" x14ac:dyDescent="0.25">
      <c r="A2728" t="s">
        <v>84</v>
      </c>
      <c r="B2728" s="24">
        <v>14</v>
      </c>
      <c r="C2728" t="s">
        <v>154</v>
      </c>
      <c r="D2728" t="s">
        <v>71</v>
      </c>
      <c r="E2728" t="s">
        <v>216</v>
      </c>
      <c r="F2728" t="s">
        <v>71</v>
      </c>
      <c r="H2728" t="s">
        <v>10</v>
      </c>
      <c r="I2728" t="s">
        <v>217</v>
      </c>
      <c r="J2728">
        <v>11</v>
      </c>
      <c r="N2728">
        <f>Таблица1[[#This Row],[Часов на заказчика  в работе]]+Таблица1[[#This Row],[Часов на заказчика  дежурство]]</f>
        <v>0</v>
      </c>
      <c r="O27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8" s="9"/>
      <c r="R2728" s="9"/>
      <c r="S2728" s="5">
        <v>1</v>
      </c>
      <c r="T27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табеле]])*S2728,0)</f>
        <v>0</v>
      </c>
      <c r="U2728" s="5">
        <f>IF(Таблица1[[#This Row],[ТТН]]&gt;0,Таблица1[[#This Row],[Ставка за ТТН]]*Таблица1[[#This Row],[ТТН]],0)</f>
        <v>0</v>
      </c>
    </row>
    <row r="2729" spans="1:21" x14ac:dyDescent="0.25">
      <c r="A2729" t="s">
        <v>84</v>
      </c>
      <c r="B2729" s="24">
        <v>15</v>
      </c>
      <c r="C2729" t="s">
        <v>154</v>
      </c>
      <c r="D2729" t="s">
        <v>71</v>
      </c>
      <c r="E2729" t="s">
        <v>216</v>
      </c>
      <c r="F2729" t="s">
        <v>71</v>
      </c>
      <c r="H2729" t="s">
        <v>10</v>
      </c>
      <c r="I2729" t="s">
        <v>217</v>
      </c>
      <c r="J2729">
        <v>11</v>
      </c>
      <c r="N2729">
        <f>Таблица1[[#This Row],[Часов на заказчика  в работе]]+Таблица1[[#This Row],[Часов на заказчика  дежурство]]</f>
        <v>0</v>
      </c>
      <c r="O27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29" s="9"/>
      <c r="R2729" s="9"/>
      <c r="S2729" s="5">
        <v>1</v>
      </c>
      <c r="T27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табеле]])*S2729,0)</f>
        <v>0</v>
      </c>
      <c r="U2729" s="5">
        <f>IF(Таблица1[[#This Row],[ТТН]]&gt;0,Таблица1[[#This Row],[Ставка за ТТН]]*Таблица1[[#This Row],[ТТН]],0)</f>
        <v>0</v>
      </c>
    </row>
    <row r="2730" spans="1:21" x14ac:dyDescent="0.25">
      <c r="A2730" t="s">
        <v>84</v>
      </c>
      <c r="B2730" s="24">
        <v>16</v>
      </c>
      <c r="C2730" t="s">
        <v>154</v>
      </c>
      <c r="D2730" t="s">
        <v>71</v>
      </c>
      <c r="E2730" t="s">
        <v>216</v>
      </c>
      <c r="F2730" t="s">
        <v>71</v>
      </c>
      <c r="H2730" t="s">
        <v>10</v>
      </c>
      <c r="I2730" t="s">
        <v>217</v>
      </c>
      <c r="J2730">
        <v>11</v>
      </c>
      <c r="N2730">
        <f>Таблица1[[#This Row],[Часов на заказчика  в работе]]+Таблица1[[#This Row],[Часов на заказчика  дежурство]]</f>
        <v>0</v>
      </c>
      <c r="O27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0" s="9"/>
      <c r="R2730" s="9"/>
      <c r="S2730" s="5">
        <v>1</v>
      </c>
      <c r="T27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табеле]])*S2730,0)</f>
        <v>0</v>
      </c>
      <c r="U2730" s="5">
        <f>IF(Таблица1[[#This Row],[ТТН]]&gt;0,Таблица1[[#This Row],[Ставка за ТТН]]*Таблица1[[#This Row],[ТТН]],0)</f>
        <v>0</v>
      </c>
    </row>
    <row r="2731" spans="1:21" x14ac:dyDescent="0.25">
      <c r="A2731" t="s">
        <v>84</v>
      </c>
      <c r="B2731" s="24">
        <v>17</v>
      </c>
      <c r="C2731" t="s">
        <v>154</v>
      </c>
      <c r="D2731" t="s">
        <v>71</v>
      </c>
      <c r="E2731" t="s">
        <v>216</v>
      </c>
      <c r="F2731" t="s">
        <v>71</v>
      </c>
      <c r="H2731" t="s">
        <v>10</v>
      </c>
      <c r="I2731" t="s">
        <v>217</v>
      </c>
      <c r="J2731">
        <v>11</v>
      </c>
      <c r="N2731">
        <f>Таблица1[[#This Row],[Часов на заказчика  в работе]]+Таблица1[[#This Row],[Часов на заказчика  дежурство]]</f>
        <v>0</v>
      </c>
      <c r="O27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1" s="9"/>
      <c r="R2731" s="9"/>
      <c r="S2731" s="5">
        <v>1</v>
      </c>
      <c r="T27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табеле]])*S2731,0)</f>
        <v>0</v>
      </c>
      <c r="U2731" s="5">
        <f>IF(Таблица1[[#This Row],[ТТН]]&gt;0,Таблица1[[#This Row],[Ставка за ТТН]]*Таблица1[[#This Row],[ТТН]],0)</f>
        <v>0</v>
      </c>
    </row>
    <row r="2732" spans="1:21" x14ac:dyDescent="0.25">
      <c r="A2732" t="s">
        <v>84</v>
      </c>
      <c r="B2732" s="24">
        <v>18</v>
      </c>
      <c r="C2732" t="s">
        <v>154</v>
      </c>
      <c r="D2732" t="s">
        <v>71</v>
      </c>
      <c r="E2732" t="s">
        <v>216</v>
      </c>
      <c r="F2732" t="s">
        <v>71</v>
      </c>
      <c r="H2732" t="s">
        <v>10</v>
      </c>
      <c r="I2732" t="s">
        <v>217</v>
      </c>
      <c r="J2732">
        <v>11</v>
      </c>
      <c r="N2732">
        <f>Таблица1[[#This Row],[Часов на заказчика  в работе]]+Таблица1[[#This Row],[Часов на заказчика  дежурство]]</f>
        <v>0</v>
      </c>
      <c r="O27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2" s="9"/>
      <c r="R2732" s="9"/>
      <c r="S2732" s="5">
        <v>1</v>
      </c>
      <c r="T27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табеле]])*S2732,0)</f>
        <v>0</v>
      </c>
      <c r="U2732" s="5">
        <f>IF(Таблица1[[#This Row],[ТТН]]&gt;0,Таблица1[[#This Row],[Ставка за ТТН]]*Таблица1[[#This Row],[ТТН]],0)</f>
        <v>0</v>
      </c>
    </row>
    <row r="2733" spans="1:21" x14ac:dyDescent="0.25">
      <c r="A2733" t="s">
        <v>84</v>
      </c>
      <c r="B2733" s="24">
        <v>19</v>
      </c>
      <c r="C2733" t="s">
        <v>154</v>
      </c>
      <c r="D2733" t="s">
        <v>71</v>
      </c>
      <c r="E2733" t="s">
        <v>216</v>
      </c>
      <c r="F2733" t="s">
        <v>71</v>
      </c>
      <c r="H2733" t="s">
        <v>10</v>
      </c>
      <c r="I2733" t="s">
        <v>217</v>
      </c>
      <c r="J2733">
        <v>11</v>
      </c>
      <c r="N2733">
        <f>Таблица1[[#This Row],[Часов на заказчика  в работе]]+Таблица1[[#This Row],[Часов на заказчика  дежурство]]</f>
        <v>0</v>
      </c>
      <c r="O27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3" s="9"/>
      <c r="R2733" s="9"/>
      <c r="S2733" s="5">
        <v>1</v>
      </c>
      <c r="T27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табеле]])*S2733,0)</f>
        <v>0</v>
      </c>
      <c r="U2733" s="5">
        <f>IF(Таблица1[[#This Row],[ТТН]]&gt;0,Таблица1[[#This Row],[Ставка за ТТН]]*Таблица1[[#This Row],[ТТН]],0)</f>
        <v>0</v>
      </c>
    </row>
    <row r="2734" spans="1:21" x14ac:dyDescent="0.25">
      <c r="A2734" t="s">
        <v>84</v>
      </c>
      <c r="B2734" s="24">
        <v>20</v>
      </c>
      <c r="C2734" t="s">
        <v>154</v>
      </c>
      <c r="D2734" t="s">
        <v>71</v>
      </c>
      <c r="E2734" t="s">
        <v>216</v>
      </c>
      <c r="F2734" t="s">
        <v>71</v>
      </c>
      <c r="H2734" t="s">
        <v>10</v>
      </c>
      <c r="I2734" t="s">
        <v>217</v>
      </c>
      <c r="J2734">
        <v>11</v>
      </c>
      <c r="N2734">
        <f>Таблица1[[#This Row],[Часов на заказчика  в работе]]+Таблица1[[#This Row],[Часов на заказчика  дежурство]]</f>
        <v>0</v>
      </c>
      <c r="O27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4" s="9"/>
      <c r="R2734" s="9"/>
      <c r="S2734" s="5">
        <v>1</v>
      </c>
      <c r="T27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табеле]])*S2734,0)</f>
        <v>0</v>
      </c>
      <c r="U2734" s="5">
        <f>IF(Таблица1[[#This Row],[ТТН]]&gt;0,Таблица1[[#This Row],[Ставка за ТТН]]*Таблица1[[#This Row],[ТТН]],0)</f>
        <v>0</v>
      </c>
    </row>
    <row r="2735" spans="1:21" x14ac:dyDescent="0.25">
      <c r="A2735" t="s">
        <v>84</v>
      </c>
      <c r="B2735" s="24">
        <v>21</v>
      </c>
      <c r="C2735" t="s">
        <v>154</v>
      </c>
      <c r="D2735" t="s">
        <v>71</v>
      </c>
      <c r="E2735" t="s">
        <v>216</v>
      </c>
      <c r="F2735" t="s">
        <v>71</v>
      </c>
      <c r="H2735" t="s">
        <v>10</v>
      </c>
      <c r="I2735" t="s">
        <v>217</v>
      </c>
      <c r="J2735">
        <v>11</v>
      </c>
      <c r="N2735">
        <f>Таблица1[[#This Row],[Часов на заказчика  в работе]]+Таблица1[[#This Row],[Часов на заказчика  дежурство]]</f>
        <v>0</v>
      </c>
      <c r="O27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5" s="9"/>
      <c r="R2735" s="9"/>
      <c r="S2735" s="5">
        <v>1</v>
      </c>
      <c r="T27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табеле]])*S2735,0)</f>
        <v>0</v>
      </c>
      <c r="U2735" s="5">
        <f>IF(Таблица1[[#This Row],[ТТН]]&gt;0,Таблица1[[#This Row],[Ставка за ТТН]]*Таблица1[[#This Row],[ТТН]],0)</f>
        <v>0</v>
      </c>
    </row>
    <row r="2736" spans="1:21" x14ac:dyDescent="0.25">
      <c r="A2736" t="s">
        <v>84</v>
      </c>
      <c r="B2736" s="24">
        <v>22</v>
      </c>
      <c r="C2736" t="s">
        <v>154</v>
      </c>
      <c r="D2736" t="s">
        <v>71</v>
      </c>
      <c r="E2736" t="s">
        <v>216</v>
      </c>
      <c r="F2736" t="s">
        <v>71</v>
      </c>
      <c r="H2736" t="s">
        <v>10</v>
      </c>
      <c r="I2736" t="s">
        <v>217</v>
      </c>
      <c r="J2736">
        <v>11</v>
      </c>
      <c r="N2736">
        <f>Таблица1[[#This Row],[Часов на заказчика  в работе]]+Таблица1[[#This Row],[Часов на заказчика  дежурство]]</f>
        <v>0</v>
      </c>
      <c r="O27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6" s="9"/>
      <c r="R2736" s="9"/>
      <c r="S2736" s="5">
        <v>1</v>
      </c>
      <c r="T27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табеле]])*S2736,0)</f>
        <v>0</v>
      </c>
      <c r="U2736" s="5">
        <f>IF(Таблица1[[#This Row],[ТТН]]&gt;0,Таблица1[[#This Row],[Ставка за ТТН]]*Таблица1[[#This Row],[ТТН]],0)</f>
        <v>0</v>
      </c>
    </row>
    <row r="2737" spans="1:21" x14ac:dyDescent="0.25">
      <c r="A2737" t="s">
        <v>84</v>
      </c>
      <c r="B2737" s="24">
        <v>23</v>
      </c>
      <c r="C2737" t="s">
        <v>154</v>
      </c>
      <c r="D2737" t="s">
        <v>71</v>
      </c>
      <c r="E2737" t="s">
        <v>216</v>
      </c>
      <c r="F2737" t="s">
        <v>71</v>
      </c>
      <c r="H2737" t="s">
        <v>10</v>
      </c>
      <c r="I2737" t="s">
        <v>217</v>
      </c>
      <c r="J2737">
        <v>11</v>
      </c>
      <c r="N2737">
        <f>Таблица1[[#This Row],[Часов на заказчика  в работе]]+Таблица1[[#This Row],[Часов на заказчика  дежурство]]</f>
        <v>0</v>
      </c>
      <c r="O27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7" s="9"/>
      <c r="R2737" s="9"/>
      <c r="S2737" s="5">
        <v>1</v>
      </c>
      <c r="T27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табеле]])*S2737,0)</f>
        <v>0</v>
      </c>
      <c r="U2737" s="5">
        <f>IF(Таблица1[[#This Row],[ТТН]]&gt;0,Таблица1[[#This Row],[Ставка за ТТН]]*Таблица1[[#This Row],[ТТН]],0)</f>
        <v>0</v>
      </c>
    </row>
    <row r="2738" spans="1:21" x14ac:dyDescent="0.25">
      <c r="A2738" t="s">
        <v>84</v>
      </c>
      <c r="B2738" s="24">
        <v>24</v>
      </c>
      <c r="C2738" t="s">
        <v>154</v>
      </c>
      <c r="D2738" t="s">
        <v>71</v>
      </c>
      <c r="E2738" t="s">
        <v>216</v>
      </c>
      <c r="F2738" t="s">
        <v>71</v>
      </c>
      <c r="H2738" t="s">
        <v>10</v>
      </c>
      <c r="I2738" t="s">
        <v>217</v>
      </c>
      <c r="J2738">
        <v>11</v>
      </c>
      <c r="N2738">
        <f>Таблица1[[#This Row],[Часов на заказчика  в работе]]+Таблица1[[#This Row],[Часов на заказчика  дежурство]]</f>
        <v>0</v>
      </c>
      <c r="O27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8" s="9"/>
      <c r="R2738" s="9"/>
      <c r="S2738" s="5">
        <v>1</v>
      </c>
      <c r="T27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табеле]])*S2738,0)</f>
        <v>0</v>
      </c>
      <c r="U2738" s="5">
        <f>IF(Таблица1[[#This Row],[ТТН]]&gt;0,Таблица1[[#This Row],[Ставка за ТТН]]*Таблица1[[#This Row],[ТТН]],0)</f>
        <v>0</v>
      </c>
    </row>
    <row r="2739" spans="1:21" x14ac:dyDescent="0.25">
      <c r="A2739" t="s">
        <v>84</v>
      </c>
      <c r="B2739" s="24">
        <v>25</v>
      </c>
      <c r="C2739" t="s">
        <v>154</v>
      </c>
      <c r="D2739" t="s">
        <v>71</v>
      </c>
      <c r="E2739" t="s">
        <v>216</v>
      </c>
      <c r="F2739" t="s">
        <v>71</v>
      </c>
      <c r="H2739" t="s">
        <v>10</v>
      </c>
      <c r="I2739" t="s">
        <v>217</v>
      </c>
      <c r="J2739">
        <v>11</v>
      </c>
      <c r="N2739">
        <f>Таблица1[[#This Row],[Часов на заказчика  в работе]]+Таблица1[[#This Row],[Часов на заказчика  дежурство]]</f>
        <v>0</v>
      </c>
      <c r="O27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39" s="9"/>
      <c r="R2739" s="9"/>
      <c r="S2739" s="5">
        <v>1</v>
      </c>
      <c r="T27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табеле]])*S2739,0)</f>
        <v>0</v>
      </c>
      <c r="U2739" s="5">
        <f>IF(Таблица1[[#This Row],[ТТН]]&gt;0,Таблица1[[#This Row],[Ставка за ТТН]]*Таблица1[[#This Row],[ТТН]],0)</f>
        <v>0</v>
      </c>
    </row>
    <row r="2740" spans="1:21" x14ac:dyDescent="0.25">
      <c r="A2740" t="s">
        <v>84</v>
      </c>
      <c r="B2740" s="24">
        <v>26</v>
      </c>
      <c r="C2740" t="s">
        <v>154</v>
      </c>
      <c r="D2740" t="s">
        <v>71</v>
      </c>
      <c r="E2740" t="s">
        <v>216</v>
      </c>
      <c r="F2740" t="s">
        <v>71</v>
      </c>
      <c r="H2740" t="s">
        <v>10</v>
      </c>
      <c r="I2740" t="s">
        <v>217</v>
      </c>
      <c r="J2740">
        <v>11</v>
      </c>
      <c r="N2740">
        <f>Таблица1[[#This Row],[Часов на заказчика  в работе]]+Таблица1[[#This Row],[Часов на заказчика  дежурство]]</f>
        <v>0</v>
      </c>
      <c r="O27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0" s="9"/>
      <c r="R2740" s="9"/>
      <c r="S2740" s="5">
        <v>1</v>
      </c>
      <c r="T27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табеле]])*S2740,0)</f>
        <v>0</v>
      </c>
      <c r="U2740" s="5">
        <f>IF(Таблица1[[#This Row],[ТТН]]&gt;0,Таблица1[[#This Row],[Ставка за ТТН]]*Таблица1[[#This Row],[ТТН]],0)</f>
        <v>0</v>
      </c>
    </row>
    <row r="2741" spans="1:21" x14ac:dyDescent="0.25">
      <c r="A2741" t="s">
        <v>84</v>
      </c>
      <c r="B2741" s="24">
        <v>27</v>
      </c>
      <c r="C2741" t="s">
        <v>154</v>
      </c>
      <c r="D2741" t="s">
        <v>71</v>
      </c>
      <c r="E2741" t="s">
        <v>216</v>
      </c>
      <c r="F2741" t="s">
        <v>71</v>
      </c>
      <c r="H2741" t="s">
        <v>10</v>
      </c>
      <c r="I2741" t="s">
        <v>217</v>
      </c>
      <c r="J2741">
        <v>11</v>
      </c>
      <c r="N2741">
        <f>Таблица1[[#This Row],[Часов на заказчика  в работе]]+Таблица1[[#This Row],[Часов на заказчика  дежурство]]</f>
        <v>0</v>
      </c>
      <c r="O27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1" s="9"/>
      <c r="R2741" s="9"/>
      <c r="S2741" s="5">
        <v>1</v>
      </c>
      <c r="T27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табеле]])*S2741,0)</f>
        <v>0</v>
      </c>
      <c r="U2741" s="5">
        <f>IF(Таблица1[[#This Row],[ТТН]]&gt;0,Таблица1[[#This Row],[Ставка за ТТН]]*Таблица1[[#This Row],[ТТН]],0)</f>
        <v>0</v>
      </c>
    </row>
    <row r="2742" spans="1:21" x14ac:dyDescent="0.25">
      <c r="A2742" t="s">
        <v>84</v>
      </c>
      <c r="B2742" s="24">
        <v>28</v>
      </c>
      <c r="C2742" t="s">
        <v>154</v>
      </c>
      <c r="D2742" t="s">
        <v>71</v>
      </c>
      <c r="E2742" t="s">
        <v>216</v>
      </c>
      <c r="F2742" t="s">
        <v>71</v>
      </c>
      <c r="H2742" t="s">
        <v>10</v>
      </c>
      <c r="I2742" t="s">
        <v>217</v>
      </c>
      <c r="J2742">
        <v>11</v>
      </c>
      <c r="N2742">
        <f>Таблица1[[#This Row],[Часов на заказчика  в работе]]+Таблица1[[#This Row],[Часов на заказчика  дежурство]]</f>
        <v>0</v>
      </c>
      <c r="O27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2" s="9"/>
      <c r="R2742" s="9"/>
      <c r="S2742" s="5">
        <v>1</v>
      </c>
      <c r="T27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табеле]])*S2742,0)</f>
        <v>0</v>
      </c>
      <c r="U2742" s="5">
        <f>IF(Таблица1[[#This Row],[ТТН]]&gt;0,Таблица1[[#This Row],[Ставка за ТТН]]*Таблица1[[#This Row],[ТТН]],0)</f>
        <v>0</v>
      </c>
    </row>
    <row r="2743" spans="1:21" x14ac:dyDescent="0.25">
      <c r="A2743" t="s">
        <v>84</v>
      </c>
      <c r="B2743" s="24">
        <v>29</v>
      </c>
      <c r="C2743" t="s">
        <v>154</v>
      </c>
      <c r="D2743" t="s">
        <v>71</v>
      </c>
      <c r="E2743" t="s">
        <v>216</v>
      </c>
      <c r="F2743" t="s">
        <v>71</v>
      </c>
      <c r="H2743" t="s">
        <v>10</v>
      </c>
      <c r="I2743" t="s">
        <v>217</v>
      </c>
      <c r="J2743">
        <v>11</v>
      </c>
      <c r="N2743">
        <f>Таблица1[[#This Row],[Часов на заказчика  в работе]]+Таблица1[[#This Row],[Часов на заказчика  дежурство]]</f>
        <v>0</v>
      </c>
      <c r="O27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3" s="9"/>
      <c r="R2743" s="9"/>
      <c r="S2743" s="5">
        <v>1</v>
      </c>
      <c r="T27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табеле]])*S2743,0)</f>
        <v>0</v>
      </c>
      <c r="U2743" s="5">
        <f>IF(Таблица1[[#This Row],[ТТН]]&gt;0,Таблица1[[#This Row],[Ставка за ТТН]]*Таблица1[[#This Row],[ТТН]],0)</f>
        <v>0</v>
      </c>
    </row>
    <row r="2744" spans="1:21" x14ac:dyDescent="0.25">
      <c r="A2744" t="s">
        <v>84</v>
      </c>
      <c r="B2744" s="24">
        <v>30</v>
      </c>
      <c r="C2744" t="s">
        <v>180</v>
      </c>
      <c r="D2744" t="s">
        <v>71</v>
      </c>
      <c r="E2744" t="s">
        <v>216</v>
      </c>
      <c r="F2744" t="s">
        <v>71</v>
      </c>
      <c r="H2744" t="s">
        <v>10</v>
      </c>
      <c r="I2744" t="s">
        <v>217</v>
      </c>
      <c r="J2744">
        <v>11</v>
      </c>
      <c r="N2744">
        <f>Таблица1[[#This Row],[Часов на заказчика  в работе]]+Таблица1[[#This Row],[Часов на заказчика  дежурство]]</f>
        <v>0</v>
      </c>
      <c r="O27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4" s="9"/>
      <c r="R2744" s="9"/>
      <c r="S2744" s="5">
        <v>1</v>
      </c>
      <c r="T27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табеле]])*S2744,0)</f>
        <v>0</v>
      </c>
      <c r="U2744" s="5">
        <f>IF(Таблица1[[#This Row],[ТТН]]&gt;0,Таблица1[[#This Row],[Ставка за ТТН]]*Таблица1[[#This Row],[ТТН]],0)</f>
        <v>0</v>
      </c>
    </row>
    <row r="2745" spans="1:21" x14ac:dyDescent="0.25">
      <c r="A2745" t="s">
        <v>84</v>
      </c>
      <c r="B2745" s="24">
        <v>1</v>
      </c>
      <c r="C2745" t="s">
        <v>180</v>
      </c>
      <c r="D2745" t="s">
        <v>71</v>
      </c>
      <c r="E2745" t="s">
        <v>216</v>
      </c>
      <c r="F2745" t="s">
        <v>71</v>
      </c>
      <c r="H2745" t="s">
        <v>10</v>
      </c>
      <c r="I2745" t="s">
        <v>217</v>
      </c>
      <c r="J2745">
        <v>11</v>
      </c>
      <c r="N2745">
        <f>Таблица1[[#This Row],[Часов на заказчика  в работе]]+Таблица1[[#This Row],[Часов на заказчика  дежурство]]</f>
        <v>0</v>
      </c>
      <c r="O27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5" s="9"/>
      <c r="R2745" s="9"/>
      <c r="S2745" s="5">
        <v>1</v>
      </c>
      <c r="T27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табеле]])*S2745,0)</f>
        <v>0</v>
      </c>
      <c r="U2745" s="5">
        <f>IF(Таблица1[[#This Row],[ТТН]]&gt;0,Таблица1[[#This Row],[Ставка за ТТН]]*Таблица1[[#This Row],[ТТН]],0)</f>
        <v>0</v>
      </c>
    </row>
    <row r="2746" spans="1:21" x14ac:dyDescent="0.25">
      <c r="A2746" t="s">
        <v>84</v>
      </c>
      <c r="B2746" s="24">
        <v>2</v>
      </c>
      <c r="C2746" t="s">
        <v>180</v>
      </c>
      <c r="D2746" t="s">
        <v>71</v>
      </c>
      <c r="E2746" t="s">
        <v>216</v>
      </c>
      <c r="F2746" t="s">
        <v>71</v>
      </c>
      <c r="H2746" t="s">
        <v>10</v>
      </c>
      <c r="I2746" t="s">
        <v>217</v>
      </c>
      <c r="J2746">
        <v>11</v>
      </c>
      <c r="N2746">
        <f>Таблица1[[#This Row],[Часов на заказчика  в работе]]+Таблица1[[#This Row],[Часов на заказчика  дежурство]]</f>
        <v>0</v>
      </c>
      <c r="O27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6" s="9"/>
      <c r="R2746" s="9"/>
      <c r="S2746" s="5">
        <v>1</v>
      </c>
      <c r="T27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табеле]])*S2746,0)</f>
        <v>0</v>
      </c>
      <c r="U2746" s="5">
        <f>IF(Таблица1[[#This Row],[ТТН]]&gt;0,Таблица1[[#This Row],[Ставка за ТТН]]*Таблица1[[#This Row],[ТТН]],0)</f>
        <v>0</v>
      </c>
    </row>
    <row r="2747" spans="1:21" x14ac:dyDescent="0.25">
      <c r="A2747" t="s">
        <v>84</v>
      </c>
      <c r="B2747" s="24">
        <v>3</v>
      </c>
      <c r="C2747" t="s">
        <v>180</v>
      </c>
      <c r="D2747" t="s">
        <v>71</v>
      </c>
      <c r="E2747" t="s">
        <v>216</v>
      </c>
      <c r="F2747" t="s">
        <v>71</v>
      </c>
      <c r="H2747" t="s">
        <v>10</v>
      </c>
      <c r="I2747" t="s">
        <v>217</v>
      </c>
      <c r="J2747">
        <v>11</v>
      </c>
      <c r="N2747">
        <f>Таблица1[[#This Row],[Часов на заказчика  в работе]]+Таблица1[[#This Row],[Часов на заказчика  дежурство]]</f>
        <v>0</v>
      </c>
      <c r="O27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7" s="9"/>
      <c r="R2747" s="9"/>
      <c r="S2747" s="5">
        <v>1</v>
      </c>
      <c r="T27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табеле]])*S2747,0)</f>
        <v>0</v>
      </c>
      <c r="U2747" s="5">
        <f>IF(Таблица1[[#This Row],[ТТН]]&gt;0,Таблица1[[#This Row],[Ставка за ТТН]]*Таблица1[[#This Row],[ТТН]],0)</f>
        <v>0</v>
      </c>
    </row>
    <row r="2748" spans="1:21" x14ac:dyDescent="0.25">
      <c r="A2748" t="s">
        <v>84</v>
      </c>
      <c r="B2748" s="24">
        <v>4</v>
      </c>
      <c r="C2748" t="s">
        <v>180</v>
      </c>
      <c r="D2748" t="s">
        <v>71</v>
      </c>
      <c r="E2748" t="s">
        <v>216</v>
      </c>
      <c r="F2748" t="s">
        <v>71</v>
      </c>
      <c r="H2748" t="s">
        <v>10</v>
      </c>
      <c r="I2748" t="s">
        <v>217</v>
      </c>
      <c r="J2748">
        <v>11</v>
      </c>
      <c r="N2748">
        <f>Таблица1[[#This Row],[Часов на заказчика  в работе]]+Таблица1[[#This Row],[Часов на заказчика  дежурство]]</f>
        <v>0</v>
      </c>
      <c r="O27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8" s="9"/>
      <c r="R2748" s="9"/>
      <c r="S2748" s="5">
        <v>1</v>
      </c>
      <c r="T27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табеле]])*S2748,0)</f>
        <v>0</v>
      </c>
      <c r="U2748" s="5">
        <f>IF(Таблица1[[#This Row],[ТТН]]&gt;0,Таблица1[[#This Row],[Ставка за ТТН]]*Таблица1[[#This Row],[ТТН]],0)</f>
        <v>0</v>
      </c>
    </row>
    <row r="2749" spans="1:21" x14ac:dyDescent="0.25">
      <c r="A2749" t="s">
        <v>84</v>
      </c>
      <c r="B2749" s="24">
        <v>5</v>
      </c>
      <c r="C2749" t="s">
        <v>180</v>
      </c>
      <c r="D2749" t="s">
        <v>71</v>
      </c>
      <c r="E2749" t="s">
        <v>216</v>
      </c>
      <c r="F2749" t="s">
        <v>71</v>
      </c>
      <c r="H2749" t="s">
        <v>10</v>
      </c>
      <c r="I2749" t="s">
        <v>217</v>
      </c>
      <c r="J2749">
        <v>11</v>
      </c>
      <c r="N2749">
        <f>Таблица1[[#This Row],[Часов на заказчика  в работе]]+Таблица1[[#This Row],[Часов на заказчика  дежурство]]</f>
        <v>0</v>
      </c>
      <c r="O27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49" s="9"/>
      <c r="R2749" s="9"/>
      <c r="S2749" s="5">
        <v>1</v>
      </c>
      <c r="T27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табеле]])*S2749,0)</f>
        <v>0</v>
      </c>
      <c r="U2749" s="5">
        <f>IF(Таблица1[[#This Row],[ТТН]]&gt;0,Таблица1[[#This Row],[Ставка за ТТН]]*Таблица1[[#This Row],[ТТН]],0)</f>
        <v>0</v>
      </c>
    </row>
    <row r="2750" spans="1:21" x14ac:dyDescent="0.25">
      <c r="A2750" t="s">
        <v>84</v>
      </c>
      <c r="B2750" s="24">
        <v>6</v>
      </c>
      <c r="C2750" t="s">
        <v>180</v>
      </c>
      <c r="D2750" t="s">
        <v>71</v>
      </c>
      <c r="E2750" t="s">
        <v>216</v>
      </c>
      <c r="F2750" t="s">
        <v>71</v>
      </c>
      <c r="H2750" t="s">
        <v>10</v>
      </c>
      <c r="I2750" t="s">
        <v>217</v>
      </c>
      <c r="J2750">
        <v>11</v>
      </c>
      <c r="N2750">
        <f>Таблица1[[#This Row],[Часов на заказчика  в работе]]+Таблица1[[#This Row],[Часов на заказчика  дежурство]]</f>
        <v>0</v>
      </c>
      <c r="O27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0" s="9"/>
      <c r="R2750" s="9"/>
      <c r="S2750" s="5">
        <v>1</v>
      </c>
      <c r="T27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табеле]])*S2750,0)</f>
        <v>0</v>
      </c>
      <c r="U2750" s="5">
        <f>IF(Таблица1[[#This Row],[ТТН]]&gt;0,Таблица1[[#This Row],[Ставка за ТТН]]*Таблица1[[#This Row],[ТТН]],0)</f>
        <v>0</v>
      </c>
    </row>
    <row r="2751" spans="1:21" x14ac:dyDescent="0.25">
      <c r="A2751" t="s">
        <v>84</v>
      </c>
      <c r="B2751" s="24">
        <v>7</v>
      </c>
      <c r="C2751" t="s">
        <v>180</v>
      </c>
      <c r="D2751" t="s">
        <v>71</v>
      </c>
      <c r="E2751" t="s">
        <v>216</v>
      </c>
      <c r="F2751" t="s">
        <v>71</v>
      </c>
      <c r="H2751" t="s">
        <v>10</v>
      </c>
      <c r="I2751" t="s">
        <v>217</v>
      </c>
      <c r="J2751">
        <v>11</v>
      </c>
      <c r="N2751">
        <f>Таблица1[[#This Row],[Часов на заказчика  в работе]]+Таблица1[[#This Row],[Часов на заказчика  дежурство]]</f>
        <v>0</v>
      </c>
      <c r="O27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1" s="9"/>
      <c r="R2751" s="9"/>
      <c r="S2751" s="5">
        <v>1</v>
      </c>
      <c r="T27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табеле]])*S2751,0)</f>
        <v>0</v>
      </c>
      <c r="U2751" s="5">
        <f>IF(Таблица1[[#This Row],[ТТН]]&gt;0,Таблица1[[#This Row],[Ставка за ТТН]]*Таблица1[[#This Row],[ТТН]],0)</f>
        <v>0</v>
      </c>
    </row>
    <row r="2752" spans="1:21" x14ac:dyDescent="0.25">
      <c r="A2752" t="s">
        <v>84</v>
      </c>
      <c r="B2752" s="24">
        <v>8</v>
      </c>
      <c r="C2752" t="s">
        <v>180</v>
      </c>
      <c r="D2752" t="s">
        <v>71</v>
      </c>
      <c r="E2752" t="s">
        <v>216</v>
      </c>
      <c r="F2752" t="s">
        <v>71</v>
      </c>
      <c r="H2752" t="s">
        <v>10</v>
      </c>
      <c r="I2752" t="s">
        <v>217</v>
      </c>
      <c r="J2752">
        <v>11</v>
      </c>
      <c r="N2752">
        <f>Таблица1[[#This Row],[Часов на заказчика  в работе]]+Таблица1[[#This Row],[Часов на заказчика  дежурство]]</f>
        <v>0</v>
      </c>
      <c r="O27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2" s="9"/>
      <c r="R2752" s="9"/>
      <c r="S2752" s="5">
        <v>1</v>
      </c>
      <c r="T27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табеле]])*S2752,0)</f>
        <v>0</v>
      </c>
      <c r="U2752" s="5">
        <f>IF(Таблица1[[#This Row],[ТТН]]&gt;0,Таблица1[[#This Row],[Ставка за ТТН]]*Таблица1[[#This Row],[ТТН]],0)</f>
        <v>0</v>
      </c>
    </row>
    <row r="2753" spans="1:21" x14ac:dyDescent="0.25">
      <c r="A2753" t="s">
        <v>84</v>
      </c>
      <c r="B2753" s="24">
        <v>9</v>
      </c>
      <c r="C2753" t="s">
        <v>180</v>
      </c>
      <c r="D2753" t="s">
        <v>71</v>
      </c>
      <c r="E2753" t="s">
        <v>216</v>
      </c>
      <c r="F2753" t="s">
        <v>71</v>
      </c>
      <c r="H2753" t="s">
        <v>10</v>
      </c>
      <c r="I2753" t="s">
        <v>217</v>
      </c>
      <c r="J2753">
        <v>11</v>
      </c>
      <c r="N2753">
        <f>Таблица1[[#This Row],[Часов на заказчика  в работе]]+Таблица1[[#This Row],[Часов на заказчика  дежурство]]</f>
        <v>0</v>
      </c>
      <c r="O27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3" s="9"/>
      <c r="R2753" s="9"/>
      <c r="S2753" s="5">
        <v>1</v>
      </c>
      <c r="T27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табеле]])*S2753,0)</f>
        <v>0</v>
      </c>
      <c r="U2753" s="5">
        <f>IF(Таблица1[[#This Row],[ТТН]]&gt;0,Таблица1[[#This Row],[Ставка за ТТН]]*Таблица1[[#This Row],[ТТН]],0)</f>
        <v>0</v>
      </c>
    </row>
    <row r="2754" spans="1:21" x14ac:dyDescent="0.25">
      <c r="A2754" t="s">
        <v>84</v>
      </c>
      <c r="B2754" s="24">
        <v>10</v>
      </c>
      <c r="C2754" t="s">
        <v>180</v>
      </c>
      <c r="D2754" t="s">
        <v>71</v>
      </c>
      <c r="E2754" t="s">
        <v>216</v>
      </c>
      <c r="F2754" t="s">
        <v>71</v>
      </c>
      <c r="H2754" t="s">
        <v>10</v>
      </c>
      <c r="I2754" t="s">
        <v>217</v>
      </c>
      <c r="J2754">
        <v>11</v>
      </c>
      <c r="N2754">
        <f>Таблица1[[#This Row],[Часов на заказчика  в работе]]+Таблица1[[#This Row],[Часов на заказчика  дежурство]]</f>
        <v>0</v>
      </c>
      <c r="O27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4" s="9"/>
      <c r="R2754" s="9"/>
      <c r="S2754" s="5">
        <v>1</v>
      </c>
      <c r="T27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табеле]])*S2754,0)</f>
        <v>0</v>
      </c>
      <c r="U2754" s="5">
        <f>IF(Таблица1[[#This Row],[ТТН]]&gt;0,Таблица1[[#This Row],[Ставка за ТТН]]*Таблица1[[#This Row],[ТТН]],0)</f>
        <v>0</v>
      </c>
    </row>
    <row r="2755" spans="1:21" x14ac:dyDescent="0.25">
      <c r="A2755" t="s">
        <v>84</v>
      </c>
      <c r="B2755" s="24">
        <v>11</v>
      </c>
      <c r="C2755" t="s">
        <v>180</v>
      </c>
      <c r="D2755" t="s">
        <v>71</v>
      </c>
      <c r="E2755" t="s">
        <v>216</v>
      </c>
      <c r="F2755" t="s">
        <v>71</v>
      </c>
      <c r="H2755" t="s">
        <v>10</v>
      </c>
      <c r="I2755" t="s">
        <v>217</v>
      </c>
      <c r="J2755">
        <v>11</v>
      </c>
      <c r="N2755">
        <f>Таблица1[[#This Row],[Часов на заказчика  в работе]]+Таблица1[[#This Row],[Часов на заказчика  дежурство]]</f>
        <v>0</v>
      </c>
      <c r="O27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5" s="9"/>
      <c r="R2755" s="9"/>
      <c r="S2755" s="5">
        <v>1</v>
      </c>
      <c r="T27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табеле]])*S2755,0)</f>
        <v>0</v>
      </c>
      <c r="U2755" s="5">
        <f>IF(Таблица1[[#This Row],[ТТН]]&gt;0,Таблица1[[#This Row],[Ставка за ТТН]]*Таблица1[[#This Row],[ТТН]],0)</f>
        <v>0</v>
      </c>
    </row>
    <row r="2756" spans="1:21" x14ac:dyDescent="0.25">
      <c r="A2756" t="s">
        <v>84</v>
      </c>
      <c r="B2756" s="24">
        <v>12</v>
      </c>
      <c r="C2756" t="s">
        <v>180</v>
      </c>
      <c r="D2756" t="s">
        <v>71</v>
      </c>
      <c r="E2756" t="s">
        <v>216</v>
      </c>
      <c r="F2756" t="s">
        <v>71</v>
      </c>
      <c r="H2756" t="s">
        <v>10</v>
      </c>
      <c r="I2756" t="s">
        <v>217</v>
      </c>
      <c r="J2756">
        <v>11</v>
      </c>
      <c r="N2756">
        <f>Таблица1[[#This Row],[Часов на заказчика  в работе]]+Таблица1[[#This Row],[Часов на заказчика  дежурство]]</f>
        <v>0</v>
      </c>
      <c r="O27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6" s="9"/>
      <c r="R2756" s="9"/>
      <c r="S2756" s="5">
        <v>1</v>
      </c>
      <c r="T27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табеле]])*S2756,0)</f>
        <v>0</v>
      </c>
      <c r="U2756" s="5">
        <f>IF(Таблица1[[#This Row],[ТТН]]&gt;0,Таблица1[[#This Row],[Ставка за ТТН]]*Таблица1[[#This Row],[ТТН]],0)</f>
        <v>0</v>
      </c>
    </row>
    <row r="2757" spans="1:21" x14ac:dyDescent="0.25">
      <c r="A2757" t="s">
        <v>84</v>
      </c>
      <c r="B2757" s="24">
        <v>13</v>
      </c>
      <c r="C2757" t="s">
        <v>180</v>
      </c>
      <c r="D2757" t="s">
        <v>71</v>
      </c>
      <c r="E2757" t="s">
        <v>216</v>
      </c>
      <c r="F2757" t="s">
        <v>71</v>
      </c>
      <c r="H2757" t="s">
        <v>10</v>
      </c>
      <c r="I2757" t="s">
        <v>217</v>
      </c>
      <c r="J2757">
        <v>11</v>
      </c>
      <c r="N2757">
        <f>Таблица1[[#This Row],[Часов на заказчика  в работе]]+Таблица1[[#This Row],[Часов на заказчика  дежурство]]</f>
        <v>0</v>
      </c>
      <c r="O27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7" s="9"/>
      <c r="R2757" s="9"/>
      <c r="S2757" s="5">
        <v>1</v>
      </c>
      <c r="T27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табеле]])*S2757,0)</f>
        <v>0</v>
      </c>
      <c r="U2757" s="5">
        <f>IF(Таблица1[[#This Row],[ТТН]]&gt;0,Таблица1[[#This Row],[Ставка за ТТН]]*Таблица1[[#This Row],[ТТН]],0)</f>
        <v>0</v>
      </c>
    </row>
    <row r="2758" spans="1:21" x14ac:dyDescent="0.25">
      <c r="A2758" t="s">
        <v>84</v>
      </c>
      <c r="B2758" s="24">
        <v>14</v>
      </c>
      <c r="C2758" t="s">
        <v>180</v>
      </c>
      <c r="D2758" t="s">
        <v>71</v>
      </c>
      <c r="E2758" t="s">
        <v>216</v>
      </c>
      <c r="F2758" t="s">
        <v>71</v>
      </c>
      <c r="H2758" t="s">
        <v>10</v>
      </c>
      <c r="I2758" t="s">
        <v>217</v>
      </c>
      <c r="J2758">
        <v>11</v>
      </c>
      <c r="N2758">
        <f>Таблица1[[#This Row],[Часов на заказчика  в работе]]+Таблица1[[#This Row],[Часов на заказчика  дежурство]]</f>
        <v>0</v>
      </c>
      <c r="O27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8" s="9"/>
      <c r="R2758" s="9"/>
      <c r="S2758" s="5">
        <v>1</v>
      </c>
      <c r="T27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табеле]])*S2758,0)</f>
        <v>0</v>
      </c>
      <c r="U2758" s="5">
        <f>IF(Таблица1[[#This Row],[ТТН]]&gt;0,Таблица1[[#This Row],[Ставка за ТТН]]*Таблица1[[#This Row],[ТТН]],0)</f>
        <v>0</v>
      </c>
    </row>
    <row r="2759" spans="1:21" x14ac:dyDescent="0.25">
      <c r="A2759" t="s">
        <v>84</v>
      </c>
      <c r="B2759" s="24">
        <v>15</v>
      </c>
      <c r="C2759" t="s">
        <v>180</v>
      </c>
      <c r="D2759" t="s">
        <v>71</v>
      </c>
      <c r="E2759" t="s">
        <v>216</v>
      </c>
      <c r="F2759" t="s">
        <v>71</v>
      </c>
      <c r="H2759" t="s">
        <v>10</v>
      </c>
      <c r="I2759" t="s">
        <v>217</v>
      </c>
      <c r="J2759">
        <v>11</v>
      </c>
      <c r="N2759">
        <f>Таблица1[[#This Row],[Часов на заказчика  в работе]]+Таблица1[[#This Row],[Часов на заказчика  дежурство]]</f>
        <v>0</v>
      </c>
      <c r="O27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59" s="9"/>
      <c r="R2759" s="9"/>
      <c r="S2759" s="5">
        <v>1</v>
      </c>
      <c r="T27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табеле]])*S2759,0)</f>
        <v>0</v>
      </c>
      <c r="U2759" s="5">
        <f>IF(Таблица1[[#This Row],[ТТН]]&gt;0,Таблица1[[#This Row],[Ставка за ТТН]]*Таблица1[[#This Row],[ТТН]],0)</f>
        <v>0</v>
      </c>
    </row>
    <row r="2760" spans="1:21" x14ac:dyDescent="0.25">
      <c r="A2760" t="s">
        <v>84</v>
      </c>
      <c r="B2760" s="24">
        <v>16</v>
      </c>
      <c r="C2760" t="s">
        <v>180</v>
      </c>
      <c r="D2760" t="s">
        <v>71</v>
      </c>
      <c r="E2760" t="s">
        <v>216</v>
      </c>
      <c r="F2760" t="s">
        <v>71</v>
      </c>
      <c r="H2760" t="s">
        <v>10</v>
      </c>
      <c r="I2760" t="s">
        <v>217</v>
      </c>
      <c r="J2760">
        <v>11</v>
      </c>
      <c r="N2760">
        <f>Таблица1[[#This Row],[Часов на заказчика  в работе]]+Таблица1[[#This Row],[Часов на заказчика  дежурство]]</f>
        <v>0</v>
      </c>
      <c r="O27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0" s="9"/>
      <c r="R2760" s="9"/>
      <c r="S2760" s="5">
        <v>1</v>
      </c>
      <c r="T27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табеле]])*S2760,0)</f>
        <v>0</v>
      </c>
      <c r="U2760" s="5">
        <f>IF(Таблица1[[#This Row],[ТТН]]&gt;0,Таблица1[[#This Row],[Ставка за ТТН]]*Таблица1[[#This Row],[ТТН]],0)</f>
        <v>0</v>
      </c>
    </row>
    <row r="2761" spans="1:21" x14ac:dyDescent="0.25">
      <c r="A2761" t="s">
        <v>84</v>
      </c>
      <c r="B2761" s="24">
        <v>17</v>
      </c>
      <c r="C2761" t="s">
        <v>180</v>
      </c>
      <c r="D2761" t="s">
        <v>71</v>
      </c>
      <c r="E2761" t="s">
        <v>216</v>
      </c>
      <c r="F2761" t="s">
        <v>71</v>
      </c>
      <c r="H2761" t="s">
        <v>10</v>
      </c>
      <c r="I2761" t="s">
        <v>217</v>
      </c>
      <c r="J2761">
        <v>11</v>
      </c>
      <c r="N2761">
        <f>Таблица1[[#This Row],[Часов на заказчика  в работе]]+Таблица1[[#This Row],[Часов на заказчика  дежурство]]</f>
        <v>0</v>
      </c>
      <c r="O27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1" s="9"/>
      <c r="R2761" s="9"/>
      <c r="S2761" s="5">
        <v>1</v>
      </c>
      <c r="T27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табеле]])*S2761,0)</f>
        <v>0</v>
      </c>
      <c r="U2761" s="5">
        <f>IF(Таблица1[[#This Row],[ТТН]]&gt;0,Таблица1[[#This Row],[Ставка за ТТН]]*Таблица1[[#This Row],[ТТН]],0)</f>
        <v>0</v>
      </c>
    </row>
    <row r="2762" spans="1:21" x14ac:dyDescent="0.25">
      <c r="A2762" t="s">
        <v>84</v>
      </c>
      <c r="B2762" s="24">
        <v>18</v>
      </c>
      <c r="C2762" t="s">
        <v>180</v>
      </c>
      <c r="D2762" t="s">
        <v>71</v>
      </c>
      <c r="E2762" t="s">
        <v>216</v>
      </c>
      <c r="F2762" t="s">
        <v>71</v>
      </c>
      <c r="H2762" t="s">
        <v>10</v>
      </c>
      <c r="I2762" t="s">
        <v>217</v>
      </c>
      <c r="J2762">
        <v>11</v>
      </c>
      <c r="N2762">
        <f>Таблица1[[#This Row],[Часов на заказчика  в работе]]+Таблица1[[#This Row],[Часов на заказчика  дежурство]]</f>
        <v>0</v>
      </c>
      <c r="O27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2" s="9"/>
      <c r="R2762" s="9"/>
      <c r="S2762" s="5">
        <v>1</v>
      </c>
      <c r="T27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табеле]])*S2762,0)</f>
        <v>0</v>
      </c>
      <c r="U2762" s="5">
        <f>IF(Таблица1[[#This Row],[ТТН]]&gt;0,Таблица1[[#This Row],[Ставка за ТТН]]*Таблица1[[#This Row],[ТТН]],0)</f>
        <v>0</v>
      </c>
    </row>
    <row r="2763" spans="1:21" x14ac:dyDescent="0.25">
      <c r="A2763" t="s">
        <v>84</v>
      </c>
      <c r="B2763" s="24">
        <v>19</v>
      </c>
      <c r="C2763" t="s">
        <v>180</v>
      </c>
      <c r="D2763" t="s">
        <v>71</v>
      </c>
      <c r="E2763" t="s">
        <v>216</v>
      </c>
      <c r="F2763" t="s">
        <v>71</v>
      </c>
      <c r="H2763" t="s">
        <v>10</v>
      </c>
      <c r="I2763" t="s">
        <v>217</v>
      </c>
      <c r="J2763">
        <v>11</v>
      </c>
      <c r="N2763">
        <f>Таблица1[[#This Row],[Часов на заказчика  в работе]]+Таблица1[[#This Row],[Часов на заказчика  дежурство]]</f>
        <v>0</v>
      </c>
      <c r="O27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3" s="9"/>
      <c r="R2763" s="9"/>
      <c r="S2763" s="5">
        <v>1</v>
      </c>
      <c r="T27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табеле]])*S2763,0)</f>
        <v>0</v>
      </c>
      <c r="U2763" s="5">
        <f>IF(Таблица1[[#This Row],[ТТН]]&gt;0,Таблица1[[#This Row],[Ставка за ТТН]]*Таблица1[[#This Row],[ТТН]],0)</f>
        <v>0</v>
      </c>
    </row>
    <row r="2764" spans="1:21" x14ac:dyDescent="0.25">
      <c r="A2764" t="s">
        <v>84</v>
      </c>
      <c r="B2764" s="24">
        <v>20</v>
      </c>
      <c r="C2764" t="s">
        <v>180</v>
      </c>
      <c r="D2764" t="s">
        <v>71</v>
      </c>
      <c r="E2764" t="s">
        <v>216</v>
      </c>
      <c r="F2764" t="s">
        <v>71</v>
      </c>
      <c r="H2764" t="s">
        <v>10</v>
      </c>
      <c r="I2764" t="s">
        <v>217</v>
      </c>
      <c r="J2764">
        <v>11</v>
      </c>
      <c r="N2764">
        <f>Таблица1[[#This Row],[Часов на заказчика  в работе]]+Таблица1[[#This Row],[Часов на заказчика  дежурство]]</f>
        <v>0</v>
      </c>
      <c r="O27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4" s="9"/>
      <c r="R2764" s="9"/>
      <c r="S2764" s="5">
        <v>1</v>
      </c>
      <c r="T27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табеле]])*S2764,0)</f>
        <v>0</v>
      </c>
      <c r="U2764" s="5">
        <f>IF(Таблица1[[#This Row],[ТТН]]&gt;0,Таблица1[[#This Row],[Ставка за ТТН]]*Таблица1[[#This Row],[ТТН]],0)</f>
        <v>0</v>
      </c>
    </row>
    <row r="2765" spans="1:21" x14ac:dyDescent="0.25">
      <c r="A2765" t="s">
        <v>84</v>
      </c>
      <c r="B2765" s="24">
        <v>21</v>
      </c>
      <c r="C2765" t="s">
        <v>180</v>
      </c>
      <c r="D2765" t="s">
        <v>71</v>
      </c>
      <c r="E2765" t="s">
        <v>216</v>
      </c>
      <c r="F2765" t="s">
        <v>71</v>
      </c>
      <c r="H2765" t="s">
        <v>10</v>
      </c>
      <c r="I2765" t="s">
        <v>217</v>
      </c>
      <c r="J2765">
        <v>11</v>
      </c>
      <c r="N2765">
        <f>Таблица1[[#This Row],[Часов на заказчика  в работе]]+Таблица1[[#This Row],[Часов на заказчика  дежурство]]</f>
        <v>0</v>
      </c>
      <c r="O27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5" s="9"/>
      <c r="R2765" s="9"/>
      <c r="S2765" s="5">
        <v>1</v>
      </c>
      <c r="T27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табеле]])*S2765,0)</f>
        <v>0</v>
      </c>
      <c r="U2765" s="5">
        <f>IF(Таблица1[[#This Row],[ТТН]]&gt;0,Таблица1[[#This Row],[Ставка за ТТН]]*Таблица1[[#This Row],[ТТН]],0)</f>
        <v>0</v>
      </c>
    </row>
    <row r="2766" spans="1:21" x14ac:dyDescent="0.25">
      <c r="A2766" t="s">
        <v>84</v>
      </c>
      <c r="B2766" s="24">
        <v>22</v>
      </c>
      <c r="C2766" t="s">
        <v>180</v>
      </c>
      <c r="D2766" t="s">
        <v>71</v>
      </c>
      <c r="E2766" t="s">
        <v>216</v>
      </c>
      <c r="F2766" t="s">
        <v>71</v>
      </c>
      <c r="H2766" t="s">
        <v>10</v>
      </c>
      <c r="I2766" t="s">
        <v>217</v>
      </c>
      <c r="J2766">
        <v>11</v>
      </c>
      <c r="N2766">
        <f>Таблица1[[#This Row],[Часов на заказчика  в работе]]+Таблица1[[#This Row],[Часов на заказчика  дежурство]]</f>
        <v>0</v>
      </c>
      <c r="O27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6" s="9"/>
      <c r="R2766" s="9"/>
      <c r="S2766" s="5">
        <v>1</v>
      </c>
      <c r="T27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табеле]])*S2766,0)</f>
        <v>0</v>
      </c>
      <c r="U2766" s="5">
        <f>IF(Таблица1[[#This Row],[ТТН]]&gt;0,Таблица1[[#This Row],[Ставка за ТТН]]*Таблица1[[#This Row],[ТТН]],0)</f>
        <v>0</v>
      </c>
    </row>
    <row r="2767" spans="1:21" x14ac:dyDescent="0.25">
      <c r="A2767" t="s">
        <v>84</v>
      </c>
      <c r="B2767" s="24">
        <v>23</v>
      </c>
      <c r="C2767" t="s">
        <v>180</v>
      </c>
      <c r="D2767" t="s">
        <v>71</v>
      </c>
      <c r="E2767" t="s">
        <v>216</v>
      </c>
      <c r="F2767" t="s">
        <v>71</v>
      </c>
      <c r="H2767" t="s">
        <v>10</v>
      </c>
      <c r="I2767" t="s">
        <v>217</v>
      </c>
      <c r="J2767">
        <v>11</v>
      </c>
      <c r="N2767">
        <f>Таблица1[[#This Row],[Часов на заказчика  в работе]]+Таблица1[[#This Row],[Часов на заказчика  дежурство]]</f>
        <v>0</v>
      </c>
      <c r="O27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7" s="9"/>
      <c r="R2767" s="9"/>
      <c r="S2767" s="5">
        <v>1</v>
      </c>
      <c r="T27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табеле]])*S2767,0)</f>
        <v>0</v>
      </c>
      <c r="U2767" s="5">
        <f>IF(Таблица1[[#This Row],[ТТН]]&gt;0,Таблица1[[#This Row],[Ставка за ТТН]]*Таблица1[[#This Row],[ТТН]],0)</f>
        <v>0</v>
      </c>
    </row>
    <row r="2768" spans="1:21" x14ac:dyDescent="0.25">
      <c r="A2768" t="s">
        <v>84</v>
      </c>
      <c r="B2768" s="24">
        <v>24</v>
      </c>
      <c r="C2768" t="s">
        <v>180</v>
      </c>
      <c r="D2768" t="s">
        <v>71</v>
      </c>
      <c r="E2768" t="s">
        <v>216</v>
      </c>
      <c r="F2768" t="s">
        <v>71</v>
      </c>
      <c r="H2768" t="s">
        <v>10</v>
      </c>
      <c r="I2768" t="s">
        <v>217</v>
      </c>
      <c r="J2768">
        <v>11</v>
      </c>
      <c r="N2768">
        <f>Таблица1[[#This Row],[Часов на заказчика  в работе]]+Таблица1[[#This Row],[Часов на заказчика  дежурство]]</f>
        <v>0</v>
      </c>
      <c r="O27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8" s="9"/>
      <c r="R2768" s="9"/>
      <c r="S2768" s="5">
        <v>1</v>
      </c>
      <c r="T27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табеле]])*S2768,0)</f>
        <v>0</v>
      </c>
      <c r="U2768" s="5">
        <f>IF(Таблица1[[#This Row],[ТТН]]&gt;0,Таблица1[[#This Row],[Ставка за ТТН]]*Таблица1[[#This Row],[ТТН]],0)</f>
        <v>0</v>
      </c>
    </row>
    <row r="2769" spans="1:21" x14ac:dyDescent="0.25">
      <c r="A2769" t="s">
        <v>84</v>
      </c>
      <c r="B2769" s="24">
        <v>25</v>
      </c>
      <c r="C2769" t="s">
        <v>180</v>
      </c>
      <c r="D2769" t="s">
        <v>71</v>
      </c>
      <c r="E2769" t="s">
        <v>216</v>
      </c>
      <c r="F2769" t="s">
        <v>71</v>
      </c>
      <c r="H2769" t="s">
        <v>10</v>
      </c>
      <c r="I2769" t="s">
        <v>217</v>
      </c>
      <c r="J2769">
        <v>11</v>
      </c>
      <c r="N2769">
        <f>Таблица1[[#This Row],[Часов на заказчика  в работе]]+Таблица1[[#This Row],[Часов на заказчика  дежурство]]</f>
        <v>0</v>
      </c>
      <c r="O27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69" s="9"/>
      <c r="R2769" s="9"/>
      <c r="S2769" s="5">
        <v>1</v>
      </c>
      <c r="T27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табеле]])*S2769,0)</f>
        <v>0</v>
      </c>
      <c r="U2769" s="5">
        <f>IF(Таблица1[[#This Row],[ТТН]]&gt;0,Таблица1[[#This Row],[Ставка за ТТН]]*Таблица1[[#This Row],[ТТН]],0)</f>
        <v>0</v>
      </c>
    </row>
    <row r="2770" spans="1:21" x14ac:dyDescent="0.25">
      <c r="A2770" t="s">
        <v>84</v>
      </c>
      <c r="B2770" s="24">
        <v>26</v>
      </c>
      <c r="C2770" t="s">
        <v>180</v>
      </c>
      <c r="D2770" t="s">
        <v>71</v>
      </c>
      <c r="E2770" t="s">
        <v>216</v>
      </c>
      <c r="F2770" t="s">
        <v>71</v>
      </c>
      <c r="H2770" t="s">
        <v>10</v>
      </c>
      <c r="I2770" t="s">
        <v>217</v>
      </c>
      <c r="J2770">
        <v>11</v>
      </c>
      <c r="N2770">
        <f>Таблица1[[#This Row],[Часов на заказчика  в работе]]+Таблица1[[#This Row],[Часов на заказчика  дежурство]]</f>
        <v>0</v>
      </c>
      <c r="O27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0" s="9"/>
      <c r="R2770" s="9"/>
      <c r="S2770" s="5">
        <v>1</v>
      </c>
      <c r="T27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табеле]])*S2770,0)</f>
        <v>0</v>
      </c>
      <c r="U2770" s="5">
        <f>IF(Таблица1[[#This Row],[ТТН]]&gt;0,Таблица1[[#This Row],[Ставка за ТТН]]*Таблица1[[#This Row],[ТТН]],0)</f>
        <v>0</v>
      </c>
    </row>
    <row r="2771" spans="1:21" x14ac:dyDescent="0.25">
      <c r="A2771" t="s">
        <v>84</v>
      </c>
      <c r="B2771" s="24">
        <v>27</v>
      </c>
      <c r="C2771" t="s">
        <v>180</v>
      </c>
      <c r="D2771" t="s">
        <v>71</v>
      </c>
      <c r="E2771" t="s">
        <v>216</v>
      </c>
      <c r="F2771" t="s">
        <v>71</v>
      </c>
      <c r="H2771" t="s">
        <v>10</v>
      </c>
      <c r="I2771" t="s">
        <v>217</v>
      </c>
      <c r="J2771">
        <v>11</v>
      </c>
      <c r="N2771">
        <f>Таблица1[[#This Row],[Часов на заказчика  в работе]]+Таблица1[[#This Row],[Часов на заказчика  дежурство]]</f>
        <v>0</v>
      </c>
      <c r="O27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1" s="9"/>
      <c r="R2771" s="9"/>
      <c r="S2771" s="5">
        <v>1</v>
      </c>
      <c r="T27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табеле]])*S2771,0)</f>
        <v>0</v>
      </c>
      <c r="U2771" s="5">
        <f>IF(Таблица1[[#This Row],[ТТН]]&gt;0,Таблица1[[#This Row],[Ставка за ТТН]]*Таблица1[[#This Row],[ТТН]],0)</f>
        <v>0</v>
      </c>
    </row>
    <row r="2772" spans="1:21" x14ac:dyDescent="0.25">
      <c r="A2772" t="s">
        <v>84</v>
      </c>
      <c r="B2772" s="24">
        <v>28</v>
      </c>
      <c r="C2772" t="s">
        <v>180</v>
      </c>
      <c r="D2772" t="s">
        <v>71</v>
      </c>
      <c r="E2772" t="s">
        <v>216</v>
      </c>
      <c r="F2772" t="s">
        <v>71</v>
      </c>
      <c r="H2772" t="s">
        <v>10</v>
      </c>
      <c r="I2772" t="s">
        <v>217</v>
      </c>
      <c r="J2772">
        <v>11</v>
      </c>
      <c r="N2772">
        <f>Таблица1[[#This Row],[Часов на заказчика  в работе]]+Таблица1[[#This Row],[Часов на заказчика  дежурство]]</f>
        <v>0</v>
      </c>
      <c r="O27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2" s="9"/>
      <c r="R2772" s="9"/>
      <c r="S2772" s="5">
        <v>1</v>
      </c>
      <c r="T27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табеле]])*S2772,0)</f>
        <v>0</v>
      </c>
      <c r="U2772" s="5">
        <f>IF(Таблица1[[#This Row],[ТТН]]&gt;0,Таблица1[[#This Row],[Ставка за ТТН]]*Таблица1[[#This Row],[ТТН]],0)</f>
        <v>0</v>
      </c>
    </row>
    <row r="2773" spans="1:21" x14ac:dyDescent="0.25">
      <c r="A2773" t="s">
        <v>84</v>
      </c>
      <c r="B2773" s="24">
        <v>29</v>
      </c>
      <c r="C2773" t="s">
        <v>180</v>
      </c>
      <c r="D2773" t="s">
        <v>71</v>
      </c>
      <c r="E2773" t="s">
        <v>216</v>
      </c>
      <c r="F2773" t="s">
        <v>71</v>
      </c>
      <c r="H2773" t="s">
        <v>10</v>
      </c>
      <c r="I2773" t="s">
        <v>217</v>
      </c>
      <c r="J2773">
        <v>11</v>
      </c>
      <c r="N2773">
        <f>Таблица1[[#This Row],[Часов на заказчика  в работе]]+Таблица1[[#This Row],[Часов на заказчика  дежурство]]</f>
        <v>0</v>
      </c>
      <c r="O27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3" s="9"/>
      <c r="R2773" s="9"/>
      <c r="S2773" s="5">
        <v>1</v>
      </c>
      <c r="T27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табеле]])*S2773,0)</f>
        <v>0</v>
      </c>
      <c r="U2773" s="5">
        <f>IF(Таблица1[[#This Row],[ТТН]]&gt;0,Таблица1[[#This Row],[Ставка за ТТН]]*Таблица1[[#This Row],[ТТН]],0)</f>
        <v>0</v>
      </c>
    </row>
    <row r="2774" spans="1:21" x14ac:dyDescent="0.25">
      <c r="A2774" t="s">
        <v>84</v>
      </c>
      <c r="B2774" s="24">
        <v>30</v>
      </c>
      <c r="C2774" t="s">
        <v>181</v>
      </c>
      <c r="D2774" t="s">
        <v>71</v>
      </c>
      <c r="E2774" t="s">
        <v>216</v>
      </c>
      <c r="F2774" t="s">
        <v>71</v>
      </c>
      <c r="H2774" t="s">
        <v>10</v>
      </c>
      <c r="I2774" t="s">
        <v>217</v>
      </c>
      <c r="J2774">
        <v>11</v>
      </c>
      <c r="N2774">
        <f>Таблица1[[#This Row],[Часов на заказчика  в работе]]+Таблица1[[#This Row],[Часов на заказчика  дежурство]]</f>
        <v>0</v>
      </c>
      <c r="O27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4" s="9"/>
      <c r="R2774" s="9"/>
      <c r="S2774" s="5">
        <v>1</v>
      </c>
      <c r="T27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табеле]])*S2774,0)</f>
        <v>0</v>
      </c>
      <c r="U2774" s="5">
        <f>IF(Таблица1[[#This Row],[ТТН]]&gt;0,Таблица1[[#This Row],[Ставка за ТТН]]*Таблица1[[#This Row],[ТТН]],0)</f>
        <v>0</v>
      </c>
    </row>
    <row r="2775" spans="1:21" x14ac:dyDescent="0.25">
      <c r="A2775" t="s">
        <v>84</v>
      </c>
      <c r="B2775" s="24">
        <v>1</v>
      </c>
      <c r="C2775" t="s">
        <v>181</v>
      </c>
      <c r="D2775" t="s">
        <v>79</v>
      </c>
      <c r="E2775" t="s">
        <v>216</v>
      </c>
      <c r="F2775" t="s">
        <v>79</v>
      </c>
      <c r="H2775" t="s">
        <v>10</v>
      </c>
      <c r="I2775" t="s">
        <v>217</v>
      </c>
      <c r="J2775">
        <v>11</v>
      </c>
      <c r="N2775">
        <f>Таблица1[[#This Row],[Часов на заказчика  в работе]]+Таблица1[[#This Row],[Часов на заказчика  дежурство]]</f>
        <v>0</v>
      </c>
      <c r="O27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5" s="9"/>
      <c r="R2775" s="9"/>
      <c r="S2775" s="5">
        <v>1</v>
      </c>
      <c r="T27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табеле]])*S2775,0)</f>
        <v>0</v>
      </c>
      <c r="U2775" s="5">
        <f>IF(Таблица1[[#This Row],[ТТН]]&gt;0,Таблица1[[#This Row],[Ставка за ТТН]]*Таблица1[[#This Row],[ТТН]],0)</f>
        <v>0</v>
      </c>
    </row>
    <row r="2776" spans="1:21" x14ac:dyDescent="0.25">
      <c r="A2776" t="s">
        <v>84</v>
      </c>
      <c r="B2776" s="24">
        <v>2</v>
      </c>
      <c r="C2776" t="s">
        <v>181</v>
      </c>
      <c r="D2776" t="s">
        <v>79</v>
      </c>
      <c r="E2776" t="s">
        <v>216</v>
      </c>
      <c r="F2776" t="s">
        <v>79</v>
      </c>
      <c r="H2776" t="s">
        <v>10</v>
      </c>
      <c r="I2776" t="s">
        <v>217</v>
      </c>
      <c r="J2776">
        <v>11</v>
      </c>
      <c r="N2776">
        <f>Таблица1[[#This Row],[Часов на заказчика  в работе]]+Таблица1[[#This Row],[Часов на заказчика  дежурство]]</f>
        <v>0</v>
      </c>
      <c r="O27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6" s="9"/>
      <c r="R2776" s="9"/>
      <c r="S2776" s="5">
        <v>1</v>
      </c>
      <c r="T27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табеле]])*S2776,0)</f>
        <v>0</v>
      </c>
      <c r="U2776" s="5">
        <f>IF(Таблица1[[#This Row],[ТТН]]&gt;0,Таблица1[[#This Row],[Ставка за ТТН]]*Таблица1[[#This Row],[ТТН]],0)</f>
        <v>0</v>
      </c>
    </row>
    <row r="2777" spans="1:21" x14ac:dyDescent="0.25">
      <c r="A2777" t="s">
        <v>84</v>
      </c>
      <c r="B2777" s="24">
        <v>3</v>
      </c>
      <c r="C2777" t="s">
        <v>181</v>
      </c>
      <c r="D2777" t="s">
        <v>79</v>
      </c>
      <c r="E2777" t="s">
        <v>216</v>
      </c>
      <c r="F2777" t="s">
        <v>79</v>
      </c>
      <c r="H2777" t="s">
        <v>10</v>
      </c>
      <c r="I2777" t="s">
        <v>217</v>
      </c>
      <c r="J2777">
        <v>11</v>
      </c>
      <c r="N2777">
        <f>Таблица1[[#This Row],[Часов на заказчика  в работе]]+Таблица1[[#This Row],[Часов на заказчика  дежурство]]</f>
        <v>0</v>
      </c>
      <c r="O27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7" s="9"/>
      <c r="R2777" s="9"/>
      <c r="S2777" s="5">
        <v>1</v>
      </c>
      <c r="T27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табеле]])*S2777,0)</f>
        <v>0</v>
      </c>
      <c r="U2777" s="5">
        <f>IF(Таблица1[[#This Row],[ТТН]]&gt;0,Таблица1[[#This Row],[Ставка за ТТН]]*Таблица1[[#This Row],[ТТН]],0)</f>
        <v>0</v>
      </c>
    </row>
    <row r="2778" spans="1:21" x14ac:dyDescent="0.25">
      <c r="A2778" t="s">
        <v>84</v>
      </c>
      <c r="B2778" s="24">
        <v>4</v>
      </c>
      <c r="C2778" t="s">
        <v>181</v>
      </c>
      <c r="D2778" t="s">
        <v>79</v>
      </c>
      <c r="E2778" t="s">
        <v>216</v>
      </c>
      <c r="F2778" t="s">
        <v>79</v>
      </c>
      <c r="H2778" t="s">
        <v>10</v>
      </c>
      <c r="I2778" t="s">
        <v>217</v>
      </c>
      <c r="J2778">
        <v>11</v>
      </c>
      <c r="N2778">
        <f>Таблица1[[#This Row],[Часов на заказчика  в работе]]+Таблица1[[#This Row],[Часов на заказчика  дежурство]]</f>
        <v>0</v>
      </c>
      <c r="O27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8" s="9"/>
      <c r="R2778" s="9"/>
      <c r="S2778" s="5">
        <v>1</v>
      </c>
      <c r="T27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табеле]])*S2778,0)</f>
        <v>0</v>
      </c>
      <c r="U2778" s="5">
        <f>IF(Таблица1[[#This Row],[ТТН]]&gt;0,Таблица1[[#This Row],[Ставка за ТТН]]*Таблица1[[#This Row],[ТТН]],0)</f>
        <v>0</v>
      </c>
    </row>
    <row r="2779" spans="1:21" x14ac:dyDescent="0.25">
      <c r="A2779" t="s">
        <v>84</v>
      </c>
      <c r="B2779" s="24">
        <v>5</v>
      </c>
      <c r="C2779" t="s">
        <v>181</v>
      </c>
      <c r="D2779" t="s">
        <v>79</v>
      </c>
      <c r="E2779" t="s">
        <v>216</v>
      </c>
      <c r="F2779" t="s">
        <v>79</v>
      </c>
      <c r="H2779" t="s">
        <v>10</v>
      </c>
      <c r="I2779" t="s">
        <v>217</v>
      </c>
      <c r="J2779">
        <v>11</v>
      </c>
      <c r="N2779">
        <f>Таблица1[[#This Row],[Часов на заказчика  в работе]]+Таблица1[[#This Row],[Часов на заказчика  дежурство]]</f>
        <v>0</v>
      </c>
      <c r="O27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79" s="9"/>
      <c r="R2779" s="9"/>
      <c r="S2779" s="5">
        <v>1</v>
      </c>
      <c r="T27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табеле]])*S2779,0)</f>
        <v>0</v>
      </c>
      <c r="U2779" s="5">
        <f>IF(Таблица1[[#This Row],[ТТН]]&gt;0,Таблица1[[#This Row],[Ставка за ТТН]]*Таблица1[[#This Row],[ТТН]],0)</f>
        <v>0</v>
      </c>
    </row>
    <row r="2780" spans="1:21" x14ac:dyDescent="0.25">
      <c r="A2780" t="s">
        <v>84</v>
      </c>
      <c r="B2780" s="24">
        <v>6</v>
      </c>
      <c r="C2780" t="s">
        <v>181</v>
      </c>
      <c r="D2780" t="s">
        <v>79</v>
      </c>
      <c r="E2780" t="s">
        <v>216</v>
      </c>
      <c r="F2780" t="s">
        <v>79</v>
      </c>
      <c r="H2780" t="s">
        <v>10</v>
      </c>
      <c r="I2780" t="s">
        <v>217</v>
      </c>
      <c r="J2780">
        <v>11</v>
      </c>
      <c r="N2780">
        <f>Таблица1[[#This Row],[Часов на заказчика  в работе]]+Таблица1[[#This Row],[Часов на заказчика  дежурство]]</f>
        <v>0</v>
      </c>
      <c r="O27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0" s="9"/>
      <c r="R2780" s="9"/>
      <c r="S2780" s="5">
        <v>1</v>
      </c>
      <c r="T27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табеле]])*S2780,0)</f>
        <v>0</v>
      </c>
      <c r="U2780" s="5">
        <f>IF(Таблица1[[#This Row],[ТТН]]&gt;0,Таблица1[[#This Row],[Ставка за ТТН]]*Таблица1[[#This Row],[ТТН]],0)</f>
        <v>0</v>
      </c>
    </row>
    <row r="2781" spans="1:21" x14ac:dyDescent="0.25">
      <c r="A2781" t="s">
        <v>84</v>
      </c>
      <c r="B2781" s="24">
        <v>7</v>
      </c>
      <c r="C2781" t="s">
        <v>181</v>
      </c>
      <c r="D2781" t="s">
        <v>79</v>
      </c>
      <c r="E2781" t="s">
        <v>216</v>
      </c>
      <c r="F2781" t="s">
        <v>79</v>
      </c>
      <c r="H2781" t="s">
        <v>10</v>
      </c>
      <c r="I2781" t="s">
        <v>217</v>
      </c>
      <c r="J2781">
        <v>11</v>
      </c>
      <c r="N2781">
        <f>Таблица1[[#This Row],[Часов на заказчика  в работе]]+Таблица1[[#This Row],[Часов на заказчика  дежурство]]</f>
        <v>0</v>
      </c>
      <c r="O27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1" s="9"/>
      <c r="R2781" s="9"/>
      <c r="S2781" s="5">
        <v>1</v>
      </c>
      <c r="T27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табеле]])*S2781,0)</f>
        <v>0</v>
      </c>
      <c r="U2781" s="5">
        <f>IF(Таблица1[[#This Row],[ТТН]]&gt;0,Таблица1[[#This Row],[Ставка за ТТН]]*Таблица1[[#This Row],[ТТН]],0)</f>
        <v>0</v>
      </c>
    </row>
    <row r="2782" spans="1:21" x14ac:dyDescent="0.25">
      <c r="A2782" t="s">
        <v>84</v>
      </c>
      <c r="B2782" s="24">
        <v>8</v>
      </c>
      <c r="C2782" t="s">
        <v>181</v>
      </c>
      <c r="D2782" t="s">
        <v>79</v>
      </c>
      <c r="E2782" t="s">
        <v>216</v>
      </c>
      <c r="F2782" t="s">
        <v>79</v>
      </c>
      <c r="H2782" t="s">
        <v>10</v>
      </c>
      <c r="I2782" t="s">
        <v>217</v>
      </c>
      <c r="J2782">
        <v>11</v>
      </c>
      <c r="N2782">
        <f>Таблица1[[#This Row],[Часов на заказчика  в работе]]+Таблица1[[#This Row],[Часов на заказчика  дежурство]]</f>
        <v>0</v>
      </c>
      <c r="O27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2" s="9"/>
      <c r="R2782" s="9"/>
      <c r="S2782" s="5">
        <v>1</v>
      </c>
      <c r="T27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табеле]])*S2782,0)</f>
        <v>0</v>
      </c>
      <c r="U2782" s="5">
        <f>IF(Таблица1[[#This Row],[ТТН]]&gt;0,Таблица1[[#This Row],[Ставка за ТТН]]*Таблица1[[#This Row],[ТТН]],0)</f>
        <v>0</v>
      </c>
    </row>
    <row r="2783" spans="1:21" x14ac:dyDescent="0.25">
      <c r="A2783" t="s">
        <v>84</v>
      </c>
      <c r="B2783" s="24">
        <v>9</v>
      </c>
      <c r="C2783" t="s">
        <v>181</v>
      </c>
      <c r="D2783" t="s">
        <v>79</v>
      </c>
      <c r="E2783" t="s">
        <v>216</v>
      </c>
      <c r="F2783" t="s">
        <v>79</v>
      </c>
      <c r="H2783" t="s">
        <v>10</v>
      </c>
      <c r="I2783" t="s">
        <v>217</v>
      </c>
      <c r="J2783">
        <v>11</v>
      </c>
      <c r="N2783">
        <f>Таблица1[[#This Row],[Часов на заказчика  в работе]]+Таблица1[[#This Row],[Часов на заказчика  дежурство]]</f>
        <v>0</v>
      </c>
      <c r="O27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3" s="9"/>
      <c r="R2783" s="9"/>
      <c r="S2783" s="5">
        <v>1</v>
      </c>
      <c r="T27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табеле]])*S2783,0)</f>
        <v>0</v>
      </c>
      <c r="U2783" s="5">
        <f>IF(Таблица1[[#This Row],[ТТН]]&gt;0,Таблица1[[#This Row],[Ставка за ТТН]]*Таблица1[[#This Row],[ТТН]],0)</f>
        <v>0</v>
      </c>
    </row>
    <row r="2784" spans="1:21" x14ac:dyDescent="0.25">
      <c r="A2784" t="s">
        <v>84</v>
      </c>
      <c r="B2784" s="24">
        <v>10</v>
      </c>
      <c r="C2784" t="s">
        <v>181</v>
      </c>
      <c r="D2784" t="s">
        <v>79</v>
      </c>
      <c r="E2784" t="s">
        <v>216</v>
      </c>
      <c r="F2784" t="s">
        <v>79</v>
      </c>
      <c r="H2784" t="s">
        <v>10</v>
      </c>
      <c r="I2784" t="s">
        <v>217</v>
      </c>
      <c r="J2784">
        <v>11</v>
      </c>
      <c r="N2784">
        <f>Таблица1[[#This Row],[Часов на заказчика  в работе]]+Таблица1[[#This Row],[Часов на заказчика  дежурство]]</f>
        <v>0</v>
      </c>
      <c r="O27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4" s="9"/>
      <c r="R2784" s="9"/>
      <c r="S2784" s="5">
        <v>1</v>
      </c>
      <c r="T27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табеле]])*S2784,0)</f>
        <v>0</v>
      </c>
      <c r="U2784" s="5">
        <f>IF(Таблица1[[#This Row],[ТТН]]&gt;0,Таблица1[[#This Row],[Ставка за ТТН]]*Таблица1[[#This Row],[ТТН]],0)</f>
        <v>0</v>
      </c>
    </row>
    <row r="2785" spans="1:21" x14ac:dyDescent="0.25">
      <c r="A2785" t="s">
        <v>84</v>
      </c>
      <c r="B2785" s="24">
        <v>11</v>
      </c>
      <c r="C2785" t="s">
        <v>181</v>
      </c>
      <c r="D2785" t="s">
        <v>79</v>
      </c>
      <c r="E2785" t="s">
        <v>216</v>
      </c>
      <c r="F2785" t="s">
        <v>79</v>
      </c>
      <c r="H2785" t="s">
        <v>10</v>
      </c>
      <c r="I2785" t="s">
        <v>217</v>
      </c>
      <c r="J2785">
        <v>11</v>
      </c>
      <c r="N2785">
        <f>Таблица1[[#This Row],[Часов на заказчика  в работе]]+Таблица1[[#This Row],[Часов на заказчика  дежурство]]</f>
        <v>0</v>
      </c>
      <c r="O27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5" s="9"/>
      <c r="R2785" s="9"/>
      <c r="S2785" s="5">
        <v>1</v>
      </c>
      <c r="T27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табеле]])*S2785,0)</f>
        <v>0</v>
      </c>
      <c r="U2785" s="5">
        <f>IF(Таблица1[[#This Row],[ТТН]]&gt;0,Таблица1[[#This Row],[Ставка за ТТН]]*Таблица1[[#This Row],[ТТН]],0)</f>
        <v>0</v>
      </c>
    </row>
    <row r="2786" spans="1:21" x14ac:dyDescent="0.25">
      <c r="A2786" t="s">
        <v>84</v>
      </c>
      <c r="B2786" s="24">
        <v>12</v>
      </c>
      <c r="C2786" t="s">
        <v>181</v>
      </c>
      <c r="D2786" t="s">
        <v>79</v>
      </c>
      <c r="E2786" t="s">
        <v>216</v>
      </c>
      <c r="F2786" t="s">
        <v>79</v>
      </c>
      <c r="H2786" t="s">
        <v>10</v>
      </c>
      <c r="I2786" t="s">
        <v>217</v>
      </c>
      <c r="J2786">
        <v>11</v>
      </c>
      <c r="N2786">
        <f>Таблица1[[#This Row],[Часов на заказчика  в работе]]+Таблица1[[#This Row],[Часов на заказчика  дежурство]]</f>
        <v>0</v>
      </c>
      <c r="O27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6" s="9"/>
      <c r="R2786" s="9"/>
      <c r="S2786" s="5">
        <v>1</v>
      </c>
      <c r="T27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табеле]])*S2786,0)</f>
        <v>0</v>
      </c>
      <c r="U2786" s="5">
        <f>IF(Таблица1[[#This Row],[ТТН]]&gt;0,Таблица1[[#This Row],[Ставка за ТТН]]*Таблица1[[#This Row],[ТТН]],0)</f>
        <v>0</v>
      </c>
    </row>
    <row r="2787" spans="1:21" x14ac:dyDescent="0.25">
      <c r="A2787" t="s">
        <v>84</v>
      </c>
      <c r="B2787" s="24">
        <v>13</v>
      </c>
      <c r="C2787" t="s">
        <v>181</v>
      </c>
      <c r="D2787" t="s">
        <v>79</v>
      </c>
      <c r="E2787" t="s">
        <v>216</v>
      </c>
      <c r="F2787" t="s">
        <v>79</v>
      </c>
      <c r="H2787" t="s">
        <v>10</v>
      </c>
      <c r="I2787" t="s">
        <v>217</v>
      </c>
      <c r="J2787">
        <v>11</v>
      </c>
      <c r="N2787">
        <f>Таблица1[[#This Row],[Часов на заказчика  в работе]]+Таблица1[[#This Row],[Часов на заказчика  дежурство]]</f>
        <v>0</v>
      </c>
      <c r="O27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7" s="9"/>
      <c r="R2787" s="9"/>
      <c r="S2787" s="5">
        <v>1</v>
      </c>
      <c r="T27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табеле]])*S2787,0)</f>
        <v>0</v>
      </c>
      <c r="U2787" s="5">
        <f>IF(Таблица1[[#This Row],[ТТН]]&gt;0,Таблица1[[#This Row],[Ставка за ТТН]]*Таблица1[[#This Row],[ТТН]],0)</f>
        <v>0</v>
      </c>
    </row>
    <row r="2788" spans="1:21" x14ac:dyDescent="0.25">
      <c r="A2788" t="s">
        <v>84</v>
      </c>
      <c r="B2788" s="24">
        <v>14</v>
      </c>
      <c r="C2788" t="s">
        <v>181</v>
      </c>
      <c r="D2788" t="s">
        <v>79</v>
      </c>
      <c r="E2788" t="s">
        <v>216</v>
      </c>
      <c r="F2788" t="s">
        <v>79</v>
      </c>
      <c r="H2788" t="s">
        <v>10</v>
      </c>
      <c r="I2788" t="s">
        <v>217</v>
      </c>
      <c r="J2788">
        <v>11</v>
      </c>
      <c r="N2788">
        <f>Таблица1[[#This Row],[Часов на заказчика  в работе]]+Таблица1[[#This Row],[Часов на заказчика  дежурство]]</f>
        <v>0</v>
      </c>
      <c r="O27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8" s="9"/>
      <c r="R2788" s="9"/>
      <c r="S2788" s="5">
        <v>1</v>
      </c>
      <c r="T27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табеле]])*S2788,0)</f>
        <v>0</v>
      </c>
      <c r="U2788" s="5">
        <f>IF(Таблица1[[#This Row],[ТТН]]&gt;0,Таблица1[[#This Row],[Ставка за ТТН]]*Таблица1[[#This Row],[ТТН]],0)</f>
        <v>0</v>
      </c>
    </row>
    <row r="2789" spans="1:21" x14ac:dyDescent="0.25">
      <c r="A2789" t="s">
        <v>84</v>
      </c>
      <c r="B2789" s="24">
        <v>15</v>
      </c>
      <c r="C2789" t="s">
        <v>181</v>
      </c>
      <c r="D2789" t="s">
        <v>79</v>
      </c>
      <c r="E2789" t="s">
        <v>216</v>
      </c>
      <c r="F2789" t="s">
        <v>79</v>
      </c>
      <c r="H2789" t="s">
        <v>10</v>
      </c>
      <c r="I2789" t="s">
        <v>217</v>
      </c>
      <c r="J2789">
        <v>11</v>
      </c>
      <c r="N2789">
        <f>Таблица1[[#This Row],[Часов на заказчика  в работе]]+Таблица1[[#This Row],[Часов на заказчика  дежурство]]</f>
        <v>0</v>
      </c>
      <c r="O27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89" s="9"/>
      <c r="R2789" s="9"/>
      <c r="S2789" s="5">
        <v>1</v>
      </c>
      <c r="T27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табеле]])*S2789,0)</f>
        <v>0</v>
      </c>
      <c r="U2789" s="5">
        <f>IF(Таблица1[[#This Row],[ТТН]]&gt;0,Таблица1[[#This Row],[Ставка за ТТН]]*Таблица1[[#This Row],[ТТН]],0)</f>
        <v>0</v>
      </c>
    </row>
    <row r="2790" spans="1:21" x14ac:dyDescent="0.25">
      <c r="A2790" t="s">
        <v>84</v>
      </c>
      <c r="B2790" s="24">
        <v>16</v>
      </c>
      <c r="C2790" t="s">
        <v>181</v>
      </c>
      <c r="D2790" t="s">
        <v>79</v>
      </c>
      <c r="E2790" t="s">
        <v>216</v>
      </c>
      <c r="F2790" t="s">
        <v>79</v>
      </c>
      <c r="H2790" t="s">
        <v>10</v>
      </c>
      <c r="I2790" t="s">
        <v>217</v>
      </c>
      <c r="J2790">
        <v>11</v>
      </c>
      <c r="N2790">
        <f>Таблица1[[#This Row],[Часов на заказчика  в работе]]+Таблица1[[#This Row],[Часов на заказчика  дежурство]]</f>
        <v>0</v>
      </c>
      <c r="O27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0" s="9"/>
      <c r="R2790" s="9"/>
      <c r="S2790" s="5">
        <v>1</v>
      </c>
      <c r="T27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табеле]])*S2790,0)</f>
        <v>0</v>
      </c>
      <c r="U2790" s="5">
        <f>IF(Таблица1[[#This Row],[ТТН]]&gt;0,Таблица1[[#This Row],[Ставка за ТТН]]*Таблица1[[#This Row],[ТТН]],0)</f>
        <v>0</v>
      </c>
    </row>
    <row r="2791" spans="1:21" x14ac:dyDescent="0.25">
      <c r="A2791" t="s">
        <v>84</v>
      </c>
      <c r="B2791" s="24">
        <v>17</v>
      </c>
      <c r="C2791" t="s">
        <v>181</v>
      </c>
      <c r="D2791" t="s">
        <v>79</v>
      </c>
      <c r="E2791" t="s">
        <v>216</v>
      </c>
      <c r="F2791" t="s">
        <v>79</v>
      </c>
      <c r="H2791" t="s">
        <v>10</v>
      </c>
      <c r="I2791" t="s">
        <v>217</v>
      </c>
      <c r="J2791">
        <v>11</v>
      </c>
      <c r="N2791">
        <f>Таблица1[[#This Row],[Часов на заказчика  в работе]]+Таблица1[[#This Row],[Часов на заказчика  дежурство]]</f>
        <v>0</v>
      </c>
      <c r="O27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1" s="9"/>
      <c r="R2791" s="9"/>
      <c r="S2791" s="5">
        <v>1</v>
      </c>
      <c r="T27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табеле]])*S2791,0)</f>
        <v>0</v>
      </c>
      <c r="U2791" s="5">
        <f>IF(Таблица1[[#This Row],[ТТН]]&gt;0,Таблица1[[#This Row],[Ставка за ТТН]]*Таблица1[[#This Row],[ТТН]],0)</f>
        <v>0</v>
      </c>
    </row>
    <row r="2792" spans="1:21" x14ac:dyDescent="0.25">
      <c r="A2792" t="s">
        <v>84</v>
      </c>
      <c r="B2792" s="24">
        <v>18</v>
      </c>
      <c r="C2792" t="s">
        <v>181</v>
      </c>
      <c r="D2792" t="s">
        <v>79</v>
      </c>
      <c r="E2792" t="s">
        <v>216</v>
      </c>
      <c r="F2792" t="s">
        <v>79</v>
      </c>
      <c r="H2792" t="s">
        <v>10</v>
      </c>
      <c r="I2792" t="s">
        <v>217</v>
      </c>
      <c r="J2792">
        <v>11</v>
      </c>
      <c r="N2792">
        <f>Таблица1[[#This Row],[Часов на заказчика  в работе]]+Таблица1[[#This Row],[Часов на заказчика  дежурство]]</f>
        <v>0</v>
      </c>
      <c r="O27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2" s="9"/>
      <c r="R2792" s="9"/>
      <c r="S2792" s="5">
        <v>1</v>
      </c>
      <c r="T27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табеле]])*S2792,0)</f>
        <v>0</v>
      </c>
      <c r="U2792" s="5">
        <f>IF(Таблица1[[#This Row],[ТТН]]&gt;0,Таблица1[[#This Row],[Ставка за ТТН]]*Таблица1[[#This Row],[ТТН]],0)</f>
        <v>0</v>
      </c>
    </row>
    <row r="2793" spans="1:21" x14ac:dyDescent="0.25">
      <c r="A2793" t="s">
        <v>84</v>
      </c>
      <c r="B2793" s="24">
        <v>19</v>
      </c>
      <c r="C2793" t="s">
        <v>181</v>
      </c>
      <c r="D2793" t="s">
        <v>79</v>
      </c>
      <c r="E2793" t="s">
        <v>216</v>
      </c>
      <c r="F2793" t="s">
        <v>79</v>
      </c>
      <c r="H2793" t="s">
        <v>10</v>
      </c>
      <c r="I2793" t="s">
        <v>217</v>
      </c>
      <c r="J2793">
        <v>11</v>
      </c>
      <c r="N2793">
        <f>Таблица1[[#This Row],[Часов на заказчика  в работе]]+Таблица1[[#This Row],[Часов на заказчика  дежурство]]</f>
        <v>0</v>
      </c>
      <c r="O27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3" s="9"/>
      <c r="R2793" s="9"/>
      <c r="S2793" s="5">
        <v>1</v>
      </c>
      <c r="T27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табеле]])*S2793,0)</f>
        <v>0</v>
      </c>
      <c r="U2793" s="5">
        <f>IF(Таблица1[[#This Row],[ТТН]]&gt;0,Таблица1[[#This Row],[Ставка за ТТН]]*Таблица1[[#This Row],[ТТН]],0)</f>
        <v>0</v>
      </c>
    </row>
    <row r="2794" spans="1:21" x14ac:dyDescent="0.25">
      <c r="A2794" t="s">
        <v>84</v>
      </c>
      <c r="B2794" s="24">
        <v>20</v>
      </c>
      <c r="C2794" t="s">
        <v>181</v>
      </c>
      <c r="D2794" t="s">
        <v>79</v>
      </c>
      <c r="E2794" t="s">
        <v>216</v>
      </c>
      <c r="F2794" t="s">
        <v>79</v>
      </c>
      <c r="H2794" t="s">
        <v>10</v>
      </c>
      <c r="I2794" t="s">
        <v>217</v>
      </c>
      <c r="J2794">
        <v>11</v>
      </c>
      <c r="N2794">
        <f>Таблица1[[#This Row],[Часов на заказчика  в работе]]+Таблица1[[#This Row],[Часов на заказчика  дежурство]]</f>
        <v>0</v>
      </c>
      <c r="O27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4" s="9"/>
      <c r="R2794" s="9"/>
      <c r="S2794" s="5">
        <v>1</v>
      </c>
      <c r="T27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табеле]])*S2794,0)</f>
        <v>0</v>
      </c>
      <c r="U2794" s="5">
        <f>IF(Таблица1[[#This Row],[ТТН]]&gt;0,Таблица1[[#This Row],[Ставка за ТТН]]*Таблица1[[#This Row],[ТТН]],0)</f>
        <v>0</v>
      </c>
    </row>
    <row r="2795" spans="1:21" x14ac:dyDescent="0.25">
      <c r="A2795" t="s">
        <v>84</v>
      </c>
      <c r="B2795" s="24">
        <v>21</v>
      </c>
      <c r="C2795" t="s">
        <v>181</v>
      </c>
      <c r="D2795" t="s">
        <v>79</v>
      </c>
      <c r="E2795" t="s">
        <v>216</v>
      </c>
      <c r="F2795" t="s">
        <v>79</v>
      </c>
      <c r="H2795" t="s">
        <v>10</v>
      </c>
      <c r="I2795" t="s">
        <v>217</v>
      </c>
      <c r="J2795">
        <v>11</v>
      </c>
      <c r="N2795">
        <f>Таблица1[[#This Row],[Часов на заказчика  в работе]]+Таблица1[[#This Row],[Часов на заказчика  дежурство]]</f>
        <v>0</v>
      </c>
      <c r="O27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5" s="9"/>
      <c r="R2795" s="9"/>
      <c r="S2795" s="5">
        <v>1</v>
      </c>
      <c r="T27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табеле]])*S2795,0)</f>
        <v>0</v>
      </c>
      <c r="U2795" s="5">
        <f>IF(Таблица1[[#This Row],[ТТН]]&gt;0,Таблица1[[#This Row],[Ставка за ТТН]]*Таблица1[[#This Row],[ТТН]],0)</f>
        <v>0</v>
      </c>
    </row>
    <row r="2796" spans="1:21" x14ac:dyDescent="0.25">
      <c r="A2796" t="s">
        <v>84</v>
      </c>
      <c r="B2796" s="24">
        <v>22</v>
      </c>
      <c r="C2796" t="s">
        <v>181</v>
      </c>
      <c r="D2796" t="s">
        <v>79</v>
      </c>
      <c r="E2796" t="s">
        <v>216</v>
      </c>
      <c r="F2796" t="s">
        <v>79</v>
      </c>
      <c r="H2796" t="s">
        <v>10</v>
      </c>
      <c r="I2796" t="s">
        <v>217</v>
      </c>
      <c r="J2796">
        <v>11</v>
      </c>
      <c r="N2796">
        <f>Таблица1[[#This Row],[Часов на заказчика  в работе]]+Таблица1[[#This Row],[Часов на заказчика  дежурство]]</f>
        <v>0</v>
      </c>
      <c r="O27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6" s="9"/>
      <c r="R2796" s="9"/>
      <c r="S2796" s="5">
        <v>1</v>
      </c>
      <c r="T27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табеле]])*S2796,0)</f>
        <v>0</v>
      </c>
      <c r="U2796" s="5">
        <f>IF(Таблица1[[#This Row],[ТТН]]&gt;0,Таблица1[[#This Row],[Ставка за ТТН]]*Таблица1[[#This Row],[ТТН]],0)</f>
        <v>0</v>
      </c>
    </row>
    <row r="2797" spans="1:21" x14ac:dyDescent="0.25">
      <c r="A2797" t="s">
        <v>84</v>
      </c>
      <c r="B2797" s="24">
        <v>23</v>
      </c>
      <c r="C2797" t="s">
        <v>181</v>
      </c>
      <c r="D2797" t="s">
        <v>79</v>
      </c>
      <c r="E2797" t="s">
        <v>216</v>
      </c>
      <c r="F2797" t="s">
        <v>79</v>
      </c>
      <c r="H2797" t="s">
        <v>10</v>
      </c>
      <c r="I2797" t="s">
        <v>217</v>
      </c>
      <c r="J2797">
        <v>11</v>
      </c>
      <c r="N2797">
        <f>Таблица1[[#This Row],[Часов на заказчика  в работе]]+Таблица1[[#This Row],[Часов на заказчика  дежурство]]</f>
        <v>0</v>
      </c>
      <c r="O27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7" s="9"/>
      <c r="R2797" s="9"/>
      <c r="S2797" s="5">
        <v>1</v>
      </c>
      <c r="T27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табеле]])*S2797,0)</f>
        <v>0</v>
      </c>
      <c r="U2797" s="5">
        <f>IF(Таблица1[[#This Row],[ТТН]]&gt;0,Таблица1[[#This Row],[Ставка за ТТН]]*Таблица1[[#This Row],[ТТН]],0)</f>
        <v>0</v>
      </c>
    </row>
    <row r="2798" spans="1:21" x14ac:dyDescent="0.25">
      <c r="A2798" t="s">
        <v>84</v>
      </c>
      <c r="B2798" s="24">
        <v>24</v>
      </c>
      <c r="C2798" t="s">
        <v>181</v>
      </c>
      <c r="D2798" t="s">
        <v>79</v>
      </c>
      <c r="E2798" t="s">
        <v>216</v>
      </c>
      <c r="F2798" t="s">
        <v>79</v>
      </c>
      <c r="H2798" t="s">
        <v>10</v>
      </c>
      <c r="I2798" t="s">
        <v>217</v>
      </c>
      <c r="J2798">
        <v>11</v>
      </c>
      <c r="N2798">
        <f>Таблица1[[#This Row],[Часов на заказчика  в работе]]+Таблица1[[#This Row],[Часов на заказчика  дежурство]]</f>
        <v>0</v>
      </c>
      <c r="O27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8" s="9"/>
      <c r="R2798" s="9"/>
      <c r="S2798" s="5">
        <v>1</v>
      </c>
      <c r="T27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табеле]])*S2798,0)</f>
        <v>0</v>
      </c>
      <c r="U2798" s="5">
        <f>IF(Таблица1[[#This Row],[ТТН]]&gt;0,Таблица1[[#This Row],[Ставка за ТТН]]*Таблица1[[#This Row],[ТТН]],0)</f>
        <v>0</v>
      </c>
    </row>
    <row r="2799" spans="1:21" x14ac:dyDescent="0.25">
      <c r="A2799" t="s">
        <v>84</v>
      </c>
      <c r="B2799" s="24">
        <v>25</v>
      </c>
      <c r="C2799" t="s">
        <v>181</v>
      </c>
      <c r="D2799" t="s">
        <v>79</v>
      </c>
      <c r="E2799" t="s">
        <v>216</v>
      </c>
      <c r="F2799" t="s">
        <v>79</v>
      </c>
      <c r="H2799" t="s">
        <v>10</v>
      </c>
      <c r="I2799" t="s">
        <v>217</v>
      </c>
      <c r="J2799">
        <v>11</v>
      </c>
      <c r="N2799">
        <f>Таблица1[[#This Row],[Часов на заказчика  в работе]]+Таблица1[[#This Row],[Часов на заказчика  дежурство]]</f>
        <v>0</v>
      </c>
      <c r="O27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799" s="9"/>
      <c r="R2799" s="9"/>
      <c r="S2799" s="5">
        <v>1</v>
      </c>
      <c r="T27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табеле]])*S2799,0)</f>
        <v>0</v>
      </c>
      <c r="U2799" s="5">
        <f>IF(Таблица1[[#This Row],[ТТН]]&gt;0,Таблица1[[#This Row],[Ставка за ТТН]]*Таблица1[[#This Row],[ТТН]],0)</f>
        <v>0</v>
      </c>
    </row>
    <row r="2800" spans="1:21" x14ac:dyDescent="0.25">
      <c r="A2800" t="s">
        <v>84</v>
      </c>
      <c r="B2800" s="24">
        <v>26</v>
      </c>
      <c r="C2800" t="s">
        <v>181</v>
      </c>
      <c r="D2800" t="s">
        <v>79</v>
      </c>
      <c r="E2800" t="s">
        <v>216</v>
      </c>
      <c r="F2800" t="s">
        <v>79</v>
      </c>
      <c r="H2800" t="s">
        <v>10</v>
      </c>
      <c r="I2800" t="s">
        <v>217</v>
      </c>
      <c r="J2800">
        <v>11</v>
      </c>
      <c r="N2800">
        <f>Таблица1[[#This Row],[Часов на заказчика  в работе]]+Таблица1[[#This Row],[Часов на заказчика  дежурство]]</f>
        <v>0</v>
      </c>
      <c r="O28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0" s="9"/>
      <c r="R2800" s="9"/>
      <c r="S2800" s="5">
        <v>1</v>
      </c>
      <c r="T28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табеле]])*S2800,0)</f>
        <v>0</v>
      </c>
      <c r="U2800" s="5">
        <f>IF(Таблица1[[#This Row],[ТТН]]&gt;0,Таблица1[[#This Row],[Ставка за ТТН]]*Таблица1[[#This Row],[ТТН]],0)</f>
        <v>0</v>
      </c>
    </row>
    <row r="2801" spans="1:21" x14ac:dyDescent="0.25">
      <c r="A2801" t="s">
        <v>84</v>
      </c>
      <c r="B2801" s="24">
        <v>27</v>
      </c>
      <c r="C2801" t="s">
        <v>181</v>
      </c>
      <c r="D2801" t="s">
        <v>79</v>
      </c>
      <c r="E2801" t="s">
        <v>216</v>
      </c>
      <c r="F2801" t="s">
        <v>79</v>
      </c>
      <c r="H2801" t="s">
        <v>10</v>
      </c>
      <c r="I2801" t="s">
        <v>217</v>
      </c>
      <c r="J2801">
        <v>11</v>
      </c>
      <c r="N2801">
        <f>Таблица1[[#This Row],[Часов на заказчика  в работе]]+Таблица1[[#This Row],[Часов на заказчика  дежурство]]</f>
        <v>0</v>
      </c>
      <c r="O28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1" s="9"/>
      <c r="R2801" s="9"/>
      <c r="S2801" s="5">
        <v>1</v>
      </c>
      <c r="T28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табеле]])*S2801,0)</f>
        <v>0</v>
      </c>
      <c r="U2801" s="5">
        <f>IF(Таблица1[[#This Row],[ТТН]]&gt;0,Таблица1[[#This Row],[Ставка за ТТН]]*Таблица1[[#This Row],[ТТН]],0)</f>
        <v>0</v>
      </c>
    </row>
    <row r="2802" spans="1:21" x14ac:dyDescent="0.25">
      <c r="A2802" t="s">
        <v>84</v>
      </c>
      <c r="B2802" s="24">
        <v>28</v>
      </c>
      <c r="C2802" t="s">
        <v>181</v>
      </c>
      <c r="D2802" t="s">
        <v>79</v>
      </c>
      <c r="E2802" t="s">
        <v>216</v>
      </c>
      <c r="F2802" t="s">
        <v>79</v>
      </c>
      <c r="H2802" t="s">
        <v>10</v>
      </c>
      <c r="I2802" t="s">
        <v>217</v>
      </c>
      <c r="J2802">
        <v>11</v>
      </c>
      <c r="N2802">
        <f>Таблица1[[#This Row],[Часов на заказчика  в работе]]+Таблица1[[#This Row],[Часов на заказчика  дежурство]]</f>
        <v>0</v>
      </c>
      <c r="O28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2" s="9"/>
      <c r="R2802" s="9"/>
      <c r="S2802" s="5">
        <v>1</v>
      </c>
      <c r="T28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табеле]])*S2802,0)</f>
        <v>0</v>
      </c>
      <c r="U2802" s="5">
        <f>IF(Таблица1[[#This Row],[ТТН]]&gt;0,Таблица1[[#This Row],[Ставка за ТТН]]*Таблица1[[#This Row],[ТТН]],0)</f>
        <v>0</v>
      </c>
    </row>
    <row r="2803" spans="1:21" x14ac:dyDescent="0.25">
      <c r="A2803" t="s">
        <v>84</v>
      </c>
      <c r="B2803" s="24">
        <v>29</v>
      </c>
      <c r="C2803" t="s">
        <v>181</v>
      </c>
      <c r="D2803" t="s">
        <v>79</v>
      </c>
      <c r="E2803" t="s">
        <v>216</v>
      </c>
      <c r="F2803" t="s">
        <v>79</v>
      </c>
      <c r="H2803" t="s">
        <v>10</v>
      </c>
      <c r="I2803" t="s">
        <v>217</v>
      </c>
      <c r="J2803">
        <v>11</v>
      </c>
      <c r="N2803">
        <f>Таблица1[[#This Row],[Часов на заказчика  в работе]]+Таблица1[[#This Row],[Часов на заказчика  дежурство]]</f>
        <v>0</v>
      </c>
      <c r="O28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3" s="9"/>
      <c r="R2803" s="9"/>
      <c r="S2803" s="5">
        <v>1</v>
      </c>
      <c r="T28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табеле]])*S2803,0)</f>
        <v>0</v>
      </c>
      <c r="U2803" s="5">
        <f>IF(Таблица1[[#This Row],[ТТН]]&gt;0,Таблица1[[#This Row],[Ставка за ТТН]]*Таблица1[[#This Row],[ТТН]],0)</f>
        <v>0</v>
      </c>
    </row>
    <row r="2804" spans="1:21" x14ac:dyDescent="0.25">
      <c r="A2804" t="s">
        <v>84</v>
      </c>
      <c r="B2804" s="24">
        <v>30</v>
      </c>
      <c r="C2804" t="s">
        <v>182</v>
      </c>
      <c r="D2804" t="s">
        <v>79</v>
      </c>
      <c r="E2804" t="s">
        <v>216</v>
      </c>
      <c r="F2804" t="s">
        <v>79</v>
      </c>
      <c r="H2804" t="s">
        <v>10</v>
      </c>
      <c r="I2804" t="s">
        <v>217</v>
      </c>
      <c r="J2804">
        <v>11</v>
      </c>
      <c r="N2804">
        <f>Таблица1[[#This Row],[Часов на заказчика  в работе]]+Таблица1[[#This Row],[Часов на заказчика  дежурство]]</f>
        <v>0</v>
      </c>
      <c r="O28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4" s="9"/>
      <c r="R2804" s="9"/>
      <c r="S2804" s="5">
        <v>1</v>
      </c>
      <c r="T28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табеле]])*S2804,0)</f>
        <v>0</v>
      </c>
      <c r="U2804" s="5">
        <f>IF(Таблица1[[#This Row],[ТТН]]&gt;0,Таблица1[[#This Row],[Ставка за ТТН]]*Таблица1[[#This Row],[ТТН]],0)</f>
        <v>0</v>
      </c>
    </row>
    <row r="2805" spans="1:21" x14ac:dyDescent="0.25">
      <c r="A2805" t="s">
        <v>84</v>
      </c>
      <c r="B2805" s="24">
        <v>1</v>
      </c>
      <c r="C2805" t="s">
        <v>182</v>
      </c>
      <c r="D2805" t="s">
        <v>28</v>
      </c>
      <c r="E2805" t="s">
        <v>216</v>
      </c>
      <c r="F2805" t="s">
        <v>28</v>
      </c>
      <c r="H2805" t="s">
        <v>29</v>
      </c>
      <c r="I2805" t="s">
        <v>217</v>
      </c>
      <c r="J2805">
        <v>8</v>
      </c>
      <c r="N2805">
        <f>Таблица1[[#This Row],[Часов на заказчика  в работе]]+Таблица1[[#This Row],[Часов на заказчика  дежурство]]</f>
        <v>0</v>
      </c>
      <c r="O28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5" s="9">
        <v>88000</v>
      </c>
      <c r="R2805" s="9"/>
      <c r="S2805" s="5">
        <v>1</v>
      </c>
      <c r="T28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табеле]])*S2805,0)</f>
        <v>0</v>
      </c>
      <c r="U2805" s="5">
        <f>IF(Таблица1[[#This Row],[ТТН]]&gt;0,Таблица1[[#This Row],[Ставка за ТТН]]*Таблица1[[#This Row],[ТТН]],0)</f>
        <v>0</v>
      </c>
    </row>
    <row r="2806" spans="1:21" x14ac:dyDescent="0.25">
      <c r="A2806" t="s">
        <v>84</v>
      </c>
      <c r="B2806" s="24">
        <v>2</v>
      </c>
      <c r="C2806" t="s">
        <v>182</v>
      </c>
      <c r="D2806" t="s">
        <v>28</v>
      </c>
      <c r="E2806" t="s">
        <v>216</v>
      </c>
      <c r="F2806" t="s">
        <v>28</v>
      </c>
      <c r="H2806" t="s">
        <v>29</v>
      </c>
      <c r="I2806" t="s">
        <v>217</v>
      </c>
      <c r="J2806">
        <v>8</v>
      </c>
      <c r="N2806">
        <f>Таблица1[[#This Row],[Часов на заказчика  в работе]]+Таблица1[[#This Row],[Часов на заказчика  дежурство]]</f>
        <v>0</v>
      </c>
      <c r="O28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6" s="9">
        <v>88000</v>
      </c>
      <c r="R2806" s="9"/>
      <c r="S2806" s="5">
        <v>1</v>
      </c>
      <c r="T28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табеле]])*S2806,0)</f>
        <v>0</v>
      </c>
      <c r="U2806" s="5">
        <f>IF(Таблица1[[#This Row],[ТТН]]&gt;0,Таблица1[[#This Row],[Ставка за ТТН]]*Таблица1[[#This Row],[ТТН]],0)</f>
        <v>0</v>
      </c>
    </row>
    <row r="2807" spans="1:21" x14ac:dyDescent="0.25">
      <c r="A2807" t="s">
        <v>84</v>
      </c>
      <c r="B2807" s="24">
        <v>3</v>
      </c>
      <c r="C2807" t="s">
        <v>182</v>
      </c>
      <c r="D2807" t="s">
        <v>28</v>
      </c>
      <c r="E2807" t="s">
        <v>216</v>
      </c>
      <c r="F2807" t="s">
        <v>28</v>
      </c>
      <c r="H2807" t="s">
        <v>29</v>
      </c>
      <c r="I2807" t="s">
        <v>217</v>
      </c>
      <c r="J2807">
        <v>8</v>
      </c>
      <c r="N2807">
        <f>Таблица1[[#This Row],[Часов на заказчика  в работе]]+Таблица1[[#This Row],[Часов на заказчика  дежурство]]</f>
        <v>0</v>
      </c>
      <c r="O28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7" s="9">
        <v>88000</v>
      </c>
      <c r="R2807" s="9"/>
      <c r="S2807" s="5">
        <v>1</v>
      </c>
      <c r="T28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табеле]])*S2807,0)</f>
        <v>0</v>
      </c>
      <c r="U2807" s="5">
        <f>IF(Таблица1[[#This Row],[ТТН]]&gt;0,Таблица1[[#This Row],[Ставка за ТТН]]*Таблица1[[#This Row],[ТТН]],0)</f>
        <v>0</v>
      </c>
    </row>
    <row r="2808" spans="1:21" x14ac:dyDescent="0.25">
      <c r="A2808" t="s">
        <v>84</v>
      </c>
      <c r="B2808" s="24">
        <v>4</v>
      </c>
      <c r="C2808" t="s">
        <v>182</v>
      </c>
      <c r="D2808" t="s">
        <v>28</v>
      </c>
      <c r="E2808" t="s">
        <v>216</v>
      </c>
      <c r="F2808" t="s">
        <v>28</v>
      </c>
      <c r="H2808" t="s">
        <v>29</v>
      </c>
      <c r="I2808" t="s">
        <v>217</v>
      </c>
      <c r="J2808">
        <v>8</v>
      </c>
      <c r="N2808">
        <f>Таблица1[[#This Row],[Часов на заказчика  в работе]]+Таблица1[[#This Row],[Часов на заказчика  дежурство]]</f>
        <v>0</v>
      </c>
      <c r="O28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8" s="9">
        <v>88000</v>
      </c>
      <c r="R2808" s="9"/>
      <c r="S2808" s="5">
        <v>1</v>
      </c>
      <c r="T28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табеле]])*S2808,0)</f>
        <v>0</v>
      </c>
      <c r="U2808" s="5">
        <f>IF(Таблица1[[#This Row],[ТТН]]&gt;0,Таблица1[[#This Row],[Ставка за ТТН]]*Таблица1[[#This Row],[ТТН]],0)</f>
        <v>0</v>
      </c>
    </row>
    <row r="2809" spans="1:21" x14ac:dyDescent="0.25">
      <c r="A2809" t="s">
        <v>84</v>
      </c>
      <c r="B2809" s="24">
        <v>5</v>
      </c>
      <c r="C2809" t="s">
        <v>182</v>
      </c>
      <c r="D2809" t="s">
        <v>28</v>
      </c>
      <c r="E2809" t="s">
        <v>216</v>
      </c>
      <c r="F2809" t="s">
        <v>28</v>
      </c>
      <c r="H2809" t="s">
        <v>29</v>
      </c>
      <c r="I2809" t="s">
        <v>217</v>
      </c>
      <c r="J2809">
        <v>8</v>
      </c>
      <c r="N2809">
        <f>Таблица1[[#This Row],[Часов на заказчика  в работе]]+Таблица1[[#This Row],[Часов на заказчика  дежурство]]</f>
        <v>0</v>
      </c>
      <c r="O28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09" s="9">
        <v>88000</v>
      </c>
      <c r="R2809" s="9"/>
      <c r="S2809" s="5">
        <v>1</v>
      </c>
      <c r="T28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табеле]])*S2809,0)</f>
        <v>0</v>
      </c>
      <c r="U2809" s="5">
        <f>IF(Таблица1[[#This Row],[ТТН]]&gt;0,Таблица1[[#This Row],[Ставка за ТТН]]*Таблица1[[#This Row],[ТТН]],0)</f>
        <v>0</v>
      </c>
    </row>
    <row r="2810" spans="1:21" x14ac:dyDescent="0.25">
      <c r="A2810" t="s">
        <v>84</v>
      </c>
      <c r="B2810" s="24">
        <v>6</v>
      </c>
      <c r="C2810" t="s">
        <v>182</v>
      </c>
      <c r="D2810" t="s">
        <v>28</v>
      </c>
      <c r="E2810" t="s">
        <v>216</v>
      </c>
      <c r="F2810" t="s">
        <v>28</v>
      </c>
      <c r="H2810" t="s">
        <v>30</v>
      </c>
      <c r="I2810" t="s">
        <v>217</v>
      </c>
      <c r="J2810">
        <v>1</v>
      </c>
      <c r="N2810">
        <f>Таблица1[[#This Row],[Часов на заказчика  в работе]]+Таблица1[[#This Row],[Часов на заказчика  дежурство]]</f>
        <v>0</v>
      </c>
      <c r="O28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0" s="9">
        <v>88000</v>
      </c>
      <c r="R2810" s="9"/>
      <c r="S2810" s="5">
        <v>1</v>
      </c>
      <c r="T28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табеле]])*S2810,0)</f>
        <v>0</v>
      </c>
      <c r="U2810" s="5">
        <f>IF(Таблица1[[#This Row],[ТТН]]&gt;0,Таблица1[[#This Row],[Ставка за ТТН]]*Таблица1[[#This Row],[ТТН]],0)</f>
        <v>0</v>
      </c>
    </row>
    <row r="2811" spans="1:21" x14ac:dyDescent="0.25">
      <c r="A2811" t="s">
        <v>84</v>
      </c>
      <c r="B2811" s="24">
        <v>7</v>
      </c>
      <c r="C2811" t="s">
        <v>182</v>
      </c>
      <c r="D2811" t="s">
        <v>28</v>
      </c>
      <c r="E2811" t="s">
        <v>216</v>
      </c>
      <c r="F2811" t="s">
        <v>28</v>
      </c>
      <c r="H2811" t="s">
        <v>30</v>
      </c>
      <c r="I2811" t="s">
        <v>217</v>
      </c>
      <c r="J2811">
        <v>1</v>
      </c>
      <c r="N2811">
        <f>Таблица1[[#This Row],[Часов на заказчика  в работе]]+Таблица1[[#This Row],[Часов на заказчика  дежурство]]</f>
        <v>0</v>
      </c>
      <c r="O28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1" s="9">
        <v>88000</v>
      </c>
      <c r="R2811" s="9"/>
      <c r="S2811" s="5">
        <v>1</v>
      </c>
      <c r="T28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табеле]])*S2811,0)</f>
        <v>0</v>
      </c>
      <c r="U2811" s="5">
        <f>IF(Таблица1[[#This Row],[ТТН]]&gt;0,Таблица1[[#This Row],[Ставка за ТТН]]*Таблица1[[#This Row],[ТТН]],0)</f>
        <v>0</v>
      </c>
    </row>
    <row r="2812" spans="1:21" x14ac:dyDescent="0.25">
      <c r="A2812" t="s">
        <v>84</v>
      </c>
      <c r="B2812" s="24">
        <v>8</v>
      </c>
      <c r="C2812" t="s">
        <v>182</v>
      </c>
      <c r="D2812" t="s">
        <v>28</v>
      </c>
      <c r="E2812" t="s">
        <v>216</v>
      </c>
      <c r="F2812" t="s">
        <v>28</v>
      </c>
      <c r="H2812" t="s">
        <v>29</v>
      </c>
      <c r="I2812" t="s">
        <v>217</v>
      </c>
      <c r="J2812">
        <v>8</v>
      </c>
      <c r="N2812">
        <f>Таблица1[[#This Row],[Часов на заказчика  в работе]]+Таблица1[[#This Row],[Часов на заказчика  дежурство]]</f>
        <v>0</v>
      </c>
      <c r="O28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2" s="9">
        <v>88000</v>
      </c>
      <c r="R2812" s="9"/>
      <c r="S2812" s="5">
        <v>1</v>
      </c>
      <c r="T28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табеле]])*S2812,0)</f>
        <v>0</v>
      </c>
      <c r="U2812" s="5">
        <f>IF(Таблица1[[#This Row],[ТТН]]&gt;0,Таблица1[[#This Row],[Ставка за ТТН]]*Таблица1[[#This Row],[ТТН]],0)</f>
        <v>0</v>
      </c>
    </row>
    <row r="2813" spans="1:21" x14ac:dyDescent="0.25">
      <c r="A2813" t="s">
        <v>84</v>
      </c>
      <c r="B2813" s="24">
        <v>9</v>
      </c>
      <c r="C2813" t="s">
        <v>182</v>
      </c>
      <c r="D2813" t="s">
        <v>28</v>
      </c>
      <c r="E2813" t="s">
        <v>216</v>
      </c>
      <c r="F2813" t="s">
        <v>28</v>
      </c>
      <c r="H2813" t="s">
        <v>24</v>
      </c>
      <c r="I2813" t="s">
        <v>217</v>
      </c>
      <c r="J2813">
        <v>8</v>
      </c>
      <c r="N2813">
        <f>Таблица1[[#This Row],[Часов на заказчика  в работе]]+Таблица1[[#This Row],[Часов на заказчика  дежурство]]</f>
        <v>0</v>
      </c>
      <c r="O28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3" s="9">
        <v>110000</v>
      </c>
      <c r="R2813" s="9"/>
      <c r="S2813" s="5">
        <v>1</v>
      </c>
      <c r="T28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табеле]])*S2813,0)</f>
        <v>0</v>
      </c>
      <c r="U2813" s="5">
        <f>IF(Таблица1[[#This Row],[ТТН]]&gt;0,Таблица1[[#This Row],[Ставка за ТТН]]*Таблица1[[#This Row],[ТТН]],0)</f>
        <v>0</v>
      </c>
    </row>
    <row r="2814" spans="1:21" x14ac:dyDescent="0.25">
      <c r="A2814" t="s">
        <v>84</v>
      </c>
      <c r="B2814" s="24">
        <v>10</v>
      </c>
      <c r="C2814" t="s">
        <v>182</v>
      </c>
      <c r="D2814" t="s">
        <v>28</v>
      </c>
      <c r="E2814" t="s">
        <v>216</v>
      </c>
      <c r="F2814" t="s">
        <v>28</v>
      </c>
      <c r="H2814" t="s">
        <v>24</v>
      </c>
      <c r="I2814" t="s">
        <v>217</v>
      </c>
      <c r="J2814">
        <v>8</v>
      </c>
      <c r="N2814">
        <f>Таблица1[[#This Row],[Часов на заказчика  в работе]]+Таблица1[[#This Row],[Часов на заказчика  дежурство]]</f>
        <v>0</v>
      </c>
      <c r="O28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4" s="9">
        <v>110000</v>
      </c>
      <c r="R2814" s="9"/>
      <c r="S2814" s="5">
        <v>1</v>
      </c>
      <c r="T28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табеле]])*S2814,0)</f>
        <v>0</v>
      </c>
      <c r="U2814" s="5">
        <f>IF(Таблица1[[#This Row],[ТТН]]&gt;0,Таблица1[[#This Row],[Ставка за ТТН]]*Таблица1[[#This Row],[ТТН]],0)</f>
        <v>0</v>
      </c>
    </row>
    <row r="2815" spans="1:21" x14ac:dyDescent="0.25">
      <c r="A2815" t="s">
        <v>84</v>
      </c>
      <c r="B2815" s="24">
        <v>11</v>
      </c>
      <c r="C2815" t="s">
        <v>182</v>
      </c>
      <c r="D2815" t="s">
        <v>28</v>
      </c>
      <c r="E2815" t="s">
        <v>215</v>
      </c>
      <c r="F2815" t="s">
        <v>28</v>
      </c>
      <c r="H2815" t="s">
        <v>10</v>
      </c>
      <c r="I2815" t="s">
        <v>219</v>
      </c>
      <c r="J2815">
        <v>11</v>
      </c>
      <c r="N2815">
        <f>Таблица1[[#This Row],[Часов на заказчика  в работе]]+Таблица1[[#This Row],[Часов на заказчика  дежурство]]</f>
        <v>0</v>
      </c>
      <c r="O28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5" s="9">
        <v>110000</v>
      </c>
      <c r="R2815" s="9"/>
      <c r="S2815" s="5">
        <v>1</v>
      </c>
      <c r="T28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табеле]])*S2815,0)</f>
        <v>3666.6666666666665</v>
      </c>
      <c r="U2815" s="5">
        <f>IF(Таблица1[[#This Row],[ТТН]]&gt;0,Таблица1[[#This Row],[Ставка за ТТН]]*Таблица1[[#This Row],[ТТН]],0)</f>
        <v>0</v>
      </c>
    </row>
    <row r="2816" spans="1:21" x14ac:dyDescent="0.25">
      <c r="A2816" t="s">
        <v>84</v>
      </c>
      <c r="B2816" s="24">
        <v>12</v>
      </c>
      <c r="C2816" t="s">
        <v>182</v>
      </c>
      <c r="D2816" t="s">
        <v>28</v>
      </c>
      <c r="E2816" t="s">
        <v>215</v>
      </c>
      <c r="F2816" t="s">
        <v>28</v>
      </c>
      <c r="H2816" t="s">
        <v>10</v>
      </c>
      <c r="I2816" t="s">
        <v>219</v>
      </c>
      <c r="J2816">
        <v>11</v>
      </c>
      <c r="N2816">
        <f>Таблица1[[#This Row],[Часов на заказчика  в работе]]+Таблица1[[#This Row],[Часов на заказчика  дежурство]]</f>
        <v>0</v>
      </c>
      <c r="O28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6" s="9">
        <v>110000</v>
      </c>
      <c r="R2816" s="9"/>
      <c r="S2816" s="5">
        <v>1</v>
      </c>
      <c r="T28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табеле]])*S2816,0)</f>
        <v>3666.6666666666665</v>
      </c>
      <c r="U2816" s="5">
        <f>IF(Таблица1[[#This Row],[ТТН]]&gt;0,Таблица1[[#This Row],[Ставка за ТТН]]*Таблица1[[#This Row],[ТТН]],0)</f>
        <v>0</v>
      </c>
    </row>
    <row r="2817" spans="1:21" x14ac:dyDescent="0.25">
      <c r="A2817" t="s">
        <v>84</v>
      </c>
      <c r="B2817" s="24">
        <v>13</v>
      </c>
      <c r="C2817" t="s">
        <v>182</v>
      </c>
      <c r="D2817" t="s">
        <v>28</v>
      </c>
      <c r="E2817" t="s">
        <v>215</v>
      </c>
      <c r="F2817" t="s">
        <v>28</v>
      </c>
      <c r="H2817" t="s">
        <v>10</v>
      </c>
      <c r="I2817" t="s">
        <v>219</v>
      </c>
      <c r="J2817">
        <v>11</v>
      </c>
      <c r="N2817">
        <f>Таблица1[[#This Row],[Часов на заказчика  в работе]]+Таблица1[[#This Row],[Часов на заказчика  дежурство]]</f>
        <v>0</v>
      </c>
      <c r="O28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7" s="9">
        <v>110000</v>
      </c>
      <c r="R2817" s="9"/>
      <c r="S2817" s="5">
        <v>1</v>
      </c>
      <c r="T28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табеле]])*S2817,0)</f>
        <v>3666.6666666666665</v>
      </c>
      <c r="U2817" s="5">
        <f>IF(Таблица1[[#This Row],[ТТН]]&gt;0,Таблица1[[#This Row],[Ставка за ТТН]]*Таблица1[[#This Row],[ТТН]],0)</f>
        <v>0</v>
      </c>
    </row>
    <row r="2818" spans="1:21" x14ac:dyDescent="0.25">
      <c r="A2818" t="s">
        <v>84</v>
      </c>
      <c r="B2818" s="24">
        <v>14</v>
      </c>
      <c r="C2818" t="s">
        <v>182</v>
      </c>
      <c r="D2818" t="s">
        <v>28</v>
      </c>
      <c r="E2818" t="s">
        <v>215</v>
      </c>
      <c r="F2818" t="s">
        <v>28</v>
      </c>
      <c r="H2818" t="s">
        <v>10</v>
      </c>
      <c r="I2818" t="s">
        <v>219</v>
      </c>
      <c r="J2818">
        <v>11</v>
      </c>
      <c r="N2818">
        <f>Таблица1[[#This Row],[Часов на заказчика  в работе]]+Таблица1[[#This Row],[Часов на заказчика  дежурство]]</f>
        <v>0</v>
      </c>
      <c r="O28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8" s="9">
        <v>110000</v>
      </c>
      <c r="R2818" s="9"/>
      <c r="S2818" s="5">
        <v>1</v>
      </c>
      <c r="T28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табеле]])*S2818,0)</f>
        <v>3666.6666666666665</v>
      </c>
      <c r="U2818" s="5">
        <f>IF(Таблица1[[#This Row],[ТТН]]&gt;0,Таблица1[[#This Row],[Ставка за ТТН]]*Таблица1[[#This Row],[ТТН]],0)</f>
        <v>0</v>
      </c>
    </row>
    <row r="2819" spans="1:21" x14ac:dyDescent="0.25">
      <c r="A2819" t="s">
        <v>84</v>
      </c>
      <c r="B2819" s="24">
        <v>15</v>
      </c>
      <c r="C2819" t="s">
        <v>182</v>
      </c>
      <c r="D2819" t="s">
        <v>28</v>
      </c>
      <c r="E2819" t="s">
        <v>215</v>
      </c>
      <c r="F2819" t="s">
        <v>28</v>
      </c>
      <c r="H2819" t="s">
        <v>10</v>
      </c>
      <c r="I2819" t="s">
        <v>219</v>
      </c>
      <c r="J2819">
        <v>11</v>
      </c>
      <c r="N2819">
        <f>Таблица1[[#This Row],[Часов на заказчика  в работе]]+Таблица1[[#This Row],[Часов на заказчика  дежурство]]</f>
        <v>0</v>
      </c>
      <c r="O28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19" s="9">
        <v>110000</v>
      </c>
      <c r="R2819" s="9"/>
      <c r="S2819" s="5">
        <v>1</v>
      </c>
      <c r="T28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табеле]])*S2819,0)</f>
        <v>3666.6666666666665</v>
      </c>
      <c r="U2819" s="5">
        <f>IF(Таблица1[[#This Row],[ТТН]]&gt;0,Таблица1[[#This Row],[Ставка за ТТН]]*Таблица1[[#This Row],[ТТН]],0)</f>
        <v>0</v>
      </c>
    </row>
    <row r="2820" spans="1:21" x14ac:dyDescent="0.25">
      <c r="A2820" t="s">
        <v>84</v>
      </c>
      <c r="B2820" s="24">
        <v>16</v>
      </c>
      <c r="C2820" t="s">
        <v>182</v>
      </c>
      <c r="D2820" t="s">
        <v>28</v>
      </c>
      <c r="E2820" t="s">
        <v>215</v>
      </c>
      <c r="F2820" t="s">
        <v>28</v>
      </c>
      <c r="H2820" t="s">
        <v>10</v>
      </c>
      <c r="I2820" t="s">
        <v>219</v>
      </c>
      <c r="J2820">
        <v>11</v>
      </c>
      <c r="N2820">
        <f>Таблица1[[#This Row],[Часов на заказчика  в работе]]+Таблица1[[#This Row],[Часов на заказчика  дежурство]]</f>
        <v>0</v>
      </c>
      <c r="O28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0" s="9">
        <v>110000</v>
      </c>
      <c r="R2820" s="9"/>
      <c r="S2820" s="5">
        <v>1</v>
      </c>
      <c r="T28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табеле]])*S2820,0)</f>
        <v>3666.6666666666665</v>
      </c>
      <c r="U2820" s="5">
        <f>IF(Таблица1[[#This Row],[ТТН]]&gt;0,Таблица1[[#This Row],[Ставка за ТТН]]*Таблица1[[#This Row],[ТТН]],0)</f>
        <v>0</v>
      </c>
    </row>
    <row r="2821" spans="1:21" x14ac:dyDescent="0.25">
      <c r="A2821" t="s">
        <v>84</v>
      </c>
      <c r="B2821" s="24">
        <v>17</v>
      </c>
      <c r="C2821" t="s">
        <v>182</v>
      </c>
      <c r="D2821" t="s">
        <v>28</v>
      </c>
      <c r="E2821" t="s">
        <v>215</v>
      </c>
      <c r="F2821" t="s">
        <v>28</v>
      </c>
      <c r="H2821" t="s">
        <v>10</v>
      </c>
      <c r="I2821" t="s">
        <v>219</v>
      </c>
      <c r="J2821">
        <v>11</v>
      </c>
      <c r="N2821">
        <f>Таблица1[[#This Row],[Часов на заказчика  в работе]]+Таблица1[[#This Row],[Часов на заказчика  дежурство]]</f>
        <v>0</v>
      </c>
      <c r="O28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1" s="9">
        <v>110000</v>
      </c>
      <c r="R2821" s="9"/>
      <c r="S2821" s="5">
        <v>1</v>
      </c>
      <c r="T28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табеле]])*S2821,0)</f>
        <v>3666.6666666666665</v>
      </c>
      <c r="U2821" s="5">
        <f>IF(Таблица1[[#This Row],[ТТН]]&gt;0,Таблица1[[#This Row],[Ставка за ТТН]]*Таблица1[[#This Row],[ТТН]],0)</f>
        <v>0</v>
      </c>
    </row>
    <row r="2822" spans="1:21" x14ac:dyDescent="0.25">
      <c r="A2822" t="s">
        <v>84</v>
      </c>
      <c r="B2822" s="24">
        <v>18</v>
      </c>
      <c r="C2822" t="s">
        <v>182</v>
      </c>
      <c r="D2822" t="s">
        <v>28</v>
      </c>
      <c r="E2822" t="s">
        <v>215</v>
      </c>
      <c r="F2822" t="s">
        <v>28</v>
      </c>
      <c r="H2822" t="s">
        <v>10</v>
      </c>
      <c r="I2822" t="s">
        <v>219</v>
      </c>
      <c r="J2822">
        <v>11</v>
      </c>
      <c r="N2822">
        <f>Таблица1[[#This Row],[Часов на заказчика  в работе]]+Таблица1[[#This Row],[Часов на заказчика  дежурство]]</f>
        <v>0</v>
      </c>
      <c r="O28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2" s="9">
        <v>110000</v>
      </c>
      <c r="R2822" s="9"/>
      <c r="S2822" s="5">
        <v>1</v>
      </c>
      <c r="T28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табеле]])*S2822,0)</f>
        <v>3666.6666666666665</v>
      </c>
      <c r="U2822" s="5">
        <f>IF(Таблица1[[#This Row],[ТТН]]&gt;0,Таблица1[[#This Row],[Ставка за ТТН]]*Таблица1[[#This Row],[ТТН]],0)</f>
        <v>0</v>
      </c>
    </row>
    <row r="2823" spans="1:21" x14ac:dyDescent="0.25">
      <c r="A2823" t="s">
        <v>84</v>
      </c>
      <c r="B2823" s="24">
        <v>19</v>
      </c>
      <c r="C2823" t="s">
        <v>182</v>
      </c>
      <c r="D2823" t="s">
        <v>28</v>
      </c>
      <c r="E2823" t="s">
        <v>215</v>
      </c>
      <c r="F2823" t="s">
        <v>28</v>
      </c>
      <c r="H2823" t="s">
        <v>10</v>
      </c>
      <c r="I2823" t="s">
        <v>219</v>
      </c>
      <c r="J2823">
        <v>11</v>
      </c>
      <c r="N2823">
        <f>Таблица1[[#This Row],[Часов на заказчика  в работе]]+Таблица1[[#This Row],[Часов на заказчика  дежурство]]</f>
        <v>0</v>
      </c>
      <c r="O28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3" s="9">
        <v>110000</v>
      </c>
      <c r="R2823" s="9"/>
      <c r="S2823" s="5">
        <v>1</v>
      </c>
      <c r="T28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табеле]])*S2823,0)</f>
        <v>3666.6666666666665</v>
      </c>
      <c r="U2823" s="5">
        <f>IF(Таблица1[[#This Row],[ТТН]]&gt;0,Таблица1[[#This Row],[Ставка за ТТН]]*Таблица1[[#This Row],[ТТН]],0)</f>
        <v>0</v>
      </c>
    </row>
    <row r="2824" spans="1:21" x14ac:dyDescent="0.25">
      <c r="A2824" t="s">
        <v>84</v>
      </c>
      <c r="B2824" s="24">
        <v>20</v>
      </c>
      <c r="C2824" t="s">
        <v>182</v>
      </c>
      <c r="D2824" t="s">
        <v>28</v>
      </c>
      <c r="E2824" t="s">
        <v>215</v>
      </c>
      <c r="F2824" t="s">
        <v>28</v>
      </c>
      <c r="H2824" t="s">
        <v>10</v>
      </c>
      <c r="I2824" t="s">
        <v>219</v>
      </c>
      <c r="J2824">
        <v>11</v>
      </c>
      <c r="N2824">
        <f>Таблица1[[#This Row],[Часов на заказчика  в работе]]+Таблица1[[#This Row],[Часов на заказчика  дежурство]]</f>
        <v>0</v>
      </c>
      <c r="O28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4" s="9">
        <v>110000</v>
      </c>
      <c r="R2824" s="9"/>
      <c r="S2824" s="5">
        <v>1</v>
      </c>
      <c r="T28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табеле]])*S2824,0)</f>
        <v>3666.6666666666665</v>
      </c>
      <c r="U2824" s="5">
        <f>IF(Таблица1[[#This Row],[ТТН]]&gt;0,Таблица1[[#This Row],[Ставка за ТТН]]*Таблица1[[#This Row],[ТТН]],0)</f>
        <v>0</v>
      </c>
    </row>
    <row r="2825" spans="1:21" x14ac:dyDescent="0.25">
      <c r="A2825" t="s">
        <v>84</v>
      </c>
      <c r="B2825" s="24">
        <v>21</v>
      </c>
      <c r="C2825" t="s">
        <v>182</v>
      </c>
      <c r="D2825" t="s">
        <v>28</v>
      </c>
      <c r="E2825" t="s">
        <v>215</v>
      </c>
      <c r="F2825" t="s">
        <v>28</v>
      </c>
      <c r="H2825" t="s">
        <v>10</v>
      </c>
      <c r="I2825" t="s">
        <v>219</v>
      </c>
      <c r="J2825">
        <v>11</v>
      </c>
      <c r="N2825">
        <f>Таблица1[[#This Row],[Часов на заказчика  в работе]]+Таблица1[[#This Row],[Часов на заказчика  дежурство]]</f>
        <v>0</v>
      </c>
      <c r="O28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5" s="9">
        <v>110000</v>
      </c>
      <c r="R2825" s="9"/>
      <c r="S2825" s="5">
        <v>1</v>
      </c>
      <c r="T28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табеле]])*S2825,0)</f>
        <v>3666.6666666666665</v>
      </c>
      <c r="U2825" s="5">
        <f>IF(Таблица1[[#This Row],[ТТН]]&gt;0,Таблица1[[#This Row],[Ставка за ТТН]]*Таблица1[[#This Row],[ТТН]],0)</f>
        <v>0</v>
      </c>
    </row>
    <row r="2826" spans="1:21" x14ac:dyDescent="0.25">
      <c r="A2826" t="s">
        <v>84</v>
      </c>
      <c r="B2826" s="24">
        <v>22</v>
      </c>
      <c r="C2826" t="s">
        <v>182</v>
      </c>
      <c r="D2826" t="s">
        <v>28</v>
      </c>
      <c r="E2826" t="s">
        <v>215</v>
      </c>
      <c r="F2826" t="s">
        <v>28</v>
      </c>
      <c r="H2826" t="s">
        <v>10</v>
      </c>
      <c r="I2826" t="s">
        <v>219</v>
      </c>
      <c r="J2826">
        <v>11</v>
      </c>
      <c r="N2826">
        <f>Таблица1[[#This Row],[Часов на заказчика  в работе]]+Таблица1[[#This Row],[Часов на заказчика  дежурство]]</f>
        <v>0</v>
      </c>
      <c r="O28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6" s="9">
        <v>110000</v>
      </c>
      <c r="R2826" s="9"/>
      <c r="S2826" s="5">
        <v>1</v>
      </c>
      <c r="T28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табеле]])*S2826,0)</f>
        <v>3666.6666666666665</v>
      </c>
      <c r="U2826" s="5">
        <f>IF(Таблица1[[#This Row],[ТТН]]&gt;0,Таблица1[[#This Row],[Ставка за ТТН]]*Таблица1[[#This Row],[ТТН]],0)</f>
        <v>0</v>
      </c>
    </row>
    <row r="2827" spans="1:21" x14ac:dyDescent="0.25">
      <c r="A2827" t="s">
        <v>84</v>
      </c>
      <c r="B2827" s="24">
        <v>23</v>
      </c>
      <c r="C2827" t="s">
        <v>182</v>
      </c>
      <c r="D2827" t="s">
        <v>28</v>
      </c>
      <c r="E2827" t="s">
        <v>215</v>
      </c>
      <c r="F2827" t="s">
        <v>28</v>
      </c>
      <c r="H2827" t="s">
        <v>10</v>
      </c>
      <c r="I2827" t="s">
        <v>219</v>
      </c>
      <c r="J2827">
        <v>11</v>
      </c>
      <c r="N2827">
        <f>Таблица1[[#This Row],[Часов на заказчика  в работе]]+Таблица1[[#This Row],[Часов на заказчика  дежурство]]</f>
        <v>0</v>
      </c>
      <c r="O28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7" s="9">
        <v>110000</v>
      </c>
      <c r="R2827" s="9"/>
      <c r="S2827" s="5">
        <v>1</v>
      </c>
      <c r="T28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табеле]])*S2827,0)</f>
        <v>3666.6666666666665</v>
      </c>
      <c r="U2827" s="5">
        <f>IF(Таблица1[[#This Row],[ТТН]]&gt;0,Таблица1[[#This Row],[Ставка за ТТН]]*Таблица1[[#This Row],[ТТН]],0)</f>
        <v>0</v>
      </c>
    </row>
    <row r="2828" spans="1:21" x14ac:dyDescent="0.25">
      <c r="A2828" t="s">
        <v>84</v>
      </c>
      <c r="B2828" s="24">
        <v>24</v>
      </c>
      <c r="C2828" t="s">
        <v>182</v>
      </c>
      <c r="D2828" t="s">
        <v>28</v>
      </c>
      <c r="E2828" t="s">
        <v>215</v>
      </c>
      <c r="F2828" t="s">
        <v>28</v>
      </c>
      <c r="H2828" t="s">
        <v>10</v>
      </c>
      <c r="I2828" t="s">
        <v>219</v>
      </c>
      <c r="J2828">
        <v>11</v>
      </c>
      <c r="N2828">
        <f>Таблица1[[#This Row],[Часов на заказчика  в работе]]+Таблица1[[#This Row],[Часов на заказчика  дежурство]]</f>
        <v>0</v>
      </c>
      <c r="O28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8" s="9">
        <v>110000</v>
      </c>
      <c r="R2828" s="9"/>
      <c r="S2828" s="5">
        <v>1</v>
      </c>
      <c r="T28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табеле]])*S2828,0)</f>
        <v>3666.6666666666665</v>
      </c>
      <c r="U2828" s="5">
        <f>IF(Таблица1[[#This Row],[ТТН]]&gt;0,Таблица1[[#This Row],[Ставка за ТТН]]*Таблица1[[#This Row],[ТТН]],0)</f>
        <v>0</v>
      </c>
    </row>
    <row r="2829" spans="1:21" x14ac:dyDescent="0.25">
      <c r="A2829" t="s">
        <v>84</v>
      </c>
      <c r="B2829" s="24">
        <v>25</v>
      </c>
      <c r="C2829" t="s">
        <v>182</v>
      </c>
      <c r="D2829" t="s">
        <v>28</v>
      </c>
      <c r="E2829" t="s">
        <v>215</v>
      </c>
      <c r="F2829" t="s">
        <v>28</v>
      </c>
      <c r="H2829" t="s">
        <v>10</v>
      </c>
      <c r="I2829" t="s">
        <v>219</v>
      </c>
      <c r="J2829">
        <v>11</v>
      </c>
      <c r="N2829">
        <f>Таблица1[[#This Row],[Часов на заказчика  в работе]]+Таблица1[[#This Row],[Часов на заказчика  дежурство]]</f>
        <v>0</v>
      </c>
      <c r="O28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29" s="9">
        <v>110000</v>
      </c>
      <c r="R2829" s="9"/>
      <c r="S2829" s="5">
        <v>1</v>
      </c>
      <c r="T28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табеле]])*S2829,0)</f>
        <v>3666.6666666666665</v>
      </c>
      <c r="U2829" s="5">
        <f>IF(Таблица1[[#This Row],[ТТН]]&gt;0,Таблица1[[#This Row],[Ставка за ТТН]]*Таблица1[[#This Row],[ТТН]],0)</f>
        <v>0</v>
      </c>
    </row>
    <row r="2830" spans="1:21" x14ac:dyDescent="0.25">
      <c r="A2830" t="s">
        <v>84</v>
      </c>
      <c r="B2830" s="24">
        <v>26</v>
      </c>
      <c r="C2830" t="s">
        <v>182</v>
      </c>
      <c r="D2830" t="s">
        <v>28</v>
      </c>
      <c r="E2830" t="s">
        <v>215</v>
      </c>
      <c r="F2830" t="s">
        <v>28</v>
      </c>
      <c r="H2830" t="s">
        <v>10</v>
      </c>
      <c r="I2830" t="s">
        <v>219</v>
      </c>
      <c r="J2830">
        <v>11</v>
      </c>
      <c r="N2830">
        <f>Таблица1[[#This Row],[Часов на заказчика  в работе]]+Таблица1[[#This Row],[Часов на заказчика  дежурство]]</f>
        <v>0</v>
      </c>
      <c r="O28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0" s="9">
        <v>110000</v>
      </c>
      <c r="R2830" s="9"/>
      <c r="S2830" s="5">
        <v>1</v>
      </c>
      <c r="T28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табеле]])*S2830,0)</f>
        <v>3666.6666666666665</v>
      </c>
      <c r="U2830" s="5">
        <f>IF(Таблица1[[#This Row],[ТТН]]&gt;0,Таблица1[[#This Row],[Ставка за ТТН]]*Таблица1[[#This Row],[ТТН]],0)</f>
        <v>0</v>
      </c>
    </row>
    <row r="2831" spans="1:21" x14ac:dyDescent="0.25">
      <c r="A2831" t="s">
        <v>84</v>
      </c>
      <c r="B2831" s="24">
        <v>27</v>
      </c>
      <c r="C2831" t="s">
        <v>182</v>
      </c>
      <c r="D2831" t="s">
        <v>28</v>
      </c>
      <c r="E2831" t="s">
        <v>215</v>
      </c>
      <c r="F2831" t="s">
        <v>28</v>
      </c>
      <c r="H2831" t="s">
        <v>10</v>
      </c>
      <c r="I2831" t="s">
        <v>219</v>
      </c>
      <c r="J2831">
        <v>11</v>
      </c>
      <c r="N2831">
        <f>Таблица1[[#This Row],[Часов на заказчика  в работе]]+Таблица1[[#This Row],[Часов на заказчика  дежурство]]</f>
        <v>0</v>
      </c>
      <c r="O28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1" s="9">
        <v>110000</v>
      </c>
      <c r="R2831" s="9"/>
      <c r="S2831" s="5">
        <v>1</v>
      </c>
      <c r="T28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табеле]])*S2831,0)</f>
        <v>3666.6666666666665</v>
      </c>
      <c r="U2831" s="5">
        <f>IF(Таблица1[[#This Row],[ТТН]]&gt;0,Таблица1[[#This Row],[Ставка за ТТН]]*Таблица1[[#This Row],[ТТН]],0)</f>
        <v>0</v>
      </c>
    </row>
    <row r="2832" spans="1:21" x14ac:dyDescent="0.25">
      <c r="A2832" t="s">
        <v>84</v>
      </c>
      <c r="B2832" s="24">
        <v>28</v>
      </c>
      <c r="C2832" t="s">
        <v>182</v>
      </c>
      <c r="D2832" t="s">
        <v>28</v>
      </c>
      <c r="E2832" t="s">
        <v>215</v>
      </c>
      <c r="F2832" t="s">
        <v>28</v>
      </c>
      <c r="H2832" t="s">
        <v>10</v>
      </c>
      <c r="I2832" t="s">
        <v>219</v>
      </c>
      <c r="J2832">
        <v>11</v>
      </c>
      <c r="N2832">
        <f>Таблица1[[#This Row],[Часов на заказчика  в работе]]+Таблица1[[#This Row],[Часов на заказчика  дежурство]]</f>
        <v>0</v>
      </c>
      <c r="O28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2" s="9">
        <v>110000</v>
      </c>
      <c r="R2832" s="9"/>
      <c r="S2832" s="5">
        <v>1</v>
      </c>
      <c r="T28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табеле]])*S2832,0)</f>
        <v>3666.6666666666665</v>
      </c>
      <c r="U2832" s="5">
        <f>IF(Таблица1[[#This Row],[ТТН]]&gt;0,Таблица1[[#This Row],[Ставка за ТТН]]*Таблица1[[#This Row],[ТТН]],0)</f>
        <v>0</v>
      </c>
    </row>
    <row r="2833" spans="1:21" x14ac:dyDescent="0.25">
      <c r="A2833" t="s">
        <v>84</v>
      </c>
      <c r="B2833" s="24">
        <v>29</v>
      </c>
      <c r="C2833" t="s">
        <v>182</v>
      </c>
      <c r="D2833" t="s">
        <v>28</v>
      </c>
      <c r="E2833" t="s">
        <v>215</v>
      </c>
      <c r="F2833" t="s">
        <v>28</v>
      </c>
      <c r="H2833" t="s">
        <v>10</v>
      </c>
      <c r="I2833" t="s">
        <v>219</v>
      </c>
      <c r="J2833">
        <v>11</v>
      </c>
      <c r="N2833">
        <f>Таблица1[[#This Row],[Часов на заказчика  в работе]]+Таблица1[[#This Row],[Часов на заказчика  дежурство]]</f>
        <v>0</v>
      </c>
      <c r="O28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3" s="9">
        <v>110000</v>
      </c>
      <c r="R2833" s="9"/>
      <c r="S2833" s="5">
        <v>1</v>
      </c>
      <c r="T28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табеле]])*S2833,0)</f>
        <v>3666.6666666666665</v>
      </c>
      <c r="U2833" s="5">
        <f>IF(Таблица1[[#This Row],[ТТН]]&gt;0,Таблица1[[#This Row],[Ставка за ТТН]]*Таблица1[[#This Row],[ТТН]],0)</f>
        <v>0</v>
      </c>
    </row>
    <row r="2834" spans="1:21" x14ac:dyDescent="0.25">
      <c r="A2834" t="s">
        <v>84</v>
      </c>
      <c r="B2834" s="24">
        <v>30</v>
      </c>
      <c r="C2834" t="s">
        <v>183</v>
      </c>
      <c r="D2834" t="s">
        <v>28</v>
      </c>
      <c r="E2834" t="s">
        <v>215</v>
      </c>
      <c r="F2834" t="s">
        <v>28</v>
      </c>
      <c r="H2834" t="s">
        <v>10</v>
      </c>
      <c r="I2834" t="s">
        <v>219</v>
      </c>
      <c r="J2834">
        <v>11</v>
      </c>
      <c r="N2834">
        <f>Таблица1[[#This Row],[Часов на заказчика  в работе]]+Таблица1[[#This Row],[Часов на заказчика  дежурство]]</f>
        <v>0</v>
      </c>
      <c r="O28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4" s="9">
        <v>110000</v>
      </c>
      <c r="R2834" s="9"/>
      <c r="S2834" s="5">
        <v>1</v>
      </c>
      <c r="T28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табеле]])*S2834,0)</f>
        <v>3666.6666666666665</v>
      </c>
      <c r="U2834" s="5">
        <f>IF(Таблица1[[#This Row],[ТТН]]&gt;0,Таблица1[[#This Row],[Ставка за ТТН]]*Таблица1[[#This Row],[ТТН]],0)</f>
        <v>0</v>
      </c>
    </row>
    <row r="2835" spans="1:21" x14ac:dyDescent="0.25">
      <c r="A2835" t="s">
        <v>84</v>
      </c>
      <c r="B2835" s="24">
        <v>1</v>
      </c>
      <c r="C2835" t="s">
        <v>183</v>
      </c>
      <c r="D2835" t="s">
        <v>32</v>
      </c>
      <c r="E2835" t="s">
        <v>215</v>
      </c>
      <c r="F2835" t="s">
        <v>31</v>
      </c>
      <c r="H2835" t="s">
        <v>29</v>
      </c>
      <c r="I2835" t="s">
        <v>217</v>
      </c>
      <c r="J2835">
        <v>8</v>
      </c>
      <c r="N2835">
        <f>Таблица1[[#This Row],[Часов на заказчика  в работе]]+Таблица1[[#This Row],[Часов на заказчика  дежурство]]</f>
        <v>0</v>
      </c>
      <c r="O28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5" s="9"/>
      <c r="R2835" s="9"/>
      <c r="S2835" s="5"/>
      <c r="T28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табеле]])*S2835,0)</f>
        <v>0</v>
      </c>
      <c r="U2835" s="5">
        <f>IF(Таблица1[[#This Row],[ТТН]]&gt;0,Таблица1[[#This Row],[Ставка за ТТН]]*Таблица1[[#This Row],[ТТН]],0)</f>
        <v>0</v>
      </c>
    </row>
    <row r="2836" spans="1:21" x14ac:dyDescent="0.25">
      <c r="A2836" t="s">
        <v>84</v>
      </c>
      <c r="B2836" s="24">
        <v>2</v>
      </c>
      <c r="C2836" t="s">
        <v>183</v>
      </c>
      <c r="D2836" t="s">
        <v>32</v>
      </c>
      <c r="E2836" t="s">
        <v>215</v>
      </c>
      <c r="F2836" t="s">
        <v>31</v>
      </c>
      <c r="H2836" t="s">
        <v>29</v>
      </c>
      <c r="I2836" t="s">
        <v>217</v>
      </c>
      <c r="J2836">
        <v>8</v>
      </c>
      <c r="N2836">
        <f>Таблица1[[#This Row],[Часов на заказчика  в работе]]+Таблица1[[#This Row],[Часов на заказчика  дежурство]]</f>
        <v>0</v>
      </c>
      <c r="O28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6" s="9"/>
      <c r="R2836" s="9"/>
      <c r="S2836" s="5"/>
      <c r="T28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табеле]])*S2836,0)</f>
        <v>0</v>
      </c>
      <c r="U2836" s="5">
        <f>IF(Таблица1[[#This Row],[ТТН]]&gt;0,Таблица1[[#This Row],[Ставка за ТТН]]*Таблица1[[#This Row],[ТТН]],0)</f>
        <v>0</v>
      </c>
    </row>
    <row r="2837" spans="1:21" x14ac:dyDescent="0.25">
      <c r="A2837" t="s">
        <v>84</v>
      </c>
      <c r="B2837" s="24">
        <v>3</v>
      </c>
      <c r="C2837" t="s">
        <v>183</v>
      </c>
      <c r="D2837" t="s">
        <v>32</v>
      </c>
      <c r="E2837" t="s">
        <v>215</v>
      </c>
      <c r="F2837" t="s">
        <v>31</v>
      </c>
      <c r="H2837" t="s">
        <v>29</v>
      </c>
      <c r="I2837" t="s">
        <v>217</v>
      </c>
      <c r="J2837">
        <v>8</v>
      </c>
      <c r="N2837">
        <f>Таблица1[[#This Row],[Часов на заказчика  в работе]]+Таблица1[[#This Row],[Часов на заказчика  дежурство]]</f>
        <v>0</v>
      </c>
      <c r="O28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7" s="9"/>
      <c r="R2837" s="9"/>
      <c r="S2837" s="5"/>
      <c r="T28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табеле]])*S2837,0)</f>
        <v>0</v>
      </c>
      <c r="U2837" s="5">
        <f>IF(Таблица1[[#This Row],[ТТН]]&gt;0,Таблица1[[#This Row],[Ставка за ТТН]]*Таблица1[[#This Row],[ТТН]],0)</f>
        <v>0</v>
      </c>
    </row>
    <row r="2838" spans="1:21" x14ac:dyDescent="0.25">
      <c r="A2838" t="s">
        <v>84</v>
      </c>
      <c r="B2838" s="24">
        <v>4</v>
      </c>
      <c r="C2838" t="s">
        <v>183</v>
      </c>
      <c r="D2838" t="s">
        <v>32</v>
      </c>
      <c r="E2838" t="s">
        <v>215</v>
      </c>
      <c r="F2838" t="s">
        <v>31</v>
      </c>
      <c r="H2838" t="s">
        <v>29</v>
      </c>
      <c r="I2838" t="s">
        <v>217</v>
      </c>
      <c r="J2838">
        <v>8</v>
      </c>
      <c r="N2838">
        <f>Таблица1[[#This Row],[Часов на заказчика  в работе]]+Таблица1[[#This Row],[Часов на заказчика  дежурство]]</f>
        <v>0</v>
      </c>
      <c r="O28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8" s="9"/>
      <c r="R2838" s="9"/>
      <c r="S2838" s="5"/>
      <c r="T28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табеле]])*S2838,0)</f>
        <v>0</v>
      </c>
      <c r="U2838" s="5">
        <f>IF(Таблица1[[#This Row],[ТТН]]&gt;0,Таблица1[[#This Row],[Ставка за ТТН]]*Таблица1[[#This Row],[ТТН]],0)</f>
        <v>0</v>
      </c>
    </row>
    <row r="2839" spans="1:21" x14ac:dyDescent="0.25">
      <c r="A2839" t="s">
        <v>84</v>
      </c>
      <c r="B2839" s="24">
        <v>5</v>
      </c>
      <c r="C2839" t="s">
        <v>183</v>
      </c>
      <c r="D2839" t="s">
        <v>32</v>
      </c>
      <c r="E2839" t="s">
        <v>215</v>
      </c>
      <c r="F2839" t="s">
        <v>31</v>
      </c>
      <c r="H2839" t="s">
        <v>29</v>
      </c>
      <c r="I2839" t="s">
        <v>217</v>
      </c>
      <c r="J2839">
        <v>8</v>
      </c>
      <c r="N2839">
        <f>Таблица1[[#This Row],[Часов на заказчика  в работе]]+Таблица1[[#This Row],[Часов на заказчика  дежурство]]</f>
        <v>0</v>
      </c>
      <c r="O28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39" s="9"/>
      <c r="R2839" s="9"/>
      <c r="S2839" s="5"/>
      <c r="T28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табеле]])*S2839,0)</f>
        <v>0</v>
      </c>
      <c r="U2839" s="5">
        <f>IF(Таблица1[[#This Row],[ТТН]]&gt;0,Таблица1[[#This Row],[Ставка за ТТН]]*Таблица1[[#This Row],[ТТН]],0)</f>
        <v>0</v>
      </c>
    </row>
    <row r="2840" spans="1:21" x14ac:dyDescent="0.25">
      <c r="A2840" t="s">
        <v>84</v>
      </c>
      <c r="B2840" s="24">
        <v>6</v>
      </c>
      <c r="C2840" t="s">
        <v>183</v>
      </c>
      <c r="D2840" t="s">
        <v>32</v>
      </c>
      <c r="E2840" t="s">
        <v>215</v>
      </c>
      <c r="F2840" t="s">
        <v>31</v>
      </c>
      <c r="H2840" t="s">
        <v>30</v>
      </c>
      <c r="I2840" t="s">
        <v>217</v>
      </c>
      <c r="J2840">
        <v>1</v>
      </c>
      <c r="N2840">
        <f>Таблица1[[#This Row],[Часов на заказчика  в работе]]+Таблица1[[#This Row],[Часов на заказчика  дежурство]]</f>
        <v>0</v>
      </c>
      <c r="O28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0" s="9"/>
      <c r="R2840" s="9"/>
      <c r="S2840" s="5"/>
      <c r="T28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табеле]])*S2840,0)</f>
        <v>0</v>
      </c>
      <c r="U2840" s="5">
        <f>IF(Таблица1[[#This Row],[ТТН]]&gt;0,Таблица1[[#This Row],[Ставка за ТТН]]*Таблица1[[#This Row],[ТТН]],0)</f>
        <v>0</v>
      </c>
    </row>
    <row r="2841" spans="1:21" x14ac:dyDescent="0.25">
      <c r="A2841" t="s">
        <v>84</v>
      </c>
      <c r="B2841" s="24">
        <v>7</v>
      </c>
      <c r="C2841" t="s">
        <v>183</v>
      </c>
      <c r="D2841" t="s">
        <v>32</v>
      </c>
      <c r="E2841" t="s">
        <v>215</v>
      </c>
      <c r="F2841" t="s">
        <v>31</v>
      </c>
      <c r="H2841" t="s">
        <v>30</v>
      </c>
      <c r="I2841" t="s">
        <v>217</v>
      </c>
      <c r="J2841">
        <v>1</v>
      </c>
      <c r="N2841">
        <f>Таблица1[[#This Row],[Часов на заказчика  в работе]]+Таблица1[[#This Row],[Часов на заказчика  дежурство]]</f>
        <v>0</v>
      </c>
      <c r="O28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1" s="9"/>
      <c r="R2841" s="9"/>
      <c r="S2841" s="5"/>
      <c r="T28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табеле]])*S2841,0)</f>
        <v>0</v>
      </c>
      <c r="U2841" s="5">
        <f>IF(Таблица1[[#This Row],[ТТН]]&gt;0,Таблица1[[#This Row],[Ставка за ТТН]]*Таблица1[[#This Row],[ТТН]],0)</f>
        <v>0</v>
      </c>
    </row>
    <row r="2842" spans="1:21" x14ac:dyDescent="0.25">
      <c r="A2842" t="s">
        <v>84</v>
      </c>
      <c r="B2842" s="24">
        <v>8</v>
      </c>
      <c r="C2842" t="s">
        <v>183</v>
      </c>
      <c r="D2842" t="s">
        <v>32</v>
      </c>
      <c r="E2842" t="s">
        <v>215</v>
      </c>
      <c r="F2842" t="s">
        <v>31</v>
      </c>
      <c r="H2842" t="s">
        <v>29</v>
      </c>
      <c r="I2842" t="s">
        <v>217</v>
      </c>
      <c r="J2842">
        <v>8</v>
      </c>
      <c r="N2842">
        <f>Таблица1[[#This Row],[Часов на заказчика  в работе]]+Таблица1[[#This Row],[Часов на заказчика  дежурство]]</f>
        <v>0</v>
      </c>
      <c r="O28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2" s="9"/>
      <c r="R2842" s="9"/>
      <c r="S2842" s="5"/>
      <c r="T28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табеле]])*S2842,0)</f>
        <v>0</v>
      </c>
      <c r="U2842" s="5">
        <f>IF(Таблица1[[#This Row],[ТТН]]&gt;0,Таблица1[[#This Row],[Ставка за ТТН]]*Таблица1[[#This Row],[ТТН]],0)</f>
        <v>0</v>
      </c>
    </row>
    <row r="2843" spans="1:21" x14ac:dyDescent="0.25">
      <c r="A2843" t="s">
        <v>84</v>
      </c>
      <c r="B2843" s="24">
        <v>9</v>
      </c>
      <c r="C2843" t="s">
        <v>183</v>
      </c>
      <c r="D2843" t="s">
        <v>32</v>
      </c>
      <c r="E2843" t="s">
        <v>215</v>
      </c>
      <c r="F2843" t="s">
        <v>31</v>
      </c>
      <c r="H2843" t="s">
        <v>29</v>
      </c>
      <c r="I2843" t="s">
        <v>217</v>
      </c>
      <c r="J2843">
        <v>8</v>
      </c>
      <c r="N2843">
        <f>Таблица1[[#This Row],[Часов на заказчика  в работе]]+Таблица1[[#This Row],[Часов на заказчика  дежурство]]</f>
        <v>0</v>
      </c>
      <c r="O28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3" s="9"/>
      <c r="R2843" s="9"/>
      <c r="S2843" s="5"/>
      <c r="T28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табеле]])*S2843,0)</f>
        <v>0</v>
      </c>
      <c r="U2843" s="5">
        <f>IF(Таблица1[[#This Row],[ТТН]]&gt;0,Таблица1[[#This Row],[Ставка за ТТН]]*Таблица1[[#This Row],[ТТН]],0)</f>
        <v>0</v>
      </c>
    </row>
    <row r="2844" spans="1:21" x14ac:dyDescent="0.25">
      <c r="A2844" t="s">
        <v>84</v>
      </c>
      <c r="B2844" s="24">
        <v>10</v>
      </c>
      <c r="C2844" t="s">
        <v>183</v>
      </c>
      <c r="D2844" t="s">
        <v>32</v>
      </c>
      <c r="E2844" t="s">
        <v>215</v>
      </c>
      <c r="F2844" t="s">
        <v>31</v>
      </c>
      <c r="H2844" t="s">
        <v>29</v>
      </c>
      <c r="I2844" t="s">
        <v>217</v>
      </c>
      <c r="J2844">
        <v>8</v>
      </c>
      <c r="N2844">
        <f>Таблица1[[#This Row],[Часов на заказчика  в работе]]+Таблица1[[#This Row],[Часов на заказчика  дежурство]]</f>
        <v>0</v>
      </c>
      <c r="O28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4" s="9"/>
      <c r="R2844" s="9"/>
      <c r="S2844" s="5"/>
      <c r="T28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табеле]])*S2844,0)</f>
        <v>0</v>
      </c>
      <c r="U2844" s="5">
        <f>IF(Таблица1[[#This Row],[ТТН]]&gt;0,Таблица1[[#This Row],[Ставка за ТТН]]*Таблица1[[#This Row],[ТТН]],0)</f>
        <v>0</v>
      </c>
    </row>
    <row r="2845" spans="1:21" x14ac:dyDescent="0.25">
      <c r="A2845" t="s">
        <v>84</v>
      </c>
      <c r="B2845" s="24">
        <v>11</v>
      </c>
      <c r="C2845" t="s">
        <v>183</v>
      </c>
      <c r="D2845" t="s">
        <v>32</v>
      </c>
      <c r="E2845" t="s">
        <v>215</v>
      </c>
      <c r="F2845" t="s">
        <v>31</v>
      </c>
      <c r="H2845" t="s">
        <v>29</v>
      </c>
      <c r="I2845" t="s">
        <v>217</v>
      </c>
      <c r="J2845">
        <v>8</v>
      </c>
      <c r="N2845">
        <f>Таблица1[[#This Row],[Часов на заказчика  в работе]]+Таблица1[[#This Row],[Часов на заказчика  дежурство]]</f>
        <v>0</v>
      </c>
      <c r="O28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5" s="9"/>
      <c r="R2845" s="9"/>
      <c r="S2845" s="5"/>
      <c r="T28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табеле]])*S2845,0)</f>
        <v>0</v>
      </c>
      <c r="U2845" s="5">
        <f>IF(Таблица1[[#This Row],[ТТН]]&gt;0,Таблица1[[#This Row],[Ставка за ТТН]]*Таблица1[[#This Row],[ТТН]],0)</f>
        <v>0</v>
      </c>
    </row>
    <row r="2846" spans="1:21" x14ac:dyDescent="0.25">
      <c r="A2846" t="s">
        <v>84</v>
      </c>
      <c r="B2846" s="24">
        <v>12</v>
      </c>
      <c r="C2846" t="s">
        <v>183</v>
      </c>
      <c r="D2846" t="s">
        <v>32</v>
      </c>
      <c r="E2846" t="s">
        <v>215</v>
      </c>
      <c r="F2846" t="s">
        <v>31</v>
      </c>
      <c r="H2846" t="s">
        <v>29</v>
      </c>
      <c r="I2846" t="s">
        <v>217</v>
      </c>
      <c r="J2846">
        <v>8</v>
      </c>
      <c r="N2846">
        <f>Таблица1[[#This Row],[Часов на заказчика  в работе]]+Таблица1[[#This Row],[Часов на заказчика  дежурство]]</f>
        <v>0</v>
      </c>
      <c r="O28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6" s="9"/>
      <c r="R2846" s="9"/>
      <c r="S2846" s="5"/>
      <c r="T28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табеле]])*S2846,0)</f>
        <v>0</v>
      </c>
      <c r="U2846" s="5">
        <f>IF(Таблица1[[#This Row],[ТТН]]&gt;0,Таблица1[[#This Row],[Ставка за ТТН]]*Таблица1[[#This Row],[ТТН]],0)</f>
        <v>0</v>
      </c>
    </row>
    <row r="2847" spans="1:21" x14ac:dyDescent="0.25">
      <c r="A2847" t="s">
        <v>84</v>
      </c>
      <c r="B2847" s="24">
        <v>13</v>
      </c>
      <c r="C2847" t="s">
        <v>183</v>
      </c>
      <c r="D2847" t="s">
        <v>32</v>
      </c>
      <c r="E2847" t="s">
        <v>215</v>
      </c>
      <c r="F2847" t="s">
        <v>31</v>
      </c>
      <c r="H2847" t="s">
        <v>30</v>
      </c>
      <c r="I2847" t="s">
        <v>217</v>
      </c>
      <c r="J2847">
        <v>1</v>
      </c>
      <c r="N2847">
        <f>Таблица1[[#This Row],[Часов на заказчика  в работе]]+Таблица1[[#This Row],[Часов на заказчика  дежурство]]</f>
        <v>0</v>
      </c>
      <c r="O28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7" s="9"/>
      <c r="R2847" s="9"/>
      <c r="S2847" s="5"/>
      <c r="T28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табеле]])*S2847,0)</f>
        <v>0</v>
      </c>
      <c r="U2847" s="5">
        <f>IF(Таблица1[[#This Row],[ТТН]]&gt;0,Таблица1[[#This Row],[Ставка за ТТН]]*Таблица1[[#This Row],[ТТН]],0)</f>
        <v>0</v>
      </c>
    </row>
    <row r="2848" spans="1:21" x14ac:dyDescent="0.25">
      <c r="A2848" t="s">
        <v>84</v>
      </c>
      <c r="B2848" s="24">
        <v>14</v>
      </c>
      <c r="C2848" t="s">
        <v>183</v>
      </c>
      <c r="D2848" t="s">
        <v>32</v>
      </c>
      <c r="E2848" t="s">
        <v>215</v>
      </c>
      <c r="F2848" t="s">
        <v>31</v>
      </c>
      <c r="H2848" t="s">
        <v>30</v>
      </c>
      <c r="I2848" t="s">
        <v>217</v>
      </c>
      <c r="J2848">
        <v>1</v>
      </c>
      <c r="N2848">
        <f>Таблица1[[#This Row],[Часов на заказчика  в работе]]+Таблица1[[#This Row],[Часов на заказчика  дежурство]]</f>
        <v>0</v>
      </c>
      <c r="O28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8" s="9"/>
      <c r="R2848" s="9"/>
      <c r="S2848" s="5"/>
      <c r="T28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табеле]])*S2848,0)</f>
        <v>0</v>
      </c>
      <c r="U2848" s="5">
        <f>IF(Таблица1[[#This Row],[ТТН]]&gt;0,Таблица1[[#This Row],[Ставка за ТТН]]*Таблица1[[#This Row],[ТТН]],0)</f>
        <v>0</v>
      </c>
    </row>
    <row r="2849" spans="1:22" x14ac:dyDescent="0.25">
      <c r="A2849" t="s">
        <v>84</v>
      </c>
      <c r="B2849" s="24">
        <v>15</v>
      </c>
      <c r="C2849" t="s">
        <v>183</v>
      </c>
      <c r="D2849" t="s">
        <v>32</v>
      </c>
      <c r="E2849" t="s">
        <v>215</v>
      </c>
      <c r="F2849" t="s">
        <v>31</v>
      </c>
      <c r="H2849" t="s">
        <v>29</v>
      </c>
      <c r="I2849" t="s">
        <v>217</v>
      </c>
      <c r="J2849">
        <v>8</v>
      </c>
      <c r="N2849">
        <f>Таблица1[[#This Row],[Часов на заказчика  в работе]]+Таблица1[[#This Row],[Часов на заказчика  дежурство]]</f>
        <v>0</v>
      </c>
      <c r="O28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49" s="9">
        <v>220000</v>
      </c>
      <c r="R2849" s="9"/>
      <c r="S2849" s="5">
        <v>1</v>
      </c>
      <c r="T28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табеле]])*S2849,0)</f>
        <v>0</v>
      </c>
      <c r="U2849" s="5">
        <f>IF(Таблица1[[#This Row],[ТТН]]&gt;0,Таблица1[[#This Row],[Ставка за ТТН]]*Таблица1[[#This Row],[ТТН]],0)</f>
        <v>0</v>
      </c>
    </row>
    <row r="2850" spans="1:22" x14ac:dyDescent="0.25">
      <c r="A2850" t="s">
        <v>84</v>
      </c>
      <c r="B2850" s="24">
        <v>16</v>
      </c>
      <c r="C2850" t="s">
        <v>183</v>
      </c>
      <c r="D2850" t="s">
        <v>32</v>
      </c>
      <c r="E2850" t="s">
        <v>215</v>
      </c>
      <c r="F2850" t="s">
        <v>31</v>
      </c>
      <c r="H2850" t="s">
        <v>29</v>
      </c>
      <c r="I2850" t="s">
        <v>217</v>
      </c>
      <c r="J2850">
        <v>8</v>
      </c>
      <c r="N2850">
        <f>Таблица1[[#This Row],[Часов на заказчика  в работе]]+Таблица1[[#This Row],[Часов на заказчика  дежурство]]</f>
        <v>0</v>
      </c>
      <c r="O28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0" s="9">
        <v>220000</v>
      </c>
      <c r="R2850" s="9"/>
      <c r="S2850" s="5">
        <v>1</v>
      </c>
      <c r="T28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табеле]])*S2850,0)</f>
        <v>0</v>
      </c>
      <c r="U2850" s="5">
        <f>IF(Таблица1[[#This Row],[ТТН]]&gt;0,Таблица1[[#This Row],[Ставка за ТТН]]*Таблица1[[#This Row],[ТТН]],0)</f>
        <v>0</v>
      </c>
    </row>
    <row r="2851" spans="1:22" x14ac:dyDescent="0.25">
      <c r="A2851" t="s">
        <v>84</v>
      </c>
      <c r="B2851" s="24">
        <v>17</v>
      </c>
      <c r="C2851" t="s">
        <v>183</v>
      </c>
      <c r="D2851" t="s">
        <v>32</v>
      </c>
      <c r="E2851" t="s">
        <v>215</v>
      </c>
      <c r="F2851" t="s">
        <v>31</v>
      </c>
      <c r="H2851" t="s">
        <v>24</v>
      </c>
      <c r="I2851" t="s">
        <v>217</v>
      </c>
      <c r="J2851">
        <v>8</v>
      </c>
      <c r="N2851">
        <f>Таблица1[[#This Row],[Часов на заказчика  в работе]]+Таблица1[[#This Row],[Часов на заказчика  дежурство]]</f>
        <v>0</v>
      </c>
      <c r="O28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1" s="9">
        <v>220000</v>
      </c>
      <c r="R2851" s="9"/>
      <c r="S2851" s="5">
        <v>1</v>
      </c>
      <c r="T28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табеле]])*S2851,0)</f>
        <v>0</v>
      </c>
      <c r="U2851" s="5">
        <f>IF(Таблица1[[#This Row],[ТТН]]&gt;0,Таблица1[[#This Row],[Ставка за ТТН]]*Таблица1[[#This Row],[ТТН]],0)</f>
        <v>0</v>
      </c>
    </row>
    <row r="2852" spans="1:22" x14ac:dyDescent="0.25">
      <c r="A2852" t="s">
        <v>84</v>
      </c>
      <c r="B2852" s="24">
        <v>18</v>
      </c>
      <c r="C2852" t="s">
        <v>183</v>
      </c>
      <c r="D2852" t="s">
        <v>32</v>
      </c>
      <c r="E2852" t="s">
        <v>215</v>
      </c>
      <c r="F2852" t="s">
        <v>31</v>
      </c>
      <c r="H2852" t="s">
        <v>24</v>
      </c>
      <c r="I2852" t="s">
        <v>217</v>
      </c>
      <c r="J2852">
        <v>8</v>
      </c>
      <c r="N2852">
        <f>Таблица1[[#This Row],[Часов на заказчика  в работе]]+Таблица1[[#This Row],[Часов на заказчика  дежурство]]</f>
        <v>0</v>
      </c>
      <c r="O28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2" s="9">
        <v>220000</v>
      </c>
      <c r="R2852" s="9"/>
      <c r="S2852" s="5">
        <v>1</v>
      </c>
      <c r="T28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табеле]])*S2852,0)</f>
        <v>0</v>
      </c>
      <c r="U2852" s="5">
        <f>IF(Таблица1[[#This Row],[ТТН]]&gt;0,Таблица1[[#This Row],[Ставка за ТТН]]*Таблица1[[#This Row],[ТТН]],0)</f>
        <v>0</v>
      </c>
    </row>
    <row r="2853" spans="1:22" x14ac:dyDescent="0.25">
      <c r="A2853" t="s">
        <v>84</v>
      </c>
      <c r="B2853" s="24">
        <v>19</v>
      </c>
      <c r="C2853" t="s">
        <v>183</v>
      </c>
      <c r="D2853" t="s">
        <v>32</v>
      </c>
      <c r="E2853" t="s">
        <v>215</v>
      </c>
      <c r="F2853" t="s">
        <v>31</v>
      </c>
      <c r="H2853" t="s">
        <v>24</v>
      </c>
      <c r="I2853" t="s">
        <v>217</v>
      </c>
      <c r="J2853">
        <v>8</v>
      </c>
      <c r="N2853">
        <f>Таблица1[[#This Row],[Часов на заказчика  в работе]]+Таблица1[[#This Row],[Часов на заказчика  дежурство]]</f>
        <v>0</v>
      </c>
      <c r="O28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3" s="9">
        <v>220000</v>
      </c>
      <c r="R2853" s="9"/>
      <c r="S2853" s="5">
        <v>1</v>
      </c>
      <c r="T28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табеле]])*S2853,0)</f>
        <v>0</v>
      </c>
      <c r="U2853" s="5">
        <f>IF(Таблица1[[#This Row],[ТТН]]&gt;0,Таблица1[[#This Row],[Ставка за ТТН]]*Таблица1[[#This Row],[ТТН]],0)</f>
        <v>0</v>
      </c>
    </row>
    <row r="2854" spans="1:22" x14ac:dyDescent="0.25">
      <c r="A2854" t="s">
        <v>84</v>
      </c>
      <c r="B2854" s="24">
        <v>20</v>
      </c>
      <c r="C2854" t="s">
        <v>183</v>
      </c>
      <c r="D2854" t="s">
        <v>32</v>
      </c>
      <c r="E2854" t="s">
        <v>215</v>
      </c>
      <c r="F2854" t="s">
        <v>31</v>
      </c>
      <c r="H2854" t="s">
        <v>10</v>
      </c>
      <c r="I2854" t="s">
        <v>217</v>
      </c>
      <c r="J2854">
        <v>11</v>
      </c>
      <c r="N2854">
        <f>Таблица1[[#This Row],[Часов на заказчика  в работе]]+Таблица1[[#This Row],[Часов на заказчика  дежурство]]</f>
        <v>0</v>
      </c>
      <c r="O28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4" s="9">
        <v>220000</v>
      </c>
      <c r="R2854" s="9"/>
      <c r="S2854" s="5">
        <v>1</v>
      </c>
      <c r="T28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табеле]])*S2854,0)</f>
        <v>7333.333333333333</v>
      </c>
      <c r="U2854" s="5">
        <f>IF(Таблица1[[#This Row],[ТТН]]&gt;0,Таблица1[[#This Row],[Ставка за ТТН]]*Таблица1[[#This Row],[ТТН]],0)</f>
        <v>0</v>
      </c>
      <c r="V2854" t="s">
        <v>85</v>
      </c>
    </row>
    <row r="2855" spans="1:22" x14ac:dyDescent="0.25">
      <c r="A2855" t="s">
        <v>84</v>
      </c>
      <c r="B2855" s="24">
        <v>21</v>
      </c>
      <c r="C2855" t="s">
        <v>183</v>
      </c>
      <c r="D2855" t="s">
        <v>32</v>
      </c>
      <c r="E2855" t="s">
        <v>215</v>
      </c>
      <c r="F2855" t="s">
        <v>31</v>
      </c>
      <c r="H2855" t="s">
        <v>10</v>
      </c>
      <c r="I2855" t="s">
        <v>217</v>
      </c>
      <c r="J2855">
        <v>11</v>
      </c>
      <c r="N2855">
        <f>Таблица1[[#This Row],[Часов на заказчика  в работе]]+Таблица1[[#This Row],[Часов на заказчика  дежурство]]</f>
        <v>0</v>
      </c>
      <c r="O28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5" s="9">
        <v>220000</v>
      </c>
      <c r="R2855" s="9"/>
      <c r="S2855" s="5">
        <v>1</v>
      </c>
      <c r="T28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табеле]])*S2855,0)</f>
        <v>7333.333333333333</v>
      </c>
      <c r="U2855" s="5">
        <f>IF(Таблица1[[#This Row],[ТТН]]&gt;0,Таблица1[[#This Row],[Ставка за ТТН]]*Таблица1[[#This Row],[ТТН]],0)</f>
        <v>0</v>
      </c>
      <c r="V2855" t="s">
        <v>85</v>
      </c>
    </row>
    <row r="2856" spans="1:22" x14ac:dyDescent="0.25">
      <c r="A2856" t="s">
        <v>84</v>
      </c>
      <c r="B2856" s="24">
        <v>22</v>
      </c>
      <c r="C2856" t="s">
        <v>183</v>
      </c>
      <c r="D2856" t="s">
        <v>32</v>
      </c>
      <c r="E2856" t="s">
        <v>215</v>
      </c>
      <c r="F2856" t="s">
        <v>31</v>
      </c>
      <c r="H2856" t="s">
        <v>10</v>
      </c>
      <c r="I2856" t="s">
        <v>217</v>
      </c>
      <c r="J2856">
        <v>11</v>
      </c>
      <c r="N2856">
        <f>Таблица1[[#This Row],[Часов на заказчика  в работе]]+Таблица1[[#This Row],[Часов на заказчика  дежурство]]</f>
        <v>0</v>
      </c>
      <c r="O28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6" s="9">
        <v>220000</v>
      </c>
      <c r="R2856" s="9"/>
      <c r="S2856" s="5">
        <v>1</v>
      </c>
      <c r="T28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табеле]])*S2856,0)</f>
        <v>7333.333333333333</v>
      </c>
      <c r="U2856" s="5">
        <f>IF(Таблица1[[#This Row],[ТТН]]&gt;0,Таблица1[[#This Row],[Ставка за ТТН]]*Таблица1[[#This Row],[ТТН]],0)</f>
        <v>0</v>
      </c>
      <c r="V2856" t="s">
        <v>85</v>
      </c>
    </row>
    <row r="2857" spans="1:22" x14ac:dyDescent="0.25">
      <c r="A2857" t="s">
        <v>84</v>
      </c>
      <c r="B2857" s="24">
        <v>23</v>
      </c>
      <c r="C2857" t="s">
        <v>183</v>
      </c>
      <c r="D2857" t="s">
        <v>32</v>
      </c>
      <c r="E2857" t="s">
        <v>215</v>
      </c>
      <c r="F2857" t="s">
        <v>31</v>
      </c>
      <c r="H2857" t="s">
        <v>10</v>
      </c>
      <c r="I2857" t="s">
        <v>217</v>
      </c>
      <c r="J2857">
        <v>11</v>
      </c>
      <c r="N2857">
        <f>Таблица1[[#This Row],[Часов на заказчика  в работе]]+Таблица1[[#This Row],[Часов на заказчика  дежурство]]</f>
        <v>0</v>
      </c>
      <c r="O28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7" s="9">
        <v>220000</v>
      </c>
      <c r="R2857" s="9"/>
      <c r="S2857" s="5">
        <v>1</v>
      </c>
      <c r="T28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табеле]])*S2857,0)</f>
        <v>7333.333333333333</v>
      </c>
      <c r="U2857" s="5">
        <f>IF(Таблица1[[#This Row],[ТТН]]&gt;0,Таблица1[[#This Row],[Ставка за ТТН]]*Таблица1[[#This Row],[ТТН]],0)</f>
        <v>0</v>
      </c>
      <c r="V2857" t="s">
        <v>85</v>
      </c>
    </row>
    <row r="2858" spans="1:22" x14ac:dyDescent="0.25">
      <c r="A2858" t="s">
        <v>84</v>
      </c>
      <c r="B2858" s="24">
        <v>24</v>
      </c>
      <c r="C2858" t="s">
        <v>183</v>
      </c>
      <c r="D2858" t="s">
        <v>32</v>
      </c>
      <c r="E2858" t="s">
        <v>215</v>
      </c>
      <c r="F2858" t="s">
        <v>31</v>
      </c>
      <c r="H2858" t="s">
        <v>10</v>
      </c>
      <c r="I2858" t="s">
        <v>219</v>
      </c>
      <c r="J2858">
        <v>11</v>
      </c>
      <c r="N2858">
        <f>Таблица1[[#This Row],[Часов на заказчика  в работе]]+Таблица1[[#This Row],[Часов на заказчика  дежурство]]</f>
        <v>0</v>
      </c>
      <c r="O28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8" s="9">
        <v>220000</v>
      </c>
      <c r="R2858" s="9"/>
      <c r="S2858" s="5">
        <v>1</v>
      </c>
      <c r="T28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табеле]])*S2858,0)</f>
        <v>7333.333333333333</v>
      </c>
      <c r="U2858" s="5">
        <f>IF(Таблица1[[#This Row],[ТТН]]&gt;0,Таблица1[[#This Row],[Ставка за ТТН]]*Таблица1[[#This Row],[ТТН]],0)</f>
        <v>0</v>
      </c>
    </row>
    <row r="2859" spans="1:22" x14ac:dyDescent="0.25">
      <c r="A2859" t="s">
        <v>84</v>
      </c>
      <c r="B2859" s="24">
        <v>25</v>
      </c>
      <c r="C2859" t="s">
        <v>183</v>
      </c>
      <c r="D2859" t="s">
        <v>32</v>
      </c>
      <c r="E2859" t="s">
        <v>215</v>
      </c>
      <c r="F2859" t="s">
        <v>31</v>
      </c>
      <c r="H2859" t="s">
        <v>10</v>
      </c>
      <c r="I2859" t="s">
        <v>219</v>
      </c>
      <c r="J2859">
        <v>11</v>
      </c>
      <c r="N2859">
        <f>Таблица1[[#This Row],[Часов на заказчика  в работе]]+Таблица1[[#This Row],[Часов на заказчика  дежурство]]</f>
        <v>0</v>
      </c>
      <c r="O28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59" s="9">
        <v>220000</v>
      </c>
      <c r="R2859" s="9"/>
      <c r="S2859" s="5">
        <v>1</v>
      </c>
      <c r="T28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табеле]])*S2859,0)</f>
        <v>7333.333333333333</v>
      </c>
      <c r="U2859" s="5">
        <f>IF(Таблица1[[#This Row],[ТТН]]&gt;0,Таблица1[[#This Row],[Ставка за ТТН]]*Таблица1[[#This Row],[ТТН]],0)</f>
        <v>0</v>
      </c>
    </row>
    <row r="2860" spans="1:22" x14ac:dyDescent="0.25">
      <c r="A2860" t="s">
        <v>84</v>
      </c>
      <c r="B2860" s="24">
        <v>26</v>
      </c>
      <c r="C2860" t="s">
        <v>183</v>
      </c>
      <c r="D2860" t="s">
        <v>32</v>
      </c>
      <c r="E2860" t="s">
        <v>215</v>
      </c>
      <c r="F2860" t="s">
        <v>31</v>
      </c>
      <c r="H2860" t="s">
        <v>10</v>
      </c>
      <c r="I2860" t="s">
        <v>219</v>
      </c>
      <c r="J2860">
        <v>11</v>
      </c>
      <c r="N2860">
        <f>Таблица1[[#This Row],[Часов на заказчика  в работе]]+Таблица1[[#This Row],[Часов на заказчика  дежурство]]</f>
        <v>0</v>
      </c>
      <c r="O28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0" s="9">
        <v>220000</v>
      </c>
      <c r="R2860" s="9"/>
      <c r="S2860" s="5">
        <v>1</v>
      </c>
      <c r="T28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табеле]])*S2860,0)</f>
        <v>7333.333333333333</v>
      </c>
      <c r="U2860" s="5">
        <f>IF(Таблица1[[#This Row],[ТТН]]&gt;0,Таблица1[[#This Row],[Ставка за ТТН]]*Таблица1[[#This Row],[ТТН]],0)</f>
        <v>0</v>
      </c>
    </row>
    <row r="2861" spans="1:22" x14ac:dyDescent="0.25">
      <c r="A2861" t="s">
        <v>84</v>
      </c>
      <c r="B2861" s="24">
        <v>27</v>
      </c>
      <c r="C2861" t="s">
        <v>183</v>
      </c>
      <c r="D2861" t="s">
        <v>32</v>
      </c>
      <c r="E2861" t="s">
        <v>215</v>
      </c>
      <c r="F2861" t="s">
        <v>31</v>
      </c>
      <c r="H2861" t="s">
        <v>10</v>
      </c>
      <c r="I2861" t="s">
        <v>219</v>
      </c>
      <c r="J2861">
        <v>11</v>
      </c>
      <c r="N2861">
        <f>Таблица1[[#This Row],[Часов на заказчика  в работе]]+Таблица1[[#This Row],[Часов на заказчика  дежурство]]</f>
        <v>0</v>
      </c>
      <c r="O28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1" s="9">
        <v>220000</v>
      </c>
      <c r="R2861" s="9"/>
      <c r="S2861" s="5">
        <v>1</v>
      </c>
      <c r="T28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табеле]])*S2861,0)</f>
        <v>7333.333333333333</v>
      </c>
      <c r="U2861" s="5">
        <f>IF(Таблица1[[#This Row],[ТТН]]&gt;0,Таблица1[[#This Row],[Ставка за ТТН]]*Таблица1[[#This Row],[ТТН]],0)</f>
        <v>0</v>
      </c>
    </row>
    <row r="2862" spans="1:22" x14ac:dyDescent="0.25">
      <c r="A2862" t="s">
        <v>84</v>
      </c>
      <c r="B2862" s="24">
        <v>28</v>
      </c>
      <c r="C2862" t="s">
        <v>183</v>
      </c>
      <c r="D2862" t="s">
        <v>32</v>
      </c>
      <c r="E2862" t="s">
        <v>215</v>
      </c>
      <c r="F2862" t="s">
        <v>31</v>
      </c>
      <c r="H2862" t="s">
        <v>10</v>
      </c>
      <c r="I2862" t="s">
        <v>219</v>
      </c>
      <c r="J2862">
        <v>11</v>
      </c>
      <c r="N2862">
        <f>Таблица1[[#This Row],[Часов на заказчика  в работе]]+Таблица1[[#This Row],[Часов на заказчика  дежурство]]</f>
        <v>0</v>
      </c>
      <c r="O28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2" s="9">
        <v>220000</v>
      </c>
      <c r="R2862" s="9"/>
      <c r="S2862" s="5">
        <v>1</v>
      </c>
      <c r="T28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табеле]])*S2862,0)</f>
        <v>7333.333333333333</v>
      </c>
      <c r="U2862" s="5">
        <f>IF(Таблица1[[#This Row],[ТТН]]&gt;0,Таблица1[[#This Row],[Ставка за ТТН]]*Таблица1[[#This Row],[ТТН]],0)</f>
        <v>0</v>
      </c>
    </row>
    <row r="2863" spans="1:22" x14ac:dyDescent="0.25">
      <c r="A2863" t="s">
        <v>84</v>
      </c>
      <c r="B2863" s="24">
        <v>29</v>
      </c>
      <c r="C2863" t="s">
        <v>183</v>
      </c>
      <c r="D2863" t="s">
        <v>32</v>
      </c>
      <c r="E2863" t="s">
        <v>215</v>
      </c>
      <c r="F2863" t="s">
        <v>31</v>
      </c>
      <c r="H2863" t="s">
        <v>10</v>
      </c>
      <c r="I2863" t="s">
        <v>219</v>
      </c>
      <c r="J2863">
        <v>11</v>
      </c>
      <c r="N2863">
        <f>Таблица1[[#This Row],[Часов на заказчика  в работе]]+Таблица1[[#This Row],[Часов на заказчика  дежурство]]</f>
        <v>0</v>
      </c>
      <c r="O28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3" s="9">
        <v>220000</v>
      </c>
      <c r="R2863" s="9"/>
      <c r="S2863" s="5">
        <v>1</v>
      </c>
      <c r="T28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табеле]])*S2863,0)</f>
        <v>7333.333333333333</v>
      </c>
      <c r="U2863" s="5">
        <f>IF(Таблица1[[#This Row],[ТТН]]&gt;0,Таблица1[[#This Row],[Ставка за ТТН]]*Таблица1[[#This Row],[ТТН]],0)</f>
        <v>0</v>
      </c>
    </row>
    <row r="2864" spans="1:22" x14ac:dyDescent="0.25">
      <c r="A2864" t="s">
        <v>84</v>
      </c>
      <c r="B2864" s="24">
        <v>30</v>
      </c>
      <c r="C2864" t="s">
        <v>184</v>
      </c>
      <c r="D2864" t="s">
        <v>32</v>
      </c>
      <c r="E2864" t="s">
        <v>215</v>
      </c>
      <c r="F2864" t="s">
        <v>31</v>
      </c>
      <c r="H2864" t="s">
        <v>10</v>
      </c>
      <c r="I2864" t="s">
        <v>219</v>
      </c>
      <c r="J2864">
        <v>11</v>
      </c>
      <c r="N2864">
        <f>Таблица1[[#This Row],[Часов на заказчика  в работе]]+Таблица1[[#This Row],[Часов на заказчика  дежурство]]</f>
        <v>0</v>
      </c>
      <c r="O28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4" s="9">
        <v>220000</v>
      </c>
      <c r="R2864" s="9"/>
      <c r="S2864" s="5">
        <v>1</v>
      </c>
      <c r="T28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табеле]])*S2864,0)</f>
        <v>7333.333333333333</v>
      </c>
      <c r="U2864" s="5">
        <f>IF(Таблица1[[#This Row],[ТТН]]&gt;0,Таблица1[[#This Row],[Ставка за ТТН]]*Таблица1[[#This Row],[ТТН]],0)</f>
        <v>0</v>
      </c>
    </row>
    <row r="2865" spans="1:21" x14ac:dyDescent="0.25">
      <c r="A2865" t="s">
        <v>84</v>
      </c>
      <c r="B2865" s="24">
        <v>1</v>
      </c>
      <c r="C2865" t="s">
        <v>184</v>
      </c>
      <c r="D2865" t="s">
        <v>32</v>
      </c>
      <c r="E2865" t="s">
        <v>216</v>
      </c>
      <c r="F2865" t="s">
        <v>31</v>
      </c>
      <c r="H2865" t="s">
        <v>23</v>
      </c>
      <c r="I2865" t="s">
        <v>217</v>
      </c>
      <c r="J2865">
        <v>11</v>
      </c>
      <c r="N2865">
        <f>Таблица1[[#This Row],[Часов на заказчика  в работе]]+Таблица1[[#This Row],[Часов на заказчика  дежурство]]</f>
        <v>0</v>
      </c>
      <c r="O28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5" s="9">
        <v>160000</v>
      </c>
      <c r="R2865" s="9"/>
      <c r="S2865" s="5">
        <v>1</v>
      </c>
      <c r="T28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табеле]])*S2865,0)</f>
        <v>5333.3333333333339</v>
      </c>
      <c r="U2865" s="5">
        <f>IF(Таблица1[[#This Row],[ТТН]]&gt;0,Таблица1[[#This Row],[Ставка за ТТН]]*Таблица1[[#This Row],[ТТН]],0)</f>
        <v>0</v>
      </c>
    </row>
    <row r="2866" spans="1:21" x14ac:dyDescent="0.25">
      <c r="A2866" t="s">
        <v>84</v>
      </c>
      <c r="B2866" s="24">
        <v>2</v>
      </c>
      <c r="C2866" t="s">
        <v>184</v>
      </c>
      <c r="D2866" t="s">
        <v>32</v>
      </c>
      <c r="E2866" t="s">
        <v>216</v>
      </c>
      <c r="F2866" t="s">
        <v>31</v>
      </c>
      <c r="H2866" t="s">
        <v>38</v>
      </c>
      <c r="I2866" t="s">
        <v>217</v>
      </c>
      <c r="J2866">
        <v>11</v>
      </c>
      <c r="N2866">
        <f>Таблица1[[#This Row],[Часов на заказчика  в работе]]+Таблица1[[#This Row],[Часов на заказчика  дежурство]]</f>
        <v>0</v>
      </c>
      <c r="O28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6" s="9">
        <v>160000</v>
      </c>
      <c r="R2866" s="9"/>
      <c r="S2866" s="5">
        <v>1</v>
      </c>
      <c r="T28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табеле]])*S2866,0)</f>
        <v>5333.3333333333339</v>
      </c>
      <c r="U2866" s="5">
        <f>IF(Таблица1[[#This Row],[ТТН]]&gt;0,Таблица1[[#This Row],[Ставка за ТТН]]*Таблица1[[#This Row],[ТТН]],0)</f>
        <v>0</v>
      </c>
    </row>
    <row r="2867" spans="1:21" x14ac:dyDescent="0.25">
      <c r="A2867" t="s">
        <v>84</v>
      </c>
      <c r="B2867" s="24">
        <v>3</v>
      </c>
      <c r="C2867" t="s">
        <v>184</v>
      </c>
      <c r="D2867" t="s">
        <v>32</v>
      </c>
      <c r="E2867" t="s">
        <v>216</v>
      </c>
      <c r="F2867" t="s">
        <v>31</v>
      </c>
      <c r="H2867" t="s">
        <v>10</v>
      </c>
      <c r="I2867" t="s">
        <v>219</v>
      </c>
      <c r="J2867">
        <v>11</v>
      </c>
      <c r="N2867">
        <f>Таблица1[[#This Row],[Часов на заказчика  в работе]]+Таблица1[[#This Row],[Часов на заказчика  дежурство]]</f>
        <v>0</v>
      </c>
      <c r="O28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7" s="9">
        <v>160000</v>
      </c>
      <c r="R2867" s="9"/>
      <c r="S2867" s="5">
        <v>1</v>
      </c>
      <c r="T28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табеле]])*S2867,0)</f>
        <v>5333.3333333333339</v>
      </c>
      <c r="U2867" s="5">
        <f>IF(Таблица1[[#This Row],[ТТН]]&gt;0,Таблица1[[#This Row],[Ставка за ТТН]]*Таблица1[[#This Row],[ТТН]],0)</f>
        <v>0</v>
      </c>
    </row>
    <row r="2868" spans="1:21" x14ac:dyDescent="0.25">
      <c r="A2868" t="s">
        <v>84</v>
      </c>
      <c r="B2868" s="24">
        <v>4</v>
      </c>
      <c r="C2868" t="s">
        <v>184</v>
      </c>
      <c r="D2868" t="s">
        <v>32</v>
      </c>
      <c r="E2868" t="s">
        <v>216</v>
      </c>
      <c r="F2868" t="s">
        <v>31</v>
      </c>
      <c r="H2868" t="s">
        <v>10</v>
      </c>
      <c r="I2868" t="s">
        <v>219</v>
      </c>
      <c r="J2868">
        <v>11</v>
      </c>
      <c r="N2868">
        <f>Таблица1[[#This Row],[Часов на заказчика  в работе]]+Таблица1[[#This Row],[Часов на заказчика  дежурство]]</f>
        <v>0</v>
      </c>
      <c r="O28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8" s="9">
        <v>160000</v>
      </c>
      <c r="R2868" s="9"/>
      <c r="S2868" s="5">
        <v>1</v>
      </c>
      <c r="T28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табеле]])*S2868,0)</f>
        <v>5333.3333333333339</v>
      </c>
      <c r="U2868" s="5">
        <f>IF(Таблица1[[#This Row],[ТТН]]&gt;0,Таблица1[[#This Row],[Ставка за ТТН]]*Таблица1[[#This Row],[ТТН]],0)</f>
        <v>0</v>
      </c>
    </row>
    <row r="2869" spans="1:21" x14ac:dyDescent="0.25">
      <c r="A2869" t="s">
        <v>84</v>
      </c>
      <c r="B2869" s="24">
        <v>5</v>
      </c>
      <c r="C2869" t="s">
        <v>184</v>
      </c>
      <c r="D2869" t="s">
        <v>32</v>
      </c>
      <c r="E2869" t="s">
        <v>216</v>
      </c>
      <c r="F2869" t="s">
        <v>31</v>
      </c>
      <c r="H2869" t="s">
        <v>10</v>
      </c>
      <c r="I2869" t="s">
        <v>219</v>
      </c>
      <c r="J2869">
        <v>11</v>
      </c>
      <c r="N2869">
        <f>Таблица1[[#This Row],[Часов на заказчика  в работе]]+Таблица1[[#This Row],[Часов на заказчика  дежурство]]</f>
        <v>0</v>
      </c>
      <c r="O28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69" s="9">
        <v>160000</v>
      </c>
      <c r="R2869" s="9"/>
      <c r="S2869" s="5">
        <v>1</v>
      </c>
      <c r="T28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табеле]])*S2869,0)</f>
        <v>5333.3333333333339</v>
      </c>
      <c r="U2869" s="5">
        <f>IF(Таблица1[[#This Row],[ТТН]]&gt;0,Таблица1[[#This Row],[Ставка за ТТН]]*Таблица1[[#This Row],[ТТН]],0)</f>
        <v>0</v>
      </c>
    </row>
    <row r="2870" spans="1:21" x14ac:dyDescent="0.25">
      <c r="A2870" t="s">
        <v>84</v>
      </c>
      <c r="B2870" s="24">
        <v>6</v>
      </c>
      <c r="C2870" t="s">
        <v>184</v>
      </c>
      <c r="D2870" t="s">
        <v>32</v>
      </c>
      <c r="E2870" t="s">
        <v>216</v>
      </c>
      <c r="F2870" t="s">
        <v>31</v>
      </c>
      <c r="H2870" t="s">
        <v>10</v>
      </c>
      <c r="I2870" t="s">
        <v>219</v>
      </c>
      <c r="J2870">
        <v>11</v>
      </c>
      <c r="N2870">
        <f>Таблица1[[#This Row],[Часов на заказчика  в работе]]+Таблица1[[#This Row],[Часов на заказчика  дежурство]]</f>
        <v>0</v>
      </c>
      <c r="O28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0" s="9">
        <v>160000</v>
      </c>
      <c r="R2870" s="9"/>
      <c r="S2870" s="5">
        <v>1</v>
      </c>
      <c r="T28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табеле]])*S2870,0)</f>
        <v>5333.3333333333339</v>
      </c>
      <c r="U2870" s="5">
        <f>IF(Таблица1[[#This Row],[ТТН]]&gt;0,Таблица1[[#This Row],[Ставка за ТТН]]*Таблица1[[#This Row],[ТТН]],0)</f>
        <v>0</v>
      </c>
    </row>
    <row r="2871" spans="1:21" x14ac:dyDescent="0.25">
      <c r="A2871" t="s">
        <v>84</v>
      </c>
      <c r="B2871" s="24">
        <v>7</v>
      </c>
      <c r="C2871" t="s">
        <v>184</v>
      </c>
      <c r="D2871" t="s">
        <v>32</v>
      </c>
      <c r="E2871" t="s">
        <v>216</v>
      </c>
      <c r="F2871" t="s">
        <v>31</v>
      </c>
      <c r="H2871" t="s">
        <v>10</v>
      </c>
      <c r="I2871" t="s">
        <v>219</v>
      </c>
      <c r="J2871">
        <v>11</v>
      </c>
      <c r="N2871">
        <f>Таблица1[[#This Row],[Часов на заказчика  в работе]]+Таблица1[[#This Row],[Часов на заказчика  дежурство]]</f>
        <v>0</v>
      </c>
      <c r="O28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1" s="9">
        <v>160000</v>
      </c>
      <c r="R2871" s="9"/>
      <c r="S2871" s="5">
        <v>1</v>
      </c>
      <c r="T28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табеле]])*S2871,0)</f>
        <v>5333.3333333333339</v>
      </c>
      <c r="U2871" s="5">
        <f>IF(Таблица1[[#This Row],[ТТН]]&gt;0,Таблица1[[#This Row],[Ставка за ТТН]]*Таблица1[[#This Row],[ТТН]],0)</f>
        <v>0</v>
      </c>
    </row>
    <row r="2872" spans="1:21" x14ac:dyDescent="0.25">
      <c r="A2872" t="s">
        <v>84</v>
      </c>
      <c r="B2872" s="24">
        <v>8</v>
      </c>
      <c r="C2872" t="s">
        <v>184</v>
      </c>
      <c r="D2872" t="s">
        <v>32</v>
      </c>
      <c r="E2872" t="s">
        <v>216</v>
      </c>
      <c r="F2872" t="s">
        <v>31</v>
      </c>
      <c r="H2872" t="s">
        <v>10</v>
      </c>
      <c r="I2872" t="s">
        <v>219</v>
      </c>
      <c r="J2872">
        <v>11</v>
      </c>
      <c r="N2872">
        <f>Таблица1[[#This Row],[Часов на заказчика  в работе]]+Таблица1[[#This Row],[Часов на заказчика  дежурство]]</f>
        <v>0</v>
      </c>
      <c r="O28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2" s="9">
        <v>160000</v>
      </c>
      <c r="R2872" s="9"/>
      <c r="S2872" s="5">
        <v>1</v>
      </c>
      <c r="T28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табеле]])*S2872,0)</f>
        <v>5333.3333333333339</v>
      </c>
      <c r="U2872" s="5">
        <f>IF(Таблица1[[#This Row],[ТТН]]&gt;0,Таблица1[[#This Row],[Ставка за ТТН]]*Таблица1[[#This Row],[ТТН]],0)</f>
        <v>0</v>
      </c>
    </row>
    <row r="2873" spans="1:21" x14ac:dyDescent="0.25">
      <c r="A2873" t="s">
        <v>84</v>
      </c>
      <c r="B2873" s="24">
        <v>9</v>
      </c>
      <c r="C2873" t="s">
        <v>184</v>
      </c>
      <c r="D2873" t="s">
        <v>32</v>
      </c>
      <c r="E2873" t="s">
        <v>216</v>
      </c>
      <c r="F2873" t="s">
        <v>31</v>
      </c>
      <c r="H2873" t="s">
        <v>10</v>
      </c>
      <c r="I2873" t="s">
        <v>219</v>
      </c>
      <c r="J2873">
        <v>11</v>
      </c>
      <c r="N2873">
        <f>Таблица1[[#This Row],[Часов на заказчика  в работе]]+Таблица1[[#This Row],[Часов на заказчика  дежурство]]</f>
        <v>0</v>
      </c>
      <c r="O28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3" s="9">
        <v>160000</v>
      </c>
      <c r="R2873" s="9"/>
      <c r="S2873" s="5">
        <v>1</v>
      </c>
      <c r="T28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табеле]])*S2873,0)</f>
        <v>5333.3333333333339</v>
      </c>
      <c r="U2873" s="5">
        <f>IF(Таблица1[[#This Row],[ТТН]]&gt;0,Таблица1[[#This Row],[Ставка за ТТН]]*Таблица1[[#This Row],[ТТН]],0)</f>
        <v>0</v>
      </c>
    </row>
    <row r="2874" spans="1:21" x14ac:dyDescent="0.25">
      <c r="A2874" t="s">
        <v>84</v>
      </c>
      <c r="B2874" s="24">
        <v>10</v>
      </c>
      <c r="C2874" t="s">
        <v>184</v>
      </c>
      <c r="D2874" t="s">
        <v>32</v>
      </c>
      <c r="E2874" t="s">
        <v>216</v>
      </c>
      <c r="F2874" t="s">
        <v>31</v>
      </c>
      <c r="H2874" t="s">
        <v>10</v>
      </c>
      <c r="I2874" t="s">
        <v>219</v>
      </c>
      <c r="J2874">
        <v>11</v>
      </c>
      <c r="N2874">
        <f>Таблица1[[#This Row],[Часов на заказчика  в работе]]+Таблица1[[#This Row],[Часов на заказчика  дежурство]]</f>
        <v>0</v>
      </c>
      <c r="O28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4" s="9">
        <v>160000</v>
      </c>
      <c r="R2874" s="9"/>
      <c r="S2874" s="5">
        <v>1</v>
      </c>
      <c r="T28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табеле]])*S2874,0)</f>
        <v>5333.3333333333339</v>
      </c>
      <c r="U2874" s="5">
        <f>IF(Таблица1[[#This Row],[ТТН]]&gt;0,Таблица1[[#This Row],[Ставка за ТТН]]*Таблица1[[#This Row],[ТТН]],0)</f>
        <v>0</v>
      </c>
    </row>
    <row r="2875" spans="1:21" x14ac:dyDescent="0.25">
      <c r="A2875" t="s">
        <v>84</v>
      </c>
      <c r="B2875" s="24">
        <v>11</v>
      </c>
      <c r="C2875" t="s">
        <v>184</v>
      </c>
      <c r="D2875" t="s">
        <v>32</v>
      </c>
      <c r="E2875" t="s">
        <v>216</v>
      </c>
      <c r="F2875" t="s">
        <v>31</v>
      </c>
      <c r="H2875" t="s">
        <v>10</v>
      </c>
      <c r="I2875" t="s">
        <v>219</v>
      </c>
      <c r="J2875">
        <v>11</v>
      </c>
      <c r="N2875">
        <f>Таблица1[[#This Row],[Часов на заказчика  в работе]]+Таблица1[[#This Row],[Часов на заказчика  дежурство]]</f>
        <v>0</v>
      </c>
      <c r="O28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5" s="9">
        <v>160000</v>
      </c>
      <c r="R2875" s="9"/>
      <c r="S2875" s="5">
        <v>1</v>
      </c>
      <c r="T28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табеле]])*S2875,0)</f>
        <v>5333.3333333333339</v>
      </c>
      <c r="U2875" s="5">
        <f>IF(Таблица1[[#This Row],[ТТН]]&gt;0,Таблица1[[#This Row],[Ставка за ТТН]]*Таблица1[[#This Row],[ТТН]],0)</f>
        <v>0</v>
      </c>
    </row>
    <row r="2876" spans="1:21" x14ac:dyDescent="0.25">
      <c r="A2876" t="s">
        <v>84</v>
      </c>
      <c r="B2876" s="24">
        <v>12</v>
      </c>
      <c r="C2876" t="s">
        <v>184</v>
      </c>
      <c r="D2876" t="s">
        <v>32</v>
      </c>
      <c r="E2876" t="s">
        <v>216</v>
      </c>
      <c r="F2876" t="s">
        <v>31</v>
      </c>
      <c r="H2876" t="s">
        <v>10</v>
      </c>
      <c r="I2876" t="s">
        <v>219</v>
      </c>
      <c r="J2876">
        <v>11</v>
      </c>
      <c r="N2876">
        <f>Таблица1[[#This Row],[Часов на заказчика  в работе]]+Таблица1[[#This Row],[Часов на заказчика  дежурство]]</f>
        <v>0</v>
      </c>
      <c r="O28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6" s="9">
        <v>160000</v>
      </c>
      <c r="R2876" s="9"/>
      <c r="S2876" s="5">
        <v>1</v>
      </c>
      <c r="T28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табеле]])*S2876,0)</f>
        <v>5333.3333333333339</v>
      </c>
      <c r="U2876" s="5">
        <f>IF(Таблица1[[#This Row],[ТТН]]&gt;0,Таблица1[[#This Row],[Ставка за ТТН]]*Таблица1[[#This Row],[ТТН]],0)</f>
        <v>0</v>
      </c>
    </row>
    <row r="2877" spans="1:21" x14ac:dyDescent="0.25">
      <c r="A2877" t="s">
        <v>84</v>
      </c>
      <c r="B2877" s="24">
        <v>13</v>
      </c>
      <c r="C2877" t="s">
        <v>184</v>
      </c>
      <c r="D2877" t="s">
        <v>32</v>
      </c>
      <c r="E2877" t="s">
        <v>216</v>
      </c>
      <c r="F2877" t="s">
        <v>31</v>
      </c>
      <c r="H2877" t="s">
        <v>10</v>
      </c>
      <c r="I2877" t="s">
        <v>219</v>
      </c>
      <c r="J2877">
        <v>11</v>
      </c>
      <c r="N2877">
        <f>Таблица1[[#This Row],[Часов на заказчика  в работе]]+Таблица1[[#This Row],[Часов на заказчика  дежурство]]</f>
        <v>0</v>
      </c>
      <c r="O28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7" s="9">
        <v>160000</v>
      </c>
      <c r="R2877" s="9"/>
      <c r="S2877" s="5">
        <v>1</v>
      </c>
      <c r="T28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табеле]])*S2877,0)</f>
        <v>5333.3333333333339</v>
      </c>
      <c r="U2877" s="5">
        <f>IF(Таблица1[[#This Row],[ТТН]]&gt;0,Таблица1[[#This Row],[Ставка за ТТН]]*Таблица1[[#This Row],[ТТН]],0)</f>
        <v>0</v>
      </c>
    </row>
    <row r="2878" spans="1:21" x14ac:dyDescent="0.25">
      <c r="A2878" t="s">
        <v>84</v>
      </c>
      <c r="B2878" s="24">
        <v>14</v>
      </c>
      <c r="C2878" t="s">
        <v>184</v>
      </c>
      <c r="D2878" t="s">
        <v>32</v>
      </c>
      <c r="E2878" t="s">
        <v>216</v>
      </c>
      <c r="F2878" t="s">
        <v>31</v>
      </c>
      <c r="H2878" t="s">
        <v>10</v>
      </c>
      <c r="I2878" t="s">
        <v>219</v>
      </c>
      <c r="J2878">
        <v>11</v>
      </c>
      <c r="N2878">
        <f>Таблица1[[#This Row],[Часов на заказчика  в работе]]+Таблица1[[#This Row],[Часов на заказчика  дежурство]]</f>
        <v>0</v>
      </c>
      <c r="O28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8" s="9">
        <v>160000</v>
      </c>
      <c r="R2878" s="9"/>
      <c r="S2878" s="5">
        <v>1</v>
      </c>
      <c r="T28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табеле]])*S2878,0)</f>
        <v>5333.3333333333339</v>
      </c>
      <c r="U2878" s="5">
        <f>IF(Таблица1[[#This Row],[ТТН]]&gt;0,Таблица1[[#This Row],[Ставка за ТТН]]*Таблица1[[#This Row],[ТТН]],0)</f>
        <v>0</v>
      </c>
    </row>
    <row r="2879" spans="1:21" x14ac:dyDescent="0.25">
      <c r="A2879" t="s">
        <v>84</v>
      </c>
      <c r="B2879" s="24">
        <v>15</v>
      </c>
      <c r="C2879" t="s">
        <v>184</v>
      </c>
      <c r="D2879" t="s">
        <v>32</v>
      </c>
      <c r="E2879" t="s">
        <v>216</v>
      </c>
      <c r="F2879" t="s">
        <v>31</v>
      </c>
      <c r="H2879" t="s">
        <v>10</v>
      </c>
      <c r="I2879" t="s">
        <v>219</v>
      </c>
      <c r="J2879">
        <v>11</v>
      </c>
      <c r="N2879">
        <f>Таблица1[[#This Row],[Часов на заказчика  в работе]]+Таблица1[[#This Row],[Часов на заказчика  дежурство]]</f>
        <v>0</v>
      </c>
      <c r="O28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79" s="9">
        <v>160000</v>
      </c>
      <c r="R2879" s="9"/>
      <c r="S2879" s="5">
        <v>1</v>
      </c>
      <c r="T28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табеле]])*S2879,0)</f>
        <v>5333.3333333333339</v>
      </c>
      <c r="U2879" s="5">
        <f>IF(Таблица1[[#This Row],[ТТН]]&gt;0,Таблица1[[#This Row],[Ставка за ТТН]]*Таблица1[[#This Row],[ТТН]],0)</f>
        <v>0</v>
      </c>
    </row>
    <row r="2880" spans="1:21" x14ac:dyDescent="0.25">
      <c r="A2880" t="s">
        <v>84</v>
      </c>
      <c r="B2880" s="24">
        <v>16</v>
      </c>
      <c r="C2880" t="s">
        <v>184</v>
      </c>
      <c r="D2880" t="s">
        <v>32</v>
      </c>
      <c r="E2880" t="s">
        <v>216</v>
      </c>
      <c r="F2880" t="s">
        <v>31</v>
      </c>
      <c r="H2880" t="s">
        <v>10</v>
      </c>
      <c r="I2880" t="s">
        <v>219</v>
      </c>
      <c r="J2880">
        <v>11</v>
      </c>
      <c r="N2880">
        <f>Таблица1[[#This Row],[Часов на заказчика  в работе]]+Таблица1[[#This Row],[Часов на заказчика  дежурство]]</f>
        <v>0</v>
      </c>
      <c r="O28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0" s="9">
        <v>160000</v>
      </c>
      <c r="R2880" s="9"/>
      <c r="S2880" s="5">
        <v>1</v>
      </c>
      <c r="T28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табеле]])*S2880,0)</f>
        <v>5333.3333333333339</v>
      </c>
      <c r="U2880" s="5">
        <f>IF(Таблица1[[#This Row],[ТТН]]&gt;0,Таблица1[[#This Row],[Ставка за ТТН]]*Таблица1[[#This Row],[ТТН]],0)</f>
        <v>0</v>
      </c>
    </row>
    <row r="2881" spans="1:21" x14ac:dyDescent="0.25">
      <c r="A2881" t="s">
        <v>84</v>
      </c>
      <c r="B2881" s="24">
        <v>17</v>
      </c>
      <c r="C2881" t="s">
        <v>184</v>
      </c>
      <c r="D2881" t="s">
        <v>32</v>
      </c>
      <c r="E2881" t="s">
        <v>216</v>
      </c>
      <c r="F2881" t="s">
        <v>31</v>
      </c>
      <c r="H2881" t="s">
        <v>10</v>
      </c>
      <c r="I2881" t="s">
        <v>219</v>
      </c>
      <c r="J2881">
        <v>11</v>
      </c>
      <c r="N2881">
        <f>Таблица1[[#This Row],[Часов на заказчика  в работе]]+Таблица1[[#This Row],[Часов на заказчика  дежурство]]</f>
        <v>0</v>
      </c>
      <c r="O28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1" s="9">
        <v>160000</v>
      </c>
      <c r="R2881" s="9"/>
      <c r="S2881" s="5">
        <v>1</v>
      </c>
      <c r="T28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табеле]])*S2881,0)</f>
        <v>5333.3333333333339</v>
      </c>
      <c r="U2881" s="5">
        <f>IF(Таблица1[[#This Row],[ТТН]]&gt;0,Таблица1[[#This Row],[Ставка за ТТН]]*Таблица1[[#This Row],[ТТН]],0)</f>
        <v>0</v>
      </c>
    </row>
    <row r="2882" spans="1:21" x14ac:dyDescent="0.25">
      <c r="A2882" t="s">
        <v>84</v>
      </c>
      <c r="B2882" s="24">
        <v>18</v>
      </c>
      <c r="C2882" t="s">
        <v>184</v>
      </c>
      <c r="D2882" t="s">
        <v>32</v>
      </c>
      <c r="E2882" t="s">
        <v>216</v>
      </c>
      <c r="F2882" t="s">
        <v>31</v>
      </c>
      <c r="H2882" t="s">
        <v>10</v>
      </c>
      <c r="I2882" t="s">
        <v>219</v>
      </c>
      <c r="J2882">
        <v>11</v>
      </c>
      <c r="N2882">
        <f>Таблица1[[#This Row],[Часов на заказчика  в работе]]+Таблица1[[#This Row],[Часов на заказчика  дежурство]]</f>
        <v>0</v>
      </c>
      <c r="O28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2" s="9">
        <v>160000</v>
      </c>
      <c r="R2882" s="9"/>
      <c r="S2882" s="5">
        <v>1</v>
      </c>
      <c r="T28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табеле]])*S2882,0)</f>
        <v>5333.3333333333339</v>
      </c>
      <c r="U2882" s="5">
        <f>IF(Таблица1[[#This Row],[ТТН]]&gt;0,Таблица1[[#This Row],[Ставка за ТТН]]*Таблица1[[#This Row],[ТТН]],0)</f>
        <v>0</v>
      </c>
    </row>
    <row r="2883" spans="1:21" x14ac:dyDescent="0.25">
      <c r="A2883" t="s">
        <v>84</v>
      </c>
      <c r="B2883" s="24">
        <v>19</v>
      </c>
      <c r="C2883" t="s">
        <v>184</v>
      </c>
      <c r="D2883" t="s">
        <v>32</v>
      </c>
      <c r="E2883" t="s">
        <v>216</v>
      </c>
      <c r="F2883" t="s">
        <v>31</v>
      </c>
      <c r="H2883" t="s">
        <v>10</v>
      </c>
      <c r="I2883" t="s">
        <v>219</v>
      </c>
      <c r="J2883">
        <v>11</v>
      </c>
      <c r="N2883">
        <f>Таблица1[[#This Row],[Часов на заказчика  в работе]]+Таблица1[[#This Row],[Часов на заказчика  дежурство]]</f>
        <v>0</v>
      </c>
      <c r="O28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3" s="9">
        <v>160000</v>
      </c>
      <c r="R2883" s="9"/>
      <c r="S2883" s="5">
        <v>1</v>
      </c>
      <c r="T28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табеле]])*S2883,0)</f>
        <v>5333.3333333333339</v>
      </c>
      <c r="U2883" s="5">
        <f>IF(Таблица1[[#This Row],[ТТН]]&gt;0,Таблица1[[#This Row],[Ставка за ТТН]]*Таблица1[[#This Row],[ТТН]],0)</f>
        <v>0</v>
      </c>
    </row>
    <row r="2884" spans="1:21" x14ac:dyDescent="0.25">
      <c r="A2884" t="s">
        <v>84</v>
      </c>
      <c r="B2884" s="24">
        <v>20</v>
      </c>
      <c r="C2884" t="s">
        <v>184</v>
      </c>
      <c r="D2884" t="s">
        <v>32</v>
      </c>
      <c r="E2884" t="s">
        <v>216</v>
      </c>
      <c r="F2884" t="s">
        <v>31</v>
      </c>
      <c r="H2884" t="s">
        <v>10</v>
      </c>
      <c r="I2884" t="s">
        <v>219</v>
      </c>
      <c r="J2884">
        <v>11</v>
      </c>
      <c r="N2884">
        <f>Таблица1[[#This Row],[Часов на заказчика  в работе]]+Таблица1[[#This Row],[Часов на заказчика  дежурство]]</f>
        <v>0</v>
      </c>
      <c r="O28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4" s="9">
        <v>160000</v>
      </c>
      <c r="R2884" s="9"/>
      <c r="S2884" s="5">
        <v>1</v>
      </c>
      <c r="T28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табеле]])*S2884,0)</f>
        <v>5333.3333333333339</v>
      </c>
      <c r="U2884" s="5">
        <f>IF(Таблица1[[#This Row],[ТТН]]&gt;0,Таблица1[[#This Row],[Ставка за ТТН]]*Таблица1[[#This Row],[ТТН]],0)</f>
        <v>0</v>
      </c>
    </row>
    <row r="2885" spans="1:21" x14ac:dyDescent="0.25">
      <c r="A2885" t="s">
        <v>84</v>
      </c>
      <c r="B2885" s="24">
        <v>21</v>
      </c>
      <c r="C2885" t="s">
        <v>184</v>
      </c>
      <c r="D2885" t="s">
        <v>32</v>
      </c>
      <c r="E2885" t="s">
        <v>216</v>
      </c>
      <c r="F2885" t="s">
        <v>31</v>
      </c>
      <c r="H2885" t="s">
        <v>10</v>
      </c>
      <c r="I2885" t="s">
        <v>221</v>
      </c>
      <c r="J2885">
        <v>11</v>
      </c>
      <c r="L2885">
        <v>11</v>
      </c>
      <c r="N2885">
        <f>Таблица1[[#This Row],[Часов на заказчика  в работе]]+Таблица1[[#This Row],[Часов на заказчика  дежурство]]</f>
        <v>11</v>
      </c>
      <c r="O28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5" s="9">
        <v>160000</v>
      </c>
      <c r="R2885" s="9"/>
      <c r="S2885" s="5">
        <v>1</v>
      </c>
      <c r="T28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табеле]])*S2885,0)</f>
        <v>5333.3333333333339</v>
      </c>
      <c r="U2885" s="5">
        <f>IF(Таблица1[[#This Row],[ТТН]]&gt;0,Таблица1[[#This Row],[Ставка за ТТН]]*Таблица1[[#This Row],[ТТН]],0)</f>
        <v>0</v>
      </c>
    </row>
    <row r="2886" spans="1:21" x14ac:dyDescent="0.25">
      <c r="A2886" t="s">
        <v>84</v>
      </c>
      <c r="B2886" s="24">
        <v>22</v>
      </c>
      <c r="C2886" t="s">
        <v>184</v>
      </c>
      <c r="D2886" t="s">
        <v>32</v>
      </c>
      <c r="E2886" t="s">
        <v>216</v>
      </c>
      <c r="F2886" t="s">
        <v>31</v>
      </c>
      <c r="H2886" t="s">
        <v>10</v>
      </c>
      <c r="I2886" t="s">
        <v>221</v>
      </c>
      <c r="J2886">
        <v>11</v>
      </c>
      <c r="L2886">
        <v>11</v>
      </c>
      <c r="N2886">
        <f>Таблица1[[#This Row],[Часов на заказчика  в работе]]+Таблица1[[#This Row],[Часов на заказчика  дежурство]]</f>
        <v>11</v>
      </c>
      <c r="O28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6" s="9">
        <v>160000</v>
      </c>
      <c r="R2886" s="9"/>
      <c r="S2886" s="5">
        <v>1</v>
      </c>
      <c r="T28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табеле]])*S2886,0)</f>
        <v>5333.3333333333339</v>
      </c>
      <c r="U2886" s="5">
        <f>IF(Таблица1[[#This Row],[ТТН]]&gt;0,Таблица1[[#This Row],[Ставка за ТТН]]*Таблица1[[#This Row],[ТТН]],0)</f>
        <v>0</v>
      </c>
    </row>
    <row r="2887" spans="1:21" x14ac:dyDescent="0.25">
      <c r="A2887" t="s">
        <v>84</v>
      </c>
      <c r="B2887" s="24">
        <v>23</v>
      </c>
      <c r="C2887" t="s">
        <v>184</v>
      </c>
      <c r="D2887" t="s">
        <v>32</v>
      </c>
      <c r="E2887" t="s">
        <v>216</v>
      </c>
      <c r="F2887" t="s">
        <v>31</v>
      </c>
      <c r="H2887" t="s">
        <v>10</v>
      </c>
      <c r="I2887" t="s">
        <v>221</v>
      </c>
      <c r="J2887">
        <v>11</v>
      </c>
      <c r="L2887">
        <v>11</v>
      </c>
      <c r="N2887">
        <f>Таблица1[[#This Row],[Часов на заказчика  в работе]]+Таблица1[[#This Row],[Часов на заказчика  дежурство]]</f>
        <v>11</v>
      </c>
      <c r="O28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7" s="9">
        <v>160000</v>
      </c>
      <c r="R2887" s="9"/>
      <c r="S2887" s="5">
        <v>1</v>
      </c>
      <c r="T28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табеле]])*S2887,0)</f>
        <v>5333.3333333333339</v>
      </c>
      <c r="U2887" s="5">
        <f>IF(Таблица1[[#This Row],[ТТН]]&gt;0,Таблица1[[#This Row],[Ставка за ТТН]]*Таблица1[[#This Row],[ТТН]],0)</f>
        <v>0</v>
      </c>
    </row>
    <row r="2888" spans="1:21" x14ac:dyDescent="0.25">
      <c r="A2888" t="s">
        <v>84</v>
      </c>
      <c r="B2888" s="24">
        <v>24</v>
      </c>
      <c r="C2888" t="s">
        <v>184</v>
      </c>
      <c r="D2888" t="s">
        <v>32</v>
      </c>
      <c r="E2888" t="s">
        <v>216</v>
      </c>
      <c r="F2888" t="s">
        <v>31</v>
      </c>
      <c r="H2888" t="s">
        <v>10</v>
      </c>
      <c r="I2888" t="s">
        <v>221</v>
      </c>
      <c r="J2888">
        <v>11</v>
      </c>
      <c r="L2888">
        <v>11</v>
      </c>
      <c r="N2888">
        <f>Таблица1[[#This Row],[Часов на заказчика  в работе]]+Таблица1[[#This Row],[Часов на заказчика  дежурство]]</f>
        <v>11</v>
      </c>
      <c r="O28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8" s="9">
        <v>160000</v>
      </c>
      <c r="R2888" s="9"/>
      <c r="S2888" s="5">
        <v>1</v>
      </c>
      <c r="T28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табеле]])*S2888,0)</f>
        <v>5333.3333333333339</v>
      </c>
      <c r="U2888" s="5">
        <f>IF(Таблица1[[#This Row],[ТТН]]&gt;0,Таблица1[[#This Row],[Ставка за ТТН]]*Таблица1[[#This Row],[ТТН]],0)</f>
        <v>0</v>
      </c>
    </row>
    <row r="2889" spans="1:21" x14ac:dyDescent="0.25">
      <c r="A2889" t="s">
        <v>84</v>
      </c>
      <c r="B2889" s="24">
        <v>25</v>
      </c>
      <c r="C2889" t="s">
        <v>184</v>
      </c>
      <c r="D2889" t="s">
        <v>32</v>
      </c>
      <c r="E2889" t="s">
        <v>216</v>
      </c>
      <c r="F2889" t="s">
        <v>31</v>
      </c>
      <c r="H2889" t="s">
        <v>10</v>
      </c>
      <c r="I2889" t="s">
        <v>221</v>
      </c>
      <c r="J2889">
        <v>11</v>
      </c>
      <c r="L2889">
        <v>11</v>
      </c>
      <c r="N2889">
        <f>Таблица1[[#This Row],[Часов на заказчика  в работе]]+Таблица1[[#This Row],[Часов на заказчика  дежурство]]</f>
        <v>11</v>
      </c>
      <c r="O28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89" s="9">
        <v>160000</v>
      </c>
      <c r="R2889" s="9"/>
      <c r="S2889" s="5">
        <v>1</v>
      </c>
      <c r="T28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табеле]])*S2889,0)</f>
        <v>5333.3333333333339</v>
      </c>
      <c r="U2889" s="5">
        <f>IF(Таблица1[[#This Row],[ТТН]]&gt;0,Таблица1[[#This Row],[Ставка за ТТН]]*Таблица1[[#This Row],[ТТН]],0)</f>
        <v>0</v>
      </c>
    </row>
    <row r="2890" spans="1:21" x14ac:dyDescent="0.25">
      <c r="A2890" t="s">
        <v>84</v>
      </c>
      <c r="B2890" s="24">
        <v>26</v>
      </c>
      <c r="C2890" t="s">
        <v>184</v>
      </c>
      <c r="D2890" t="s">
        <v>32</v>
      </c>
      <c r="E2890" t="s">
        <v>216</v>
      </c>
      <c r="F2890" t="s">
        <v>31</v>
      </c>
      <c r="H2890" t="s">
        <v>10</v>
      </c>
      <c r="I2890" t="s">
        <v>221</v>
      </c>
      <c r="J2890">
        <v>11</v>
      </c>
      <c r="L2890">
        <v>11</v>
      </c>
      <c r="N2890">
        <f>Таблица1[[#This Row],[Часов на заказчика  в работе]]+Таблица1[[#This Row],[Часов на заказчика  дежурство]]</f>
        <v>11</v>
      </c>
      <c r="O28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0" s="9">
        <v>160000</v>
      </c>
      <c r="R2890" s="9"/>
      <c r="S2890" s="5">
        <v>1</v>
      </c>
      <c r="T28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табеле]])*S2890,0)</f>
        <v>5333.3333333333339</v>
      </c>
      <c r="U2890" s="5">
        <f>IF(Таблица1[[#This Row],[ТТН]]&gt;0,Таблица1[[#This Row],[Ставка за ТТН]]*Таблица1[[#This Row],[ТТН]],0)</f>
        <v>0</v>
      </c>
    </row>
    <row r="2891" spans="1:21" x14ac:dyDescent="0.25">
      <c r="A2891" t="s">
        <v>84</v>
      </c>
      <c r="B2891" s="24">
        <v>27</v>
      </c>
      <c r="C2891" t="s">
        <v>184</v>
      </c>
      <c r="D2891" t="s">
        <v>32</v>
      </c>
      <c r="E2891" t="s">
        <v>216</v>
      </c>
      <c r="F2891" t="s">
        <v>31</v>
      </c>
      <c r="H2891" t="s">
        <v>10</v>
      </c>
      <c r="I2891" t="s">
        <v>221</v>
      </c>
      <c r="J2891">
        <v>11</v>
      </c>
      <c r="L2891">
        <v>11</v>
      </c>
      <c r="N2891">
        <f>Таблица1[[#This Row],[Часов на заказчика  в работе]]+Таблица1[[#This Row],[Часов на заказчика  дежурство]]</f>
        <v>11</v>
      </c>
      <c r="O28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1" s="9">
        <v>160000</v>
      </c>
      <c r="R2891" s="9"/>
      <c r="S2891" s="5">
        <v>1</v>
      </c>
      <c r="T28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табеле]])*S2891,0)</f>
        <v>5333.3333333333339</v>
      </c>
      <c r="U2891" s="5">
        <f>IF(Таблица1[[#This Row],[ТТН]]&gt;0,Таблица1[[#This Row],[Ставка за ТТН]]*Таблица1[[#This Row],[ТТН]],0)</f>
        <v>0</v>
      </c>
    </row>
    <row r="2892" spans="1:21" x14ac:dyDescent="0.25">
      <c r="A2892" t="s">
        <v>84</v>
      </c>
      <c r="B2892" s="24">
        <v>28</v>
      </c>
      <c r="C2892" t="s">
        <v>184</v>
      </c>
      <c r="D2892" t="s">
        <v>32</v>
      </c>
      <c r="E2892" t="s">
        <v>216</v>
      </c>
      <c r="F2892" t="s">
        <v>31</v>
      </c>
      <c r="H2892" t="s">
        <v>10</v>
      </c>
      <c r="I2892" t="s">
        <v>221</v>
      </c>
      <c r="J2892">
        <v>11</v>
      </c>
      <c r="L2892">
        <v>11</v>
      </c>
      <c r="N2892">
        <f>Таблица1[[#This Row],[Часов на заказчика  в работе]]+Таблица1[[#This Row],[Часов на заказчика  дежурство]]</f>
        <v>11</v>
      </c>
      <c r="O28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2" s="9">
        <v>160000</v>
      </c>
      <c r="R2892" s="9"/>
      <c r="S2892" s="5">
        <v>1</v>
      </c>
      <c r="T28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табеле]])*S2892,0)</f>
        <v>5333.3333333333339</v>
      </c>
      <c r="U2892" s="5">
        <f>IF(Таблица1[[#This Row],[ТТН]]&gt;0,Таблица1[[#This Row],[Ставка за ТТН]]*Таблица1[[#This Row],[ТТН]],0)</f>
        <v>0</v>
      </c>
    </row>
    <row r="2893" spans="1:21" x14ac:dyDescent="0.25">
      <c r="A2893" t="s">
        <v>84</v>
      </c>
      <c r="B2893" s="24">
        <v>29</v>
      </c>
      <c r="C2893" t="s">
        <v>184</v>
      </c>
      <c r="D2893" t="s">
        <v>32</v>
      </c>
      <c r="E2893" t="s">
        <v>216</v>
      </c>
      <c r="F2893" t="s">
        <v>31</v>
      </c>
      <c r="H2893" t="s">
        <v>10</v>
      </c>
      <c r="I2893" t="s">
        <v>221</v>
      </c>
      <c r="J2893">
        <v>11</v>
      </c>
      <c r="L2893">
        <v>11</v>
      </c>
      <c r="N2893">
        <f>Таблица1[[#This Row],[Часов на заказчика  в работе]]+Таблица1[[#This Row],[Часов на заказчика  дежурство]]</f>
        <v>11</v>
      </c>
      <c r="O28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3" s="9">
        <v>160000</v>
      </c>
      <c r="R2893" s="9"/>
      <c r="S2893" s="5">
        <v>1</v>
      </c>
      <c r="T28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табеле]])*S2893,0)</f>
        <v>5333.3333333333339</v>
      </c>
      <c r="U2893" s="5">
        <f>IF(Таблица1[[#This Row],[ТТН]]&gt;0,Таблица1[[#This Row],[Ставка за ТТН]]*Таблица1[[#This Row],[ТТН]],0)</f>
        <v>0</v>
      </c>
    </row>
    <row r="2894" spans="1:21" x14ac:dyDescent="0.25">
      <c r="A2894" t="s">
        <v>84</v>
      </c>
      <c r="B2894" s="24">
        <v>30</v>
      </c>
      <c r="C2894" t="s">
        <v>185</v>
      </c>
      <c r="D2894" t="s">
        <v>32</v>
      </c>
      <c r="E2894" t="s">
        <v>216</v>
      </c>
      <c r="F2894" t="s">
        <v>31</v>
      </c>
      <c r="H2894" t="s">
        <v>10</v>
      </c>
      <c r="I2894" t="s">
        <v>221</v>
      </c>
      <c r="J2894">
        <v>11</v>
      </c>
      <c r="L2894">
        <v>11</v>
      </c>
      <c r="N2894">
        <f>Таблица1[[#This Row],[Часов на заказчика  в работе]]+Таблица1[[#This Row],[Часов на заказчика  дежурство]]</f>
        <v>11</v>
      </c>
      <c r="O28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4" s="9">
        <v>160000</v>
      </c>
      <c r="R2894" s="9"/>
      <c r="S2894" s="5">
        <v>1</v>
      </c>
      <c r="T28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табеле]])*S2894,0)</f>
        <v>5333.3333333333339</v>
      </c>
      <c r="U2894" s="5">
        <f>IF(Таблица1[[#This Row],[ТТН]]&gt;0,Таблица1[[#This Row],[Ставка за ТТН]]*Таблица1[[#This Row],[ТТН]],0)</f>
        <v>0</v>
      </c>
    </row>
    <row r="2895" spans="1:21" x14ac:dyDescent="0.25">
      <c r="A2895" t="s">
        <v>84</v>
      </c>
      <c r="B2895" s="24">
        <v>1</v>
      </c>
      <c r="C2895" t="s">
        <v>185</v>
      </c>
      <c r="D2895" t="s">
        <v>12</v>
      </c>
      <c r="E2895" t="s">
        <v>216</v>
      </c>
      <c r="F2895" t="s">
        <v>66</v>
      </c>
      <c r="H2895" t="s">
        <v>10</v>
      </c>
      <c r="I2895" t="s">
        <v>220</v>
      </c>
      <c r="J2895">
        <v>11</v>
      </c>
      <c r="L2895">
        <v>11</v>
      </c>
      <c r="N2895">
        <f>Таблица1[[#This Row],[Часов на заказчика  в работе]]+Таблица1[[#This Row],[Часов на заказчика  дежурство]]</f>
        <v>11</v>
      </c>
      <c r="O28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5" s="9">
        <v>135000</v>
      </c>
      <c r="R2895" s="9"/>
      <c r="S2895" s="5">
        <v>1</v>
      </c>
      <c r="T28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табеле]])*S2895,0)</f>
        <v>4500</v>
      </c>
      <c r="U2895" s="5">
        <f>IF(Таблица1[[#This Row],[ТТН]]&gt;0,Таблица1[[#This Row],[Ставка за ТТН]]*Таблица1[[#This Row],[ТТН]],0)</f>
        <v>0</v>
      </c>
    </row>
    <row r="2896" spans="1:21" x14ac:dyDescent="0.25">
      <c r="A2896" t="s">
        <v>84</v>
      </c>
      <c r="B2896" s="24">
        <v>2</v>
      </c>
      <c r="C2896" t="s">
        <v>185</v>
      </c>
      <c r="D2896" t="s">
        <v>12</v>
      </c>
      <c r="E2896" t="s">
        <v>216</v>
      </c>
      <c r="F2896" t="s">
        <v>66</v>
      </c>
      <c r="H2896" t="s">
        <v>10</v>
      </c>
      <c r="I2896" t="s">
        <v>220</v>
      </c>
      <c r="J2896">
        <v>11</v>
      </c>
      <c r="L2896">
        <v>11</v>
      </c>
      <c r="N2896">
        <f>Таблица1[[#This Row],[Часов на заказчика  в работе]]+Таблица1[[#This Row],[Часов на заказчика  дежурство]]</f>
        <v>11</v>
      </c>
      <c r="O28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6" s="9">
        <v>135000</v>
      </c>
      <c r="R2896" s="9"/>
      <c r="S2896" s="5">
        <v>1</v>
      </c>
      <c r="T28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табеле]])*S2896,0)</f>
        <v>4500</v>
      </c>
      <c r="U2896" s="5">
        <f>IF(Таблица1[[#This Row],[ТТН]]&gt;0,Таблица1[[#This Row],[Ставка за ТТН]]*Таблица1[[#This Row],[ТТН]],0)</f>
        <v>0</v>
      </c>
    </row>
    <row r="2897" spans="1:21" x14ac:dyDescent="0.25">
      <c r="A2897" t="s">
        <v>84</v>
      </c>
      <c r="B2897" s="24">
        <v>3</v>
      </c>
      <c r="C2897" t="s">
        <v>185</v>
      </c>
      <c r="D2897" t="s">
        <v>12</v>
      </c>
      <c r="E2897" t="s">
        <v>216</v>
      </c>
      <c r="F2897" t="s">
        <v>66</v>
      </c>
      <c r="H2897" t="s">
        <v>10</v>
      </c>
      <c r="I2897" t="s">
        <v>220</v>
      </c>
      <c r="J2897">
        <v>11</v>
      </c>
      <c r="L2897">
        <v>11</v>
      </c>
      <c r="N2897">
        <f>Таблица1[[#This Row],[Часов на заказчика  в работе]]+Таблица1[[#This Row],[Часов на заказчика  дежурство]]</f>
        <v>11</v>
      </c>
      <c r="O28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7" s="9">
        <v>135000</v>
      </c>
      <c r="R2897" s="9"/>
      <c r="S2897" s="5">
        <v>1</v>
      </c>
      <c r="T28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табеле]])*S2897,0)</f>
        <v>4500</v>
      </c>
      <c r="U2897" s="5">
        <f>IF(Таблица1[[#This Row],[ТТН]]&gt;0,Таблица1[[#This Row],[Ставка за ТТН]]*Таблица1[[#This Row],[ТТН]],0)</f>
        <v>0</v>
      </c>
    </row>
    <row r="2898" spans="1:21" x14ac:dyDescent="0.25">
      <c r="A2898" t="s">
        <v>84</v>
      </c>
      <c r="B2898" s="24">
        <v>4</v>
      </c>
      <c r="C2898" t="s">
        <v>185</v>
      </c>
      <c r="D2898" t="s">
        <v>12</v>
      </c>
      <c r="E2898" t="s">
        <v>216</v>
      </c>
      <c r="F2898" t="s">
        <v>66</v>
      </c>
      <c r="H2898" t="s">
        <v>10</v>
      </c>
      <c r="I2898" t="s">
        <v>220</v>
      </c>
      <c r="J2898">
        <v>22</v>
      </c>
      <c r="L2898">
        <v>22</v>
      </c>
      <c r="N2898">
        <f>Таблица1[[#This Row],[Часов на заказчика  в работе]]+Таблица1[[#This Row],[Часов на заказчика  дежурство]]</f>
        <v>22</v>
      </c>
      <c r="O28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8" s="9">
        <v>135000</v>
      </c>
      <c r="R2898" s="9"/>
      <c r="S2898" s="5">
        <v>1</v>
      </c>
      <c r="T28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табеле]])*S2898,0)</f>
        <v>9000</v>
      </c>
      <c r="U2898" s="5">
        <f>IF(Таблица1[[#This Row],[ТТН]]&gt;0,Таблица1[[#This Row],[Ставка за ТТН]]*Таблица1[[#This Row],[ТТН]],0)</f>
        <v>0</v>
      </c>
    </row>
    <row r="2899" spans="1:21" x14ac:dyDescent="0.25">
      <c r="A2899" t="s">
        <v>84</v>
      </c>
      <c r="B2899" s="24">
        <v>5</v>
      </c>
      <c r="C2899" t="s">
        <v>185</v>
      </c>
      <c r="D2899" t="s">
        <v>12</v>
      </c>
      <c r="E2899" t="s">
        <v>216</v>
      </c>
      <c r="F2899" t="s">
        <v>66</v>
      </c>
      <c r="H2899" t="s">
        <v>10</v>
      </c>
      <c r="I2899" t="s">
        <v>220</v>
      </c>
      <c r="J2899">
        <v>11</v>
      </c>
      <c r="L2899">
        <v>11</v>
      </c>
      <c r="N2899">
        <f>Таблица1[[#This Row],[Часов на заказчика  в работе]]+Таблица1[[#This Row],[Часов на заказчика  дежурство]]</f>
        <v>11</v>
      </c>
      <c r="O28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899" s="9">
        <v>135000</v>
      </c>
      <c r="R2899" s="9"/>
      <c r="S2899" s="5">
        <v>1</v>
      </c>
      <c r="T28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табеле]])*S2899,0)</f>
        <v>4500</v>
      </c>
      <c r="U2899" s="5">
        <f>IF(Таблица1[[#This Row],[ТТН]]&gt;0,Таблица1[[#This Row],[Ставка за ТТН]]*Таблица1[[#This Row],[ТТН]],0)</f>
        <v>0</v>
      </c>
    </row>
    <row r="2900" spans="1:21" x14ac:dyDescent="0.25">
      <c r="A2900" t="s">
        <v>84</v>
      </c>
      <c r="B2900" s="24">
        <v>6</v>
      </c>
      <c r="C2900" t="s">
        <v>185</v>
      </c>
      <c r="D2900" t="s">
        <v>12</v>
      </c>
      <c r="E2900" t="s">
        <v>216</v>
      </c>
      <c r="F2900" t="s">
        <v>66</v>
      </c>
      <c r="H2900" t="s">
        <v>10</v>
      </c>
      <c r="I2900" t="s">
        <v>220</v>
      </c>
      <c r="J2900">
        <v>11</v>
      </c>
      <c r="L2900">
        <v>11</v>
      </c>
      <c r="N2900">
        <f>Таблица1[[#This Row],[Часов на заказчика  в работе]]+Таблица1[[#This Row],[Часов на заказчика  дежурство]]</f>
        <v>11</v>
      </c>
      <c r="O29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0" s="9">
        <v>135000</v>
      </c>
      <c r="R2900" s="9"/>
      <c r="S2900" s="5">
        <v>1</v>
      </c>
      <c r="T29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табеле]])*S2900,0)</f>
        <v>4500</v>
      </c>
      <c r="U2900" s="5">
        <f>IF(Таблица1[[#This Row],[ТТН]]&gt;0,Таблица1[[#This Row],[Ставка за ТТН]]*Таблица1[[#This Row],[ТТН]],0)</f>
        <v>0</v>
      </c>
    </row>
    <row r="2901" spans="1:21" x14ac:dyDescent="0.25">
      <c r="A2901" t="s">
        <v>84</v>
      </c>
      <c r="B2901" s="24">
        <v>7</v>
      </c>
      <c r="C2901" t="s">
        <v>185</v>
      </c>
      <c r="D2901" t="s">
        <v>12</v>
      </c>
      <c r="E2901" t="s">
        <v>216</v>
      </c>
      <c r="F2901" t="s">
        <v>66</v>
      </c>
      <c r="H2901" t="s">
        <v>10</v>
      </c>
      <c r="I2901" t="s">
        <v>220</v>
      </c>
      <c r="J2901">
        <v>11</v>
      </c>
      <c r="L2901">
        <v>11</v>
      </c>
      <c r="N2901">
        <f>Таблица1[[#This Row],[Часов на заказчика  в работе]]+Таблица1[[#This Row],[Часов на заказчика  дежурство]]</f>
        <v>11</v>
      </c>
      <c r="O29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1" s="9">
        <v>135000</v>
      </c>
      <c r="R2901" s="9"/>
      <c r="S2901" s="5">
        <v>1</v>
      </c>
      <c r="T29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табеле]])*S2901,0)</f>
        <v>4500</v>
      </c>
      <c r="U2901" s="5">
        <f>IF(Таблица1[[#This Row],[ТТН]]&gt;0,Таблица1[[#This Row],[Ставка за ТТН]]*Таблица1[[#This Row],[ТТН]],0)</f>
        <v>0</v>
      </c>
    </row>
    <row r="2902" spans="1:21" x14ac:dyDescent="0.25">
      <c r="A2902" t="s">
        <v>84</v>
      </c>
      <c r="B2902" s="24">
        <v>8</v>
      </c>
      <c r="C2902" t="s">
        <v>185</v>
      </c>
      <c r="D2902" t="s">
        <v>12</v>
      </c>
      <c r="E2902" t="s">
        <v>216</v>
      </c>
      <c r="F2902" t="s">
        <v>66</v>
      </c>
      <c r="H2902" t="s">
        <v>10</v>
      </c>
      <c r="I2902" t="s">
        <v>220</v>
      </c>
      <c r="J2902">
        <v>11</v>
      </c>
      <c r="L2902">
        <v>11</v>
      </c>
      <c r="N2902">
        <f>Таблица1[[#This Row],[Часов на заказчика  в работе]]+Таблица1[[#This Row],[Часов на заказчика  дежурство]]</f>
        <v>11</v>
      </c>
      <c r="O29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2" s="9">
        <v>135000</v>
      </c>
      <c r="R2902" s="9"/>
      <c r="S2902" s="5">
        <v>1</v>
      </c>
      <c r="T29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табеле]])*S2902,0)</f>
        <v>4500</v>
      </c>
      <c r="U2902" s="5">
        <f>IF(Таблица1[[#This Row],[ТТН]]&gt;0,Таблица1[[#This Row],[Ставка за ТТН]]*Таблица1[[#This Row],[ТТН]],0)</f>
        <v>0</v>
      </c>
    </row>
    <row r="2903" spans="1:21" x14ac:dyDescent="0.25">
      <c r="A2903" t="s">
        <v>84</v>
      </c>
      <c r="B2903" s="24">
        <v>9</v>
      </c>
      <c r="C2903" t="s">
        <v>185</v>
      </c>
      <c r="D2903" t="s">
        <v>12</v>
      </c>
      <c r="E2903" t="s">
        <v>216</v>
      </c>
      <c r="F2903" t="s">
        <v>66</v>
      </c>
      <c r="H2903" t="s">
        <v>10</v>
      </c>
      <c r="I2903" t="s">
        <v>220</v>
      </c>
      <c r="J2903">
        <v>11</v>
      </c>
      <c r="L2903">
        <v>11</v>
      </c>
      <c r="N2903">
        <f>Таблица1[[#This Row],[Часов на заказчика  в работе]]+Таблица1[[#This Row],[Часов на заказчика  дежурство]]</f>
        <v>11</v>
      </c>
      <c r="O29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3" s="9">
        <v>135000</v>
      </c>
      <c r="R2903" s="9"/>
      <c r="S2903" s="5">
        <v>1</v>
      </c>
      <c r="T29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табеле]])*S2903,0)</f>
        <v>4500</v>
      </c>
      <c r="U2903" s="5">
        <f>IF(Таблица1[[#This Row],[ТТН]]&gt;0,Таблица1[[#This Row],[Ставка за ТТН]]*Таблица1[[#This Row],[ТТН]],0)</f>
        <v>0</v>
      </c>
    </row>
    <row r="2904" spans="1:21" x14ac:dyDescent="0.25">
      <c r="A2904" t="s">
        <v>84</v>
      </c>
      <c r="B2904" s="24">
        <v>10</v>
      </c>
      <c r="C2904" t="s">
        <v>185</v>
      </c>
      <c r="D2904" t="s">
        <v>12</v>
      </c>
      <c r="E2904" t="s">
        <v>216</v>
      </c>
      <c r="F2904" t="s">
        <v>66</v>
      </c>
      <c r="H2904" t="s">
        <v>10</v>
      </c>
      <c r="I2904" t="s">
        <v>220</v>
      </c>
      <c r="J2904">
        <v>11</v>
      </c>
      <c r="L2904">
        <v>11</v>
      </c>
      <c r="N2904">
        <f>Таблица1[[#This Row],[Часов на заказчика  в работе]]+Таблица1[[#This Row],[Часов на заказчика  дежурство]]</f>
        <v>11</v>
      </c>
      <c r="O29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4" s="9">
        <v>135000</v>
      </c>
      <c r="R2904" s="9"/>
      <c r="S2904" s="5">
        <v>1</v>
      </c>
      <c r="T29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табеле]])*S2904,0)</f>
        <v>4500</v>
      </c>
      <c r="U2904" s="5">
        <f>IF(Таблица1[[#This Row],[ТТН]]&gt;0,Таблица1[[#This Row],[Ставка за ТТН]]*Таблица1[[#This Row],[ТТН]],0)</f>
        <v>0</v>
      </c>
    </row>
    <row r="2905" spans="1:21" x14ac:dyDescent="0.25">
      <c r="A2905" t="s">
        <v>84</v>
      </c>
      <c r="B2905" s="24">
        <v>11</v>
      </c>
      <c r="C2905" t="s">
        <v>185</v>
      </c>
      <c r="D2905" t="s">
        <v>12</v>
      </c>
      <c r="E2905" t="s">
        <v>216</v>
      </c>
      <c r="F2905" t="s">
        <v>66</v>
      </c>
      <c r="H2905" t="s">
        <v>24</v>
      </c>
      <c r="I2905" t="s">
        <v>217</v>
      </c>
      <c r="J2905">
        <v>8</v>
      </c>
      <c r="N2905">
        <f>Таблица1[[#This Row],[Часов на заказчика  в работе]]+Таблица1[[#This Row],[Часов на заказчика  дежурство]]</f>
        <v>0</v>
      </c>
      <c r="O29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5" s="9">
        <v>135000</v>
      </c>
      <c r="R2905" s="9"/>
      <c r="S2905" s="5">
        <v>1</v>
      </c>
      <c r="T29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табеле]])*S2905,0)</f>
        <v>0</v>
      </c>
      <c r="U2905" s="5">
        <f>IF(Таблица1[[#This Row],[ТТН]]&gt;0,Таблица1[[#This Row],[Ставка за ТТН]]*Таблица1[[#This Row],[ТТН]],0)</f>
        <v>0</v>
      </c>
    </row>
    <row r="2906" spans="1:21" x14ac:dyDescent="0.25">
      <c r="A2906" t="s">
        <v>84</v>
      </c>
      <c r="B2906" s="24">
        <v>12</v>
      </c>
      <c r="C2906" t="s">
        <v>185</v>
      </c>
      <c r="D2906" t="s">
        <v>12</v>
      </c>
      <c r="E2906" t="s">
        <v>216</v>
      </c>
      <c r="F2906" t="s">
        <v>66</v>
      </c>
      <c r="H2906" t="s">
        <v>24</v>
      </c>
      <c r="I2906" t="s">
        <v>217</v>
      </c>
      <c r="J2906">
        <v>8</v>
      </c>
      <c r="N2906">
        <f>Таблица1[[#This Row],[Часов на заказчика  в работе]]+Таблица1[[#This Row],[Часов на заказчика  дежурство]]</f>
        <v>0</v>
      </c>
      <c r="O29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6" s="9">
        <v>135000</v>
      </c>
      <c r="R2906" s="9"/>
      <c r="S2906" s="5">
        <v>1</v>
      </c>
      <c r="T29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табеле]])*S2906,0)</f>
        <v>0</v>
      </c>
      <c r="U2906" s="5">
        <f>IF(Таблица1[[#This Row],[ТТН]]&gt;0,Таблица1[[#This Row],[Ставка за ТТН]]*Таблица1[[#This Row],[ТТН]],0)</f>
        <v>0</v>
      </c>
    </row>
    <row r="2907" spans="1:21" x14ac:dyDescent="0.25">
      <c r="A2907" t="s">
        <v>84</v>
      </c>
      <c r="B2907" s="24">
        <v>13</v>
      </c>
      <c r="C2907" t="s">
        <v>185</v>
      </c>
      <c r="D2907" t="s">
        <v>12</v>
      </c>
      <c r="E2907" t="s">
        <v>216</v>
      </c>
      <c r="F2907" t="s">
        <v>66</v>
      </c>
      <c r="H2907" t="s">
        <v>30</v>
      </c>
      <c r="I2907" t="s">
        <v>217</v>
      </c>
      <c r="J2907">
        <v>1</v>
      </c>
      <c r="N2907">
        <f>Таблица1[[#This Row],[Часов на заказчика  в работе]]+Таблица1[[#This Row],[Часов на заказчика  дежурство]]</f>
        <v>0</v>
      </c>
      <c r="O29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7" s="9">
        <v>135000</v>
      </c>
      <c r="R2907" s="9"/>
      <c r="S2907" s="5">
        <v>1</v>
      </c>
      <c r="T29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табеле]])*S2907,0)</f>
        <v>0</v>
      </c>
      <c r="U2907" s="5">
        <f>IF(Таблица1[[#This Row],[ТТН]]&gt;0,Таблица1[[#This Row],[Ставка за ТТН]]*Таблица1[[#This Row],[ТТН]],0)</f>
        <v>0</v>
      </c>
    </row>
    <row r="2908" spans="1:21" x14ac:dyDescent="0.25">
      <c r="A2908" t="s">
        <v>84</v>
      </c>
      <c r="B2908" s="24">
        <v>14</v>
      </c>
      <c r="C2908" t="s">
        <v>185</v>
      </c>
      <c r="D2908" t="s">
        <v>12</v>
      </c>
      <c r="E2908" t="s">
        <v>216</v>
      </c>
      <c r="F2908" t="s">
        <v>66</v>
      </c>
      <c r="H2908" t="s">
        <v>30</v>
      </c>
      <c r="I2908" t="s">
        <v>217</v>
      </c>
      <c r="J2908">
        <v>1</v>
      </c>
      <c r="N2908">
        <f>Таблица1[[#This Row],[Часов на заказчика  в работе]]+Таблица1[[#This Row],[Часов на заказчика  дежурство]]</f>
        <v>0</v>
      </c>
      <c r="O29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8" s="9">
        <v>135000</v>
      </c>
      <c r="R2908" s="9"/>
      <c r="S2908" s="5">
        <v>1</v>
      </c>
      <c r="T29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табеле]])*S2908,0)</f>
        <v>0</v>
      </c>
      <c r="U2908" s="5">
        <f>IF(Таблица1[[#This Row],[ТТН]]&gt;0,Таблица1[[#This Row],[Ставка за ТТН]]*Таблица1[[#This Row],[ТТН]],0)</f>
        <v>0</v>
      </c>
    </row>
    <row r="2909" spans="1:21" x14ac:dyDescent="0.25">
      <c r="A2909" t="s">
        <v>84</v>
      </c>
      <c r="B2909" s="24">
        <v>15</v>
      </c>
      <c r="C2909" t="s">
        <v>185</v>
      </c>
      <c r="D2909" t="s">
        <v>12</v>
      </c>
      <c r="E2909" t="s">
        <v>216</v>
      </c>
      <c r="F2909" t="s">
        <v>66</v>
      </c>
      <c r="H2909" t="s">
        <v>29</v>
      </c>
      <c r="I2909" t="s">
        <v>217</v>
      </c>
      <c r="J2909">
        <v>8</v>
      </c>
      <c r="N2909">
        <f>Таблица1[[#This Row],[Часов на заказчика  в работе]]+Таблица1[[#This Row],[Часов на заказчика  дежурство]]</f>
        <v>0</v>
      </c>
      <c r="O29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09" s="9">
        <v>135000</v>
      </c>
      <c r="R2909" s="9"/>
      <c r="S2909" s="5">
        <v>1</v>
      </c>
      <c r="T29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табеле]])*S2909,0)</f>
        <v>0</v>
      </c>
      <c r="U2909" s="5">
        <f>IF(Таблица1[[#This Row],[ТТН]]&gt;0,Таблица1[[#This Row],[Ставка за ТТН]]*Таблица1[[#This Row],[ТТН]],0)</f>
        <v>0</v>
      </c>
    </row>
    <row r="2910" spans="1:21" x14ac:dyDescent="0.25">
      <c r="A2910" t="s">
        <v>84</v>
      </c>
      <c r="B2910" s="24">
        <v>16</v>
      </c>
      <c r="C2910" t="s">
        <v>185</v>
      </c>
      <c r="D2910" t="s">
        <v>12</v>
      </c>
      <c r="E2910" t="s">
        <v>216</v>
      </c>
      <c r="F2910" t="s">
        <v>66</v>
      </c>
      <c r="H2910" t="s">
        <v>29</v>
      </c>
      <c r="I2910" t="s">
        <v>217</v>
      </c>
      <c r="J2910">
        <v>8</v>
      </c>
      <c r="N2910">
        <f>Таблица1[[#This Row],[Часов на заказчика  в работе]]+Таблица1[[#This Row],[Часов на заказчика  дежурство]]</f>
        <v>0</v>
      </c>
      <c r="O29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0" s="9">
        <v>135000</v>
      </c>
      <c r="R2910" s="9"/>
      <c r="S2910" s="5">
        <v>1</v>
      </c>
      <c r="T29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табеле]])*S2910,0)</f>
        <v>0</v>
      </c>
      <c r="U2910" s="5">
        <f>IF(Таблица1[[#This Row],[ТТН]]&gt;0,Таблица1[[#This Row],[Ставка за ТТН]]*Таблица1[[#This Row],[ТТН]],0)</f>
        <v>0</v>
      </c>
    </row>
    <row r="2911" spans="1:21" x14ac:dyDescent="0.25">
      <c r="A2911" t="s">
        <v>84</v>
      </c>
      <c r="B2911" s="24">
        <v>17</v>
      </c>
      <c r="C2911" t="s">
        <v>185</v>
      </c>
      <c r="D2911" t="s">
        <v>12</v>
      </c>
      <c r="E2911" t="s">
        <v>216</v>
      </c>
      <c r="F2911" t="s">
        <v>66</v>
      </c>
      <c r="H2911" t="s">
        <v>29</v>
      </c>
      <c r="I2911" t="s">
        <v>217</v>
      </c>
      <c r="J2911">
        <v>8</v>
      </c>
      <c r="N2911">
        <f>Таблица1[[#This Row],[Часов на заказчика  в работе]]+Таблица1[[#This Row],[Часов на заказчика  дежурство]]</f>
        <v>0</v>
      </c>
      <c r="O29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1" s="9">
        <v>135000</v>
      </c>
      <c r="R2911" s="9"/>
      <c r="S2911" s="5">
        <v>1</v>
      </c>
      <c r="T29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табеле]])*S2911,0)</f>
        <v>0</v>
      </c>
      <c r="U2911" s="5">
        <f>IF(Таблица1[[#This Row],[ТТН]]&gt;0,Таблица1[[#This Row],[Ставка за ТТН]]*Таблица1[[#This Row],[ТТН]],0)</f>
        <v>0</v>
      </c>
    </row>
    <row r="2912" spans="1:21" x14ac:dyDescent="0.25">
      <c r="A2912" t="s">
        <v>84</v>
      </c>
      <c r="B2912" s="24">
        <v>18</v>
      </c>
      <c r="C2912" t="s">
        <v>185</v>
      </c>
      <c r="D2912" t="s">
        <v>12</v>
      </c>
      <c r="E2912" t="s">
        <v>216</v>
      </c>
      <c r="F2912" t="s">
        <v>66</v>
      </c>
      <c r="H2912" t="s">
        <v>29</v>
      </c>
      <c r="I2912" t="s">
        <v>217</v>
      </c>
      <c r="J2912">
        <v>8</v>
      </c>
      <c r="N2912">
        <f>Таблица1[[#This Row],[Часов на заказчика  в работе]]+Таблица1[[#This Row],[Часов на заказчика  дежурство]]</f>
        <v>0</v>
      </c>
      <c r="O29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2" s="9">
        <v>135000</v>
      </c>
      <c r="R2912" s="9"/>
      <c r="S2912" s="5">
        <v>1</v>
      </c>
      <c r="T29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табеле]])*S2912,0)</f>
        <v>0</v>
      </c>
      <c r="U2912" s="5">
        <f>IF(Таблица1[[#This Row],[ТТН]]&gt;0,Таблица1[[#This Row],[Ставка за ТТН]]*Таблица1[[#This Row],[ТТН]],0)</f>
        <v>0</v>
      </c>
    </row>
    <row r="2913" spans="1:21" x14ac:dyDescent="0.25">
      <c r="A2913" t="s">
        <v>84</v>
      </c>
      <c r="B2913" s="24">
        <v>19</v>
      </c>
      <c r="C2913" t="s">
        <v>185</v>
      </c>
      <c r="D2913" t="s">
        <v>12</v>
      </c>
      <c r="E2913" t="s">
        <v>216</v>
      </c>
      <c r="F2913" t="s">
        <v>66</v>
      </c>
      <c r="H2913" t="s">
        <v>29</v>
      </c>
      <c r="I2913" t="s">
        <v>217</v>
      </c>
      <c r="J2913">
        <v>8</v>
      </c>
      <c r="N2913">
        <f>Таблица1[[#This Row],[Часов на заказчика  в работе]]+Таблица1[[#This Row],[Часов на заказчика  дежурство]]</f>
        <v>0</v>
      </c>
      <c r="O29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3" s="9">
        <v>135000</v>
      </c>
      <c r="R2913" s="9"/>
      <c r="S2913" s="5">
        <v>1</v>
      </c>
      <c r="T29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табеле]])*S2913,0)</f>
        <v>0</v>
      </c>
      <c r="U2913" s="5">
        <f>IF(Таблица1[[#This Row],[ТТН]]&gt;0,Таблица1[[#This Row],[Ставка за ТТН]]*Таблица1[[#This Row],[ТТН]],0)</f>
        <v>0</v>
      </c>
    </row>
    <row r="2914" spans="1:21" x14ac:dyDescent="0.25">
      <c r="A2914" t="s">
        <v>84</v>
      </c>
      <c r="B2914" s="24">
        <v>20</v>
      </c>
      <c r="C2914" t="s">
        <v>185</v>
      </c>
      <c r="D2914" t="s">
        <v>12</v>
      </c>
      <c r="E2914" t="s">
        <v>216</v>
      </c>
      <c r="F2914" t="s">
        <v>66</v>
      </c>
      <c r="H2914" t="s">
        <v>30</v>
      </c>
      <c r="I2914" t="s">
        <v>217</v>
      </c>
      <c r="J2914">
        <v>1</v>
      </c>
      <c r="N2914">
        <f>Таблица1[[#This Row],[Часов на заказчика  в работе]]+Таблица1[[#This Row],[Часов на заказчика  дежурство]]</f>
        <v>0</v>
      </c>
      <c r="O29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4" s="9">
        <v>135000</v>
      </c>
      <c r="R2914" s="9"/>
      <c r="S2914" s="5">
        <v>1</v>
      </c>
      <c r="T29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табеле]])*S2914,0)</f>
        <v>0</v>
      </c>
      <c r="U2914" s="5">
        <f>IF(Таблица1[[#This Row],[ТТН]]&gt;0,Таблица1[[#This Row],[Ставка за ТТН]]*Таблица1[[#This Row],[ТТН]],0)</f>
        <v>0</v>
      </c>
    </row>
    <row r="2915" spans="1:21" x14ac:dyDescent="0.25">
      <c r="A2915" t="s">
        <v>84</v>
      </c>
      <c r="B2915" s="24">
        <v>21</v>
      </c>
      <c r="C2915" t="s">
        <v>185</v>
      </c>
      <c r="D2915" t="s">
        <v>12</v>
      </c>
      <c r="E2915" t="s">
        <v>216</v>
      </c>
      <c r="F2915" t="s">
        <v>66</v>
      </c>
      <c r="H2915" t="s">
        <v>30</v>
      </c>
      <c r="I2915" t="s">
        <v>217</v>
      </c>
      <c r="J2915">
        <v>1</v>
      </c>
      <c r="N2915">
        <f>Таблица1[[#This Row],[Часов на заказчика  в работе]]+Таблица1[[#This Row],[Часов на заказчика  дежурство]]</f>
        <v>0</v>
      </c>
      <c r="O29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5" s="9">
        <v>135000</v>
      </c>
      <c r="R2915" s="9"/>
      <c r="S2915" s="5">
        <v>1</v>
      </c>
      <c r="T29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табеле]])*S2915,0)</f>
        <v>0</v>
      </c>
      <c r="U2915" s="5">
        <f>IF(Таблица1[[#This Row],[ТТН]]&gt;0,Таблица1[[#This Row],[Ставка за ТТН]]*Таблица1[[#This Row],[ТТН]],0)</f>
        <v>0</v>
      </c>
    </row>
    <row r="2916" spans="1:21" x14ac:dyDescent="0.25">
      <c r="A2916" t="s">
        <v>84</v>
      </c>
      <c r="B2916" s="24">
        <v>22</v>
      </c>
      <c r="C2916" t="s">
        <v>185</v>
      </c>
      <c r="D2916" t="s">
        <v>12</v>
      </c>
      <c r="E2916" t="s">
        <v>216</v>
      </c>
      <c r="F2916" t="s">
        <v>66</v>
      </c>
      <c r="H2916" t="s">
        <v>29</v>
      </c>
      <c r="I2916" t="s">
        <v>217</v>
      </c>
      <c r="J2916">
        <v>8</v>
      </c>
      <c r="N2916">
        <f>Таблица1[[#This Row],[Часов на заказчика  в работе]]+Таблица1[[#This Row],[Часов на заказчика  дежурство]]</f>
        <v>0</v>
      </c>
      <c r="O29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6" s="9">
        <v>135000</v>
      </c>
      <c r="R2916" s="9"/>
      <c r="S2916" s="5">
        <v>1</v>
      </c>
      <c r="T29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табеле]])*S2916,0)</f>
        <v>0</v>
      </c>
      <c r="U2916" s="5">
        <f>IF(Таблица1[[#This Row],[ТТН]]&gt;0,Таблица1[[#This Row],[Ставка за ТТН]]*Таблица1[[#This Row],[ТТН]],0)</f>
        <v>0</v>
      </c>
    </row>
    <row r="2917" spans="1:21" x14ac:dyDescent="0.25">
      <c r="A2917" t="s">
        <v>84</v>
      </c>
      <c r="B2917" s="24">
        <v>23</v>
      </c>
      <c r="C2917" t="s">
        <v>185</v>
      </c>
      <c r="D2917" t="s">
        <v>12</v>
      </c>
      <c r="E2917" t="s">
        <v>216</v>
      </c>
      <c r="F2917" t="s">
        <v>66</v>
      </c>
      <c r="H2917" t="s">
        <v>29</v>
      </c>
      <c r="I2917" t="s">
        <v>217</v>
      </c>
      <c r="J2917">
        <v>8</v>
      </c>
      <c r="N2917">
        <f>Таблица1[[#This Row],[Часов на заказчика  в работе]]+Таблица1[[#This Row],[Часов на заказчика  дежурство]]</f>
        <v>0</v>
      </c>
      <c r="O29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7" s="9">
        <v>135000</v>
      </c>
      <c r="R2917" s="9"/>
      <c r="S2917" s="5">
        <v>1</v>
      </c>
      <c r="T29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табеле]])*S2917,0)</f>
        <v>0</v>
      </c>
      <c r="U2917" s="5">
        <f>IF(Таблица1[[#This Row],[ТТН]]&gt;0,Таблица1[[#This Row],[Ставка за ТТН]]*Таблица1[[#This Row],[ТТН]],0)</f>
        <v>0</v>
      </c>
    </row>
    <row r="2918" spans="1:21" x14ac:dyDescent="0.25">
      <c r="A2918" t="s">
        <v>84</v>
      </c>
      <c r="B2918" s="24">
        <v>24</v>
      </c>
      <c r="C2918" t="s">
        <v>185</v>
      </c>
      <c r="D2918" t="s">
        <v>12</v>
      </c>
      <c r="E2918" t="s">
        <v>216</v>
      </c>
      <c r="F2918" t="s">
        <v>66</v>
      </c>
      <c r="H2918" t="s">
        <v>29</v>
      </c>
      <c r="I2918" t="s">
        <v>217</v>
      </c>
      <c r="J2918">
        <v>8</v>
      </c>
      <c r="N2918">
        <f>Таблица1[[#This Row],[Часов на заказчика  в работе]]+Таблица1[[#This Row],[Часов на заказчика  дежурство]]</f>
        <v>0</v>
      </c>
      <c r="O29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8" s="9">
        <v>135000</v>
      </c>
      <c r="R2918" s="9"/>
      <c r="S2918" s="5">
        <v>1</v>
      </c>
      <c r="T29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табеле]])*S2918,0)</f>
        <v>0</v>
      </c>
      <c r="U2918" s="5">
        <f>IF(Таблица1[[#This Row],[ТТН]]&gt;0,Таблица1[[#This Row],[Ставка за ТТН]]*Таблица1[[#This Row],[ТТН]],0)</f>
        <v>0</v>
      </c>
    </row>
    <row r="2919" spans="1:21" x14ac:dyDescent="0.25">
      <c r="A2919" t="s">
        <v>84</v>
      </c>
      <c r="B2919" s="24">
        <v>25</v>
      </c>
      <c r="C2919" t="s">
        <v>185</v>
      </c>
      <c r="D2919" t="s">
        <v>12</v>
      </c>
      <c r="E2919" t="s">
        <v>216</v>
      </c>
      <c r="F2919" t="s">
        <v>66</v>
      </c>
      <c r="H2919" t="s">
        <v>29</v>
      </c>
      <c r="I2919" t="s">
        <v>217</v>
      </c>
      <c r="J2919">
        <v>8</v>
      </c>
      <c r="N2919">
        <f>Таблица1[[#This Row],[Часов на заказчика  в работе]]+Таблица1[[#This Row],[Часов на заказчика  дежурство]]</f>
        <v>0</v>
      </c>
      <c r="O29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19" s="9">
        <v>135000</v>
      </c>
      <c r="R2919" s="9"/>
      <c r="S2919" s="5">
        <v>1</v>
      </c>
      <c r="T29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табеле]])*S2919,0)</f>
        <v>0</v>
      </c>
      <c r="U2919" s="5">
        <f>IF(Таблица1[[#This Row],[ТТН]]&gt;0,Таблица1[[#This Row],[Ставка за ТТН]]*Таблица1[[#This Row],[ТТН]],0)</f>
        <v>0</v>
      </c>
    </row>
    <row r="2920" spans="1:21" x14ac:dyDescent="0.25">
      <c r="A2920" t="s">
        <v>84</v>
      </c>
      <c r="B2920" s="24">
        <v>26</v>
      </c>
      <c r="C2920" t="s">
        <v>185</v>
      </c>
      <c r="D2920" t="s">
        <v>12</v>
      </c>
      <c r="E2920" t="s">
        <v>216</v>
      </c>
      <c r="F2920" t="s">
        <v>66</v>
      </c>
      <c r="H2920" t="s">
        <v>29</v>
      </c>
      <c r="I2920" t="s">
        <v>217</v>
      </c>
      <c r="J2920">
        <v>8</v>
      </c>
      <c r="N2920">
        <f>Таблица1[[#This Row],[Часов на заказчика  в работе]]+Таблица1[[#This Row],[Часов на заказчика  дежурство]]</f>
        <v>0</v>
      </c>
      <c r="O29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0" s="9">
        <v>135000</v>
      </c>
      <c r="R2920" s="9"/>
      <c r="S2920" s="5">
        <v>1</v>
      </c>
      <c r="T29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табеле]])*S2920,0)</f>
        <v>0</v>
      </c>
      <c r="U2920" s="5">
        <f>IF(Таблица1[[#This Row],[ТТН]]&gt;0,Таблица1[[#This Row],[Ставка за ТТН]]*Таблица1[[#This Row],[ТТН]],0)</f>
        <v>0</v>
      </c>
    </row>
    <row r="2921" spans="1:21" x14ac:dyDescent="0.25">
      <c r="A2921" t="s">
        <v>84</v>
      </c>
      <c r="B2921" s="24">
        <v>27</v>
      </c>
      <c r="C2921" t="s">
        <v>185</v>
      </c>
      <c r="D2921" t="s">
        <v>12</v>
      </c>
      <c r="E2921" t="s">
        <v>216</v>
      </c>
      <c r="F2921" t="s">
        <v>66</v>
      </c>
      <c r="H2921" t="s">
        <v>30</v>
      </c>
      <c r="I2921" t="s">
        <v>217</v>
      </c>
      <c r="J2921">
        <v>1</v>
      </c>
      <c r="N2921">
        <f>Таблица1[[#This Row],[Часов на заказчика  в работе]]+Таблица1[[#This Row],[Часов на заказчика  дежурство]]</f>
        <v>0</v>
      </c>
      <c r="O29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1" s="9">
        <v>135000</v>
      </c>
      <c r="R2921" s="9"/>
      <c r="S2921" s="5">
        <v>1</v>
      </c>
      <c r="T29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табеле]])*S2921,0)</f>
        <v>0</v>
      </c>
      <c r="U2921" s="5">
        <f>IF(Таблица1[[#This Row],[ТТН]]&gt;0,Таблица1[[#This Row],[Ставка за ТТН]]*Таблица1[[#This Row],[ТТН]],0)</f>
        <v>0</v>
      </c>
    </row>
    <row r="2922" spans="1:21" x14ac:dyDescent="0.25">
      <c r="A2922" t="s">
        <v>84</v>
      </c>
      <c r="B2922" s="24">
        <v>28</v>
      </c>
      <c r="C2922" t="s">
        <v>185</v>
      </c>
      <c r="D2922" t="s">
        <v>12</v>
      </c>
      <c r="E2922" t="s">
        <v>216</v>
      </c>
      <c r="F2922" t="s">
        <v>66</v>
      </c>
      <c r="H2922" t="s">
        <v>30</v>
      </c>
      <c r="I2922" t="s">
        <v>217</v>
      </c>
      <c r="J2922">
        <v>1</v>
      </c>
      <c r="N2922">
        <f>Таблица1[[#This Row],[Часов на заказчика  в работе]]+Таблица1[[#This Row],[Часов на заказчика  дежурство]]</f>
        <v>0</v>
      </c>
      <c r="O29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2" s="9">
        <v>135000</v>
      </c>
      <c r="R2922" s="9"/>
      <c r="S2922" s="5">
        <v>1</v>
      </c>
      <c r="T29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табеле]])*S2922,0)</f>
        <v>0</v>
      </c>
      <c r="U2922" s="5">
        <f>IF(Таблица1[[#This Row],[ТТН]]&gt;0,Таблица1[[#This Row],[Ставка за ТТН]]*Таблица1[[#This Row],[ТТН]],0)</f>
        <v>0</v>
      </c>
    </row>
    <row r="2923" spans="1:21" x14ac:dyDescent="0.25">
      <c r="A2923" t="s">
        <v>84</v>
      </c>
      <c r="B2923" s="24">
        <v>29</v>
      </c>
      <c r="C2923" t="s">
        <v>185</v>
      </c>
      <c r="D2923" t="s">
        <v>12</v>
      </c>
      <c r="E2923" t="s">
        <v>216</v>
      </c>
      <c r="F2923" t="s">
        <v>66</v>
      </c>
      <c r="H2923" t="s">
        <v>29</v>
      </c>
      <c r="I2923" t="s">
        <v>217</v>
      </c>
      <c r="J2923">
        <v>8</v>
      </c>
      <c r="N2923">
        <f>Таблица1[[#This Row],[Часов на заказчика  в работе]]+Таблица1[[#This Row],[Часов на заказчика  дежурство]]</f>
        <v>0</v>
      </c>
      <c r="O29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3" s="9">
        <v>135000</v>
      </c>
      <c r="R2923" s="9"/>
      <c r="S2923" s="5">
        <v>1</v>
      </c>
      <c r="T29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табеле]])*S2923,0)</f>
        <v>0</v>
      </c>
      <c r="U2923" s="5">
        <f>IF(Таблица1[[#This Row],[ТТН]]&gt;0,Таблица1[[#This Row],[Ставка за ТТН]]*Таблица1[[#This Row],[ТТН]],0)</f>
        <v>0</v>
      </c>
    </row>
    <row r="2924" spans="1:21" x14ac:dyDescent="0.25">
      <c r="A2924" t="s">
        <v>84</v>
      </c>
      <c r="B2924" s="24">
        <v>30</v>
      </c>
      <c r="C2924" t="s">
        <v>186</v>
      </c>
      <c r="D2924" t="s">
        <v>12</v>
      </c>
      <c r="E2924" t="s">
        <v>216</v>
      </c>
      <c r="F2924" t="s">
        <v>66</v>
      </c>
      <c r="H2924" t="s">
        <v>29</v>
      </c>
      <c r="I2924" t="s">
        <v>217</v>
      </c>
      <c r="J2924">
        <v>8</v>
      </c>
      <c r="N2924">
        <f>Таблица1[[#This Row],[Часов на заказчика  в работе]]+Таблица1[[#This Row],[Часов на заказчика  дежурство]]</f>
        <v>0</v>
      </c>
      <c r="O29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4" s="9">
        <v>135000</v>
      </c>
      <c r="R2924" s="9"/>
      <c r="S2924" s="5">
        <v>1</v>
      </c>
      <c r="T29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табеле]])*S2924,0)</f>
        <v>0</v>
      </c>
      <c r="U2924" s="5">
        <f>IF(Таблица1[[#This Row],[ТТН]]&gt;0,Таблица1[[#This Row],[Ставка за ТТН]]*Таблица1[[#This Row],[ТТН]],0)</f>
        <v>0</v>
      </c>
    </row>
    <row r="2925" spans="1:21" x14ac:dyDescent="0.25">
      <c r="A2925" t="s">
        <v>84</v>
      </c>
      <c r="B2925" s="24">
        <v>1</v>
      </c>
      <c r="C2925" t="s">
        <v>186</v>
      </c>
      <c r="D2925" t="s">
        <v>12</v>
      </c>
      <c r="E2925" t="s">
        <v>215</v>
      </c>
      <c r="F2925" t="s">
        <v>73</v>
      </c>
      <c r="H2925" t="s">
        <v>10</v>
      </c>
      <c r="I2925" t="s">
        <v>219</v>
      </c>
      <c r="J2925">
        <v>11</v>
      </c>
      <c r="N2925">
        <f>Таблица1[[#This Row],[Часов на заказчика  в работе]]+Таблица1[[#This Row],[Часов на заказчика  дежурство]]</f>
        <v>0</v>
      </c>
      <c r="O29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5" s="9">
        <v>174000</v>
      </c>
      <c r="R2925" s="9"/>
      <c r="S2925" s="5">
        <v>1</v>
      </c>
      <c r="T29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табеле]])*S2925,0)</f>
        <v>5800</v>
      </c>
      <c r="U2925" s="5">
        <f>IF(Таблица1[[#This Row],[ТТН]]&gt;0,Таблица1[[#This Row],[Ставка за ТТН]]*Таблица1[[#This Row],[ТТН]],0)</f>
        <v>0</v>
      </c>
    </row>
    <row r="2926" spans="1:21" x14ac:dyDescent="0.25">
      <c r="A2926" t="s">
        <v>84</v>
      </c>
      <c r="B2926" s="24">
        <v>2</v>
      </c>
      <c r="C2926" t="s">
        <v>186</v>
      </c>
      <c r="D2926" t="s">
        <v>12</v>
      </c>
      <c r="E2926" t="s">
        <v>215</v>
      </c>
      <c r="F2926" t="s">
        <v>73</v>
      </c>
      <c r="H2926" t="s">
        <v>10</v>
      </c>
      <c r="I2926" t="s">
        <v>219</v>
      </c>
      <c r="J2926">
        <v>11</v>
      </c>
      <c r="N2926">
        <f>Таблица1[[#This Row],[Часов на заказчика  в работе]]+Таблица1[[#This Row],[Часов на заказчика  дежурство]]</f>
        <v>0</v>
      </c>
      <c r="O29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6" s="9">
        <v>174000</v>
      </c>
      <c r="R2926" s="9"/>
      <c r="S2926" s="5">
        <v>1</v>
      </c>
      <c r="T29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табеле]])*S2926,0)</f>
        <v>5800</v>
      </c>
      <c r="U2926" s="5">
        <f>IF(Таблица1[[#This Row],[ТТН]]&gt;0,Таблица1[[#This Row],[Ставка за ТТН]]*Таблица1[[#This Row],[ТТН]],0)</f>
        <v>0</v>
      </c>
    </row>
    <row r="2927" spans="1:21" x14ac:dyDescent="0.25">
      <c r="A2927" t="s">
        <v>84</v>
      </c>
      <c r="B2927" s="24">
        <v>3</v>
      </c>
      <c r="C2927" t="s">
        <v>186</v>
      </c>
      <c r="D2927" t="s">
        <v>12</v>
      </c>
      <c r="E2927" t="s">
        <v>215</v>
      </c>
      <c r="F2927" t="s">
        <v>73</v>
      </c>
      <c r="H2927" t="s">
        <v>38</v>
      </c>
      <c r="I2927" t="s">
        <v>219</v>
      </c>
      <c r="J2927">
        <v>11</v>
      </c>
      <c r="N2927">
        <f>Таблица1[[#This Row],[Часов на заказчика  в работе]]+Таблица1[[#This Row],[Часов на заказчика  дежурство]]</f>
        <v>0</v>
      </c>
      <c r="O29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7" s="9">
        <v>174000</v>
      </c>
      <c r="R2927" s="9"/>
      <c r="S2927" s="5">
        <v>1</v>
      </c>
      <c r="T29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табеле]])*S2927,0)</f>
        <v>5800</v>
      </c>
      <c r="U2927" s="5">
        <f>IF(Таблица1[[#This Row],[ТТН]]&gt;0,Таблица1[[#This Row],[Ставка за ТТН]]*Таблица1[[#This Row],[ТТН]],0)</f>
        <v>0</v>
      </c>
    </row>
    <row r="2928" spans="1:21" x14ac:dyDescent="0.25">
      <c r="A2928" t="s">
        <v>84</v>
      </c>
      <c r="B2928" s="24">
        <v>4</v>
      </c>
      <c r="C2928" t="s">
        <v>186</v>
      </c>
      <c r="D2928" t="s">
        <v>12</v>
      </c>
      <c r="E2928" t="s">
        <v>215</v>
      </c>
      <c r="F2928" t="s">
        <v>73</v>
      </c>
      <c r="H2928" t="s">
        <v>10</v>
      </c>
      <c r="I2928" t="s">
        <v>219</v>
      </c>
      <c r="J2928">
        <v>11</v>
      </c>
      <c r="N2928">
        <f>Таблица1[[#This Row],[Часов на заказчика  в работе]]+Таблица1[[#This Row],[Часов на заказчика  дежурство]]</f>
        <v>0</v>
      </c>
      <c r="O29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8" s="9">
        <v>174000</v>
      </c>
      <c r="R2928" s="9"/>
      <c r="S2928" s="5">
        <v>1</v>
      </c>
      <c r="T29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табеле]])*S2928,0)</f>
        <v>5800</v>
      </c>
      <c r="U2928" s="5">
        <f>IF(Таблица1[[#This Row],[ТТН]]&gt;0,Таблица1[[#This Row],[Ставка за ТТН]]*Таблица1[[#This Row],[ТТН]],0)</f>
        <v>0</v>
      </c>
    </row>
    <row r="2929" spans="1:22" x14ac:dyDescent="0.25">
      <c r="A2929" t="s">
        <v>84</v>
      </c>
      <c r="B2929" s="24">
        <v>5</v>
      </c>
      <c r="C2929" t="s">
        <v>186</v>
      </c>
      <c r="D2929" t="s">
        <v>12</v>
      </c>
      <c r="E2929" t="s">
        <v>215</v>
      </c>
      <c r="F2929" t="s">
        <v>73</v>
      </c>
      <c r="H2929" t="s">
        <v>38</v>
      </c>
      <c r="I2929" t="s">
        <v>219</v>
      </c>
      <c r="J2929">
        <v>11</v>
      </c>
      <c r="N2929">
        <f>Таблица1[[#This Row],[Часов на заказчика  в работе]]+Таблица1[[#This Row],[Часов на заказчика  дежурство]]</f>
        <v>0</v>
      </c>
      <c r="O29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29" s="9">
        <v>174000</v>
      </c>
      <c r="R2929" s="9"/>
      <c r="S2929" s="5">
        <v>1</v>
      </c>
      <c r="T29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табеле]])*S2929,0)</f>
        <v>5800</v>
      </c>
      <c r="U2929" s="5">
        <f>IF(Таблица1[[#This Row],[ТТН]]&gt;0,Таблица1[[#This Row],[Ставка за ТТН]]*Таблица1[[#This Row],[ТТН]],0)</f>
        <v>0</v>
      </c>
    </row>
    <row r="2930" spans="1:22" x14ac:dyDescent="0.25">
      <c r="A2930" t="s">
        <v>84</v>
      </c>
      <c r="B2930" s="24">
        <v>6</v>
      </c>
      <c r="C2930" t="s">
        <v>186</v>
      </c>
      <c r="D2930" t="s">
        <v>12</v>
      </c>
      <c r="E2930" t="s">
        <v>215</v>
      </c>
      <c r="F2930" t="s">
        <v>73</v>
      </c>
      <c r="H2930" t="s">
        <v>38</v>
      </c>
      <c r="I2930" t="s">
        <v>219</v>
      </c>
      <c r="J2930">
        <v>11</v>
      </c>
      <c r="N2930">
        <f>Таблица1[[#This Row],[Часов на заказчика  в работе]]+Таблица1[[#This Row],[Часов на заказчика  дежурство]]</f>
        <v>0</v>
      </c>
      <c r="O29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0" s="9">
        <v>174000</v>
      </c>
      <c r="R2930" s="9"/>
      <c r="S2930" s="5">
        <v>1</v>
      </c>
      <c r="T29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табеле]])*S2930,0)</f>
        <v>5800</v>
      </c>
      <c r="U2930" s="5">
        <f>IF(Таблица1[[#This Row],[ТТН]]&gt;0,Таблица1[[#This Row],[Ставка за ТТН]]*Таблица1[[#This Row],[ТТН]],0)</f>
        <v>0</v>
      </c>
    </row>
    <row r="2931" spans="1:22" x14ac:dyDescent="0.25">
      <c r="A2931" t="s">
        <v>84</v>
      </c>
      <c r="B2931" s="24">
        <v>7</v>
      </c>
      <c r="C2931" t="s">
        <v>186</v>
      </c>
      <c r="D2931" t="s">
        <v>12</v>
      </c>
      <c r="E2931" t="s">
        <v>215</v>
      </c>
      <c r="F2931" t="s">
        <v>73</v>
      </c>
      <c r="H2931" t="s">
        <v>10</v>
      </c>
      <c r="I2931" t="s">
        <v>219</v>
      </c>
      <c r="J2931">
        <v>11</v>
      </c>
      <c r="N2931">
        <f>Таблица1[[#This Row],[Часов на заказчика  в работе]]+Таблица1[[#This Row],[Часов на заказчика  дежурство]]</f>
        <v>0</v>
      </c>
      <c r="O29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1" s="9">
        <v>174000</v>
      </c>
      <c r="R2931" s="9"/>
      <c r="S2931" s="5">
        <v>1</v>
      </c>
      <c r="T29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табеле]])*S2931,0)</f>
        <v>5800</v>
      </c>
      <c r="U2931" s="5">
        <f>IF(Таблица1[[#This Row],[ТТН]]&gt;0,Таблица1[[#This Row],[Ставка за ТТН]]*Таблица1[[#This Row],[ТТН]],0)</f>
        <v>0</v>
      </c>
    </row>
    <row r="2932" spans="1:22" x14ac:dyDescent="0.25">
      <c r="A2932" t="s">
        <v>84</v>
      </c>
      <c r="B2932" s="24">
        <v>8</v>
      </c>
      <c r="C2932" t="s">
        <v>186</v>
      </c>
      <c r="D2932" t="s">
        <v>12</v>
      </c>
      <c r="E2932" t="s">
        <v>215</v>
      </c>
      <c r="F2932" t="s">
        <v>73</v>
      </c>
      <c r="H2932" t="s">
        <v>10</v>
      </c>
      <c r="I2932" t="s">
        <v>219</v>
      </c>
      <c r="J2932">
        <v>11</v>
      </c>
      <c r="K2932">
        <v>1</v>
      </c>
      <c r="N2932">
        <f>Таблица1[[#This Row],[Часов на заказчика  в работе]]+Таблица1[[#This Row],[Часов на заказчика  дежурство]]</f>
        <v>0</v>
      </c>
      <c r="O29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2" s="9">
        <v>174000</v>
      </c>
      <c r="R2932" s="9">
        <v>5000</v>
      </c>
      <c r="S2932" s="5">
        <v>1</v>
      </c>
      <c r="T29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табеле]])*S2932,0)</f>
        <v>5800</v>
      </c>
      <c r="U2932" s="5">
        <f>IF(Таблица1[[#This Row],[ТТН]]&gt;0,Таблица1[[#This Row],[Ставка за ТТН]]*Таблица1[[#This Row],[ТТН]],0)</f>
        <v>5000</v>
      </c>
    </row>
    <row r="2933" spans="1:22" x14ac:dyDescent="0.25">
      <c r="A2933" t="s">
        <v>84</v>
      </c>
      <c r="B2933" s="24">
        <v>9</v>
      </c>
      <c r="C2933" t="s">
        <v>186</v>
      </c>
      <c r="D2933" t="s">
        <v>12</v>
      </c>
      <c r="E2933" t="s">
        <v>215</v>
      </c>
      <c r="F2933" t="s">
        <v>73</v>
      </c>
      <c r="H2933" t="s">
        <v>10</v>
      </c>
      <c r="I2933" t="s">
        <v>219</v>
      </c>
      <c r="J2933">
        <v>22</v>
      </c>
      <c r="N2933">
        <f>Таблица1[[#This Row],[Часов на заказчика  в работе]]+Таблица1[[#This Row],[Часов на заказчика  дежурство]]</f>
        <v>0</v>
      </c>
      <c r="O29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3" s="9">
        <v>174000</v>
      </c>
      <c r="R2933" s="9"/>
      <c r="S2933" s="5">
        <v>1</v>
      </c>
      <c r="T29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табеле]])*S2933,0)</f>
        <v>11600</v>
      </c>
      <c r="U2933" s="5">
        <f>IF(Таблица1[[#This Row],[ТТН]]&gt;0,Таблица1[[#This Row],[Ставка за ТТН]]*Таблица1[[#This Row],[ТТН]],0)</f>
        <v>0</v>
      </c>
    </row>
    <row r="2934" spans="1:22" x14ac:dyDescent="0.25">
      <c r="A2934" t="s">
        <v>84</v>
      </c>
      <c r="B2934" s="24">
        <v>10</v>
      </c>
      <c r="C2934" t="s">
        <v>186</v>
      </c>
      <c r="D2934" t="s">
        <v>12</v>
      </c>
      <c r="E2934" t="s">
        <v>215</v>
      </c>
      <c r="F2934" t="s">
        <v>73</v>
      </c>
      <c r="H2934" t="s">
        <v>10</v>
      </c>
      <c r="I2934" t="s">
        <v>219</v>
      </c>
      <c r="J2934">
        <v>11</v>
      </c>
      <c r="N2934">
        <f>Таблица1[[#This Row],[Часов на заказчика  в работе]]+Таблица1[[#This Row],[Часов на заказчика  дежурство]]</f>
        <v>0</v>
      </c>
      <c r="O29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4" s="9">
        <v>174000</v>
      </c>
      <c r="R2934" s="9"/>
      <c r="S2934" s="5">
        <v>1</v>
      </c>
      <c r="T29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табеле]])*S2934,0)</f>
        <v>5800</v>
      </c>
      <c r="U2934" s="5">
        <f>IF(Таблица1[[#This Row],[ТТН]]&gt;0,Таблица1[[#This Row],[Ставка за ТТН]]*Таблица1[[#This Row],[ТТН]],0)</f>
        <v>0</v>
      </c>
    </row>
    <row r="2935" spans="1:22" x14ac:dyDescent="0.25">
      <c r="A2935" t="s">
        <v>84</v>
      </c>
      <c r="B2935" s="24">
        <v>11</v>
      </c>
      <c r="C2935" t="s">
        <v>186</v>
      </c>
      <c r="D2935" t="s">
        <v>12</v>
      </c>
      <c r="E2935" t="s">
        <v>215</v>
      </c>
      <c r="F2935" t="s">
        <v>73</v>
      </c>
      <c r="H2935" t="s">
        <v>10</v>
      </c>
      <c r="I2935" t="s">
        <v>219</v>
      </c>
      <c r="J2935">
        <v>22</v>
      </c>
      <c r="N2935">
        <f>Таблица1[[#This Row],[Часов на заказчика  в работе]]+Таблица1[[#This Row],[Часов на заказчика  дежурство]]</f>
        <v>0</v>
      </c>
      <c r="O29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5" s="9">
        <v>174000</v>
      </c>
      <c r="R2935" s="9"/>
      <c r="S2935" s="5">
        <v>1</v>
      </c>
      <c r="T29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табеле]])*S2935,0)</f>
        <v>11600</v>
      </c>
      <c r="U2935" s="5">
        <f>IF(Таблица1[[#This Row],[ТТН]]&gt;0,Таблица1[[#This Row],[Ставка за ТТН]]*Таблица1[[#This Row],[ТТН]],0)</f>
        <v>0</v>
      </c>
    </row>
    <row r="2936" spans="1:22" x14ac:dyDescent="0.25">
      <c r="A2936" t="s">
        <v>84</v>
      </c>
      <c r="B2936" s="24">
        <v>12</v>
      </c>
      <c r="C2936" t="s">
        <v>186</v>
      </c>
      <c r="D2936" t="s">
        <v>12</v>
      </c>
      <c r="E2936" t="s">
        <v>215</v>
      </c>
      <c r="F2936" t="s">
        <v>73</v>
      </c>
      <c r="H2936" t="s">
        <v>10</v>
      </c>
      <c r="I2936" t="s">
        <v>219</v>
      </c>
      <c r="J2936">
        <v>22</v>
      </c>
      <c r="N2936">
        <f>Таблица1[[#This Row],[Часов на заказчика  в работе]]+Таблица1[[#This Row],[Часов на заказчика  дежурство]]</f>
        <v>0</v>
      </c>
      <c r="O29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6" s="9">
        <v>174000</v>
      </c>
      <c r="R2936" s="9"/>
      <c r="S2936" s="5">
        <v>1</v>
      </c>
      <c r="T29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табеле]])*S2936,0)</f>
        <v>11600</v>
      </c>
      <c r="U2936" s="5">
        <f>IF(Таблица1[[#This Row],[ТТН]]&gt;0,Таблица1[[#This Row],[Ставка за ТТН]]*Таблица1[[#This Row],[ТТН]],0)</f>
        <v>0</v>
      </c>
    </row>
    <row r="2937" spans="1:22" x14ac:dyDescent="0.25">
      <c r="A2937" t="s">
        <v>84</v>
      </c>
      <c r="B2937" s="24">
        <v>13</v>
      </c>
      <c r="C2937" t="s">
        <v>186</v>
      </c>
      <c r="D2937" t="s">
        <v>12</v>
      </c>
      <c r="E2937" t="s">
        <v>215</v>
      </c>
      <c r="F2937" t="s">
        <v>73</v>
      </c>
      <c r="H2937" t="s">
        <v>10</v>
      </c>
      <c r="I2937" t="s">
        <v>219</v>
      </c>
      <c r="J2937">
        <v>11</v>
      </c>
      <c r="N2937">
        <f>Таблица1[[#This Row],[Часов на заказчика  в работе]]+Таблица1[[#This Row],[Часов на заказчика  дежурство]]</f>
        <v>0</v>
      </c>
      <c r="O29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7" s="9">
        <v>174000</v>
      </c>
      <c r="R2937" s="9"/>
      <c r="S2937" s="5">
        <v>1</v>
      </c>
      <c r="T29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табеле]])*S2937,0)</f>
        <v>5800</v>
      </c>
      <c r="U2937" s="5">
        <f>IF(Таблица1[[#This Row],[ТТН]]&gt;0,Таблица1[[#This Row],[Ставка за ТТН]]*Таблица1[[#This Row],[ТТН]],0)</f>
        <v>0</v>
      </c>
    </row>
    <row r="2938" spans="1:22" x14ac:dyDescent="0.25">
      <c r="A2938" t="s">
        <v>84</v>
      </c>
      <c r="B2938" s="24">
        <v>14</v>
      </c>
      <c r="C2938" t="s">
        <v>186</v>
      </c>
      <c r="D2938" t="s">
        <v>12</v>
      </c>
      <c r="E2938" t="s">
        <v>215</v>
      </c>
      <c r="F2938" t="s">
        <v>73</v>
      </c>
      <c r="H2938" t="s">
        <v>10</v>
      </c>
      <c r="I2938" t="s">
        <v>219</v>
      </c>
      <c r="J2938">
        <v>11</v>
      </c>
      <c r="K2938">
        <v>1</v>
      </c>
      <c r="N2938">
        <f>Таблица1[[#This Row],[Часов на заказчика  в работе]]+Таблица1[[#This Row],[Часов на заказчика  дежурство]]</f>
        <v>0</v>
      </c>
      <c r="O29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8" s="9">
        <v>174000</v>
      </c>
      <c r="R2938" s="9">
        <v>5000</v>
      </c>
      <c r="S2938" s="5">
        <v>1</v>
      </c>
      <c r="T29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табеле]])*S2938,0)</f>
        <v>5800</v>
      </c>
      <c r="U2938" s="5">
        <f>IF(Таблица1[[#This Row],[ТТН]]&gt;0,Таблица1[[#This Row],[Ставка за ТТН]]*Таблица1[[#This Row],[ТТН]],0)</f>
        <v>5000</v>
      </c>
    </row>
    <row r="2939" spans="1:22" x14ac:dyDescent="0.25">
      <c r="A2939" t="s">
        <v>84</v>
      </c>
      <c r="B2939" s="24">
        <v>15</v>
      </c>
      <c r="C2939" t="s">
        <v>186</v>
      </c>
      <c r="D2939" t="s">
        <v>12</v>
      </c>
      <c r="E2939" t="s">
        <v>215</v>
      </c>
      <c r="F2939" t="s">
        <v>73</v>
      </c>
      <c r="H2939" t="s">
        <v>10</v>
      </c>
      <c r="I2939" t="s">
        <v>219</v>
      </c>
      <c r="J2939">
        <v>22</v>
      </c>
      <c r="N2939">
        <f>Таблица1[[#This Row],[Часов на заказчика  в работе]]+Таблица1[[#This Row],[Часов на заказчика  дежурство]]</f>
        <v>0</v>
      </c>
      <c r="O29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39" s="9">
        <v>174000</v>
      </c>
      <c r="R2939" s="9"/>
      <c r="S2939" s="5">
        <v>1</v>
      </c>
      <c r="T29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табеле]])*S2939,0)</f>
        <v>11600</v>
      </c>
      <c r="U2939" s="5">
        <f>IF(Таблица1[[#This Row],[ТТН]]&gt;0,Таблица1[[#This Row],[Ставка за ТТН]]*Таблица1[[#This Row],[ТТН]],0)</f>
        <v>0</v>
      </c>
    </row>
    <row r="2940" spans="1:22" x14ac:dyDescent="0.25">
      <c r="A2940" t="s">
        <v>84</v>
      </c>
      <c r="B2940" s="24">
        <v>16</v>
      </c>
      <c r="C2940" t="s">
        <v>186</v>
      </c>
      <c r="D2940" t="s">
        <v>12</v>
      </c>
      <c r="E2940" t="s">
        <v>215</v>
      </c>
      <c r="F2940" t="s">
        <v>73</v>
      </c>
      <c r="H2940" t="s">
        <v>10</v>
      </c>
      <c r="I2940" t="s">
        <v>219</v>
      </c>
      <c r="J2940">
        <v>11</v>
      </c>
      <c r="N2940">
        <f>Таблица1[[#This Row],[Часов на заказчика  в работе]]+Таблица1[[#This Row],[Часов на заказчика  дежурство]]</f>
        <v>0</v>
      </c>
      <c r="O29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0" s="9">
        <v>174000</v>
      </c>
      <c r="R2940" s="9"/>
      <c r="S2940" s="5">
        <v>1</v>
      </c>
      <c r="T29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табеле]])*S2940,0)</f>
        <v>5800</v>
      </c>
      <c r="U2940" s="5">
        <f>IF(Таблица1[[#This Row],[ТТН]]&gt;0,Таблица1[[#This Row],[Ставка за ТТН]]*Таблица1[[#This Row],[ТТН]],0)</f>
        <v>0</v>
      </c>
    </row>
    <row r="2941" spans="1:22" x14ac:dyDescent="0.25">
      <c r="A2941" t="s">
        <v>84</v>
      </c>
      <c r="B2941" s="24">
        <v>17</v>
      </c>
      <c r="C2941" t="s">
        <v>186</v>
      </c>
      <c r="D2941" t="s">
        <v>12</v>
      </c>
      <c r="E2941" t="s">
        <v>215</v>
      </c>
      <c r="F2941" t="s">
        <v>73</v>
      </c>
      <c r="H2941" t="s">
        <v>10</v>
      </c>
      <c r="I2941" t="s">
        <v>219</v>
      </c>
      <c r="J2941">
        <v>11</v>
      </c>
      <c r="N2941">
        <f>Таблица1[[#This Row],[Часов на заказчика  в работе]]+Таблица1[[#This Row],[Часов на заказчика  дежурство]]</f>
        <v>0</v>
      </c>
      <c r="O29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1" s="9">
        <v>174000</v>
      </c>
      <c r="R2941" s="9"/>
      <c r="S2941" s="5">
        <v>1</v>
      </c>
      <c r="T29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табеле]])*S2941,0)</f>
        <v>5800</v>
      </c>
      <c r="U2941" s="5">
        <f>IF(Таблица1[[#This Row],[ТТН]]&gt;0,Таблица1[[#This Row],[Ставка за ТТН]]*Таблица1[[#This Row],[ТТН]],0)</f>
        <v>0</v>
      </c>
    </row>
    <row r="2942" spans="1:22" x14ac:dyDescent="0.25">
      <c r="A2942" t="s">
        <v>84</v>
      </c>
      <c r="B2942" s="24">
        <v>18</v>
      </c>
      <c r="C2942" t="s">
        <v>186</v>
      </c>
      <c r="D2942" t="s">
        <v>12</v>
      </c>
      <c r="E2942" t="s">
        <v>215</v>
      </c>
      <c r="F2942" t="s">
        <v>73</v>
      </c>
      <c r="H2942" t="s">
        <v>10</v>
      </c>
      <c r="I2942" t="s">
        <v>219</v>
      </c>
      <c r="J2942">
        <v>22</v>
      </c>
      <c r="N2942">
        <f>Таблица1[[#This Row],[Часов на заказчика  в работе]]+Таблица1[[#This Row],[Часов на заказчика  дежурство]]</f>
        <v>0</v>
      </c>
      <c r="O29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2" s="9">
        <v>174000</v>
      </c>
      <c r="R2942" s="9"/>
      <c r="S2942" s="5">
        <v>1</v>
      </c>
      <c r="T29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табеле]])*S2942,0)</f>
        <v>11600</v>
      </c>
      <c r="U2942" s="5">
        <f>IF(Таблица1[[#This Row],[ТТН]]&gt;0,Таблица1[[#This Row],[Ставка за ТТН]]*Таблица1[[#This Row],[ТТН]],0)</f>
        <v>0</v>
      </c>
    </row>
    <row r="2943" spans="1:22" x14ac:dyDescent="0.25">
      <c r="A2943" t="s">
        <v>84</v>
      </c>
      <c r="B2943" s="24">
        <v>19</v>
      </c>
      <c r="C2943" t="s">
        <v>186</v>
      </c>
      <c r="D2943" t="s">
        <v>12</v>
      </c>
      <c r="E2943" t="s">
        <v>215</v>
      </c>
      <c r="F2943" t="s">
        <v>73</v>
      </c>
      <c r="H2943" t="s">
        <v>10</v>
      </c>
      <c r="I2943" t="s">
        <v>219</v>
      </c>
      <c r="J2943">
        <v>11</v>
      </c>
      <c r="K2943">
        <v>1</v>
      </c>
      <c r="N2943">
        <f>Таблица1[[#This Row],[Часов на заказчика  в работе]]+Таблица1[[#This Row],[Часов на заказчика  дежурство]]</f>
        <v>0</v>
      </c>
      <c r="O29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3" s="9">
        <v>174000</v>
      </c>
      <c r="R2943" s="9">
        <v>5000</v>
      </c>
      <c r="S2943" s="5">
        <v>1</v>
      </c>
      <c r="T29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табеле]])*S2943,0)</f>
        <v>5800</v>
      </c>
      <c r="U2943" s="5">
        <f>IF(Таблица1[[#This Row],[ТТН]]&gt;0,Таблица1[[#This Row],[Ставка за ТТН]]*Таблица1[[#This Row],[ТТН]],0)</f>
        <v>5000</v>
      </c>
      <c r="V2943" t="s">
        <v>97</v>
      </c>
    </row>
    <row r="2944" spans="1:22" x14ac:dyDescent="0.25">
      <c r="A2944" t="s">
        <v>84</v>
      </c>
      <c r="B2944" s="24">
        <v>20</v>
      </c>
      <c r="C2944" t="s">
        <v>186</v>
      </c>
      <c r="D2944" t="s">
        <v>12</v>
      </c>
      <c r="E2944" t="s">
        <v>215</v>
      </c>
      <c r="F2944" t="s">
        <v>73</v>
      </c>
      <c r="H2944" t="s">
        <v>10</v>
      </c>
      <c r="I2944" t="s">
        <v>219</v>
      </c>
      <c r="J2944">
        <v>22</v>
      </c>
      <c r="N2944">
        <f>Таблица1[[#This Row],[Часов на заказчика  в работе]]+Таблица1[[#This Row],[Часов на заказчика  дежурство]]</f>
        <v>0</v>
      </c>
      <c r="O29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4" s="9">
        <v>174000</v>
      </c>
      <c r="R2944" s="9"/>
      <c r="S2944" s="5">
        <v>1</v>
      </c>
      <c r="T29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табеле]])*S2944,0)</f>
        <v>11600</v>
      </c>
      <c r="U2944" s="5">
        <f>IF(Таблица1[[#This Row],[ТТН]]&gt;0,Таблица1[[#This Row],[Ставка за ТТН]]*Таблица1[[#This Row],[ТТН]],0)</f>
        <v>0</v>
      </c>
    </row>
    <row r="2945" spans="1:22" x14ac:dyDescent="0.25">
      <c r="A2945" t="s">
        <v>84</v>
      </c>
      <c r="B2945" s="24">
        <v>21</v>
      </c>
      <c r="C2945" t="s">
        <v>186</v>
      </c>
      <c r="D2945" t="s">
        <v>12</v>
      </c>
      <c r="E2945" t="s">
        <v>215</v>
      </c>
      <c r="F2945" t="s">
        <v>73</v>
      </c>
      <c r="H2945" t="s">
        <v>10</v>
      </c>
      <c r="I2945" t="s">
        <v>219</v>
      </c>
      <c r="J2945">
        <v>11</v>
      </c>
      <c r="N2945">
        <f>Таблица1[[#This Row],[Часов на заказчика  в работе]]+Таблица1[[#This Row],[Часов на заказчика  дежурство]]</f>
        <v>0</v>
      </c>
      <c r="O29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5" s="9">
        <v>174000</v>
      </c>
      <c r="R2945" s="9"/>
      <c r="S2945" s="5">
        <v>1</v>
      </c>
      <c r="T29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табеле]])*S2945,0)</f>
        <v>5800</v>
      </c>
      <c r="U2945" s="5">
        <f>IF(Таблица1[[#This Row],[ТТН]]&gt;0,Таблица1[[#This Row],[Ставка за ТТН]]*Таблица1[[#This Row],[ТТН]],0)</f>
        <v>0</v>
      </c>
    </row>
    <row r="2946" spans="1:22" x14ac:dyDescent="0.25">
      <c r="A2946" t="s">
        <v>84</v>
      </c>
      <c r="B2946" s="24">
        <v>22</v>
      </c>
      <c r="C2946" t="s">
        <v>186</v>
      </c>
      <c r="D2946" t="s">
        <v>12</v>
      </c>
      <c r="E2946" t="s">
        <v>215</v>
      </c>
      <c r="F2946" t="s">
        <v>73</v>
      </c>
      <c r="H2946" t="s">
        <v>10</v>
      </c>
      <c r="I2946" t="s">
        <v>219</v>
      </c>
      <c r="J2946">
        <v>11</v>
      </c>
      <c r="N2946">
        <f>Таблица1[[#This Row],[Часов на заказчика  в работе]]+Таблица1[[#This Row],[Часов на заказчика  дежурство]]</f>
        <v>0</v>
      </c>
      <c r="O29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6" s="9">
        <v>174000</v>
      </c>
      <c r="R2946" s="9"/>
      <c r="S2946" s="5">
        <v>1</v>
      </c>
      <c r="T29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табеле]])*S2946,0)</f>
        <v>5800</v>
      </c>
      <c r="U2946" s="5">
        <f>IF(Таблица1[[#This Row],[ТТН]]&gt;0,Таблица1[[#This Row],[Ставка за ТТН]]*Таблица1[[#This Row],[ТТН]],0)</f>
        <v>0</v>
      </c>
    </row>
    <row r="2947" spans="1:22" x14ac:dyDescent="0.25">
      <c r="A2947" t="s">
        <v>84</v>
      </c>
      <c r="B2947" s="24">
        <v>23</v>
      </c>
      <c r="C2947" t="s">
        <v>186</v>
      </c>
      <c r="D2947" t="s">
        <v>12</v>
      </c>
      <c r="E2947" t="s">
        <v>215</v>
      </c>
      <c r="F2947" t="s">
        <v>73</v>
      </c>
      <c r="H2947" t="s">
        <v>10</v>
      </c>
      <c r="I2947" t="s">
        <v>219</v>
      </c>
      <c r="J2947">
        <v>11</v>
      </c>
      <c r="N2947">
        <f>Таблица1[[#This Row],[Часов на заказчика  в работе]]+Таблица1[[#This Row],[Часов на заказчика  дежурство]]</f>
        <v>0</v>
      </c>
      <c r="O29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7" s="9">
        <v>174000</v>
      </c>
      <c r="R2947" s="9"/>
      <c r="S2947" s="5">
        <v>1</v>
      </c>
      <c r="T29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табеле]])*S2947,0)</f>
        <v>5800</v>
      </c>
      <c r="U2947" s="5">
        <f>IF(Таблица1[[#This Row],[ТТН]]&gt;0,Таблица1[[#This Row],[Ставка за ТТН]]*Таблица1[[#This Row],[ТТН]],0)</f>
        <v>0</v>
      </c>
    </row>
    <row r="2948" spans="1:22" x14ac:dyDescent="0.25">
      <c r="A2948" t="s">
        <v>84</v>
      </c>
      <c r="B2948" s="24">
        <v>24</v>
      </c>
      <c r="C2948" t="s">
        <v>186</v>
      </c>
      <c r="D2948" t="s">
        <v>12</v>
      </c>
      <c r="E2948" t="s">
        <v>215</v>
      </c>
      <c r="F2948" t="s">
        <v>73</v>
      </c>
      <c r="H2948" t="s">
        <v>10</v>
      </c>
      <c r="I2948" t="s">
        <v>219</v>
      </c>
      <c r="J2948">
        <v>22</v>
      </c>
      <c r="N2948">
        <f>Таблица1[[#This Row],[Часов на заказчика  в работе]]+Таблица1[[#This Row],[Часов на заказчика  дежурство]]</f>
        <v>0</v>
      </c>
      <c r="O29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8" s="9">
        <v>174000</v>
      </c>
      <c r="R2948" s="9"/>
      <c r="S2948" s="5">
        <v>1</v>
      </c>
      <c r="T29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табеле]])*S2948,0)</f>
        <v>11600</v>
      </c>
      <c r="U2948" s="5">
        <f>IF(Таблица1[[#This Row],[ТТН]]&gt;0,Таблица1[[#This Row],[Ставка за ТТН]]*Таблица1[[#This Row],[ТТН]],0)</f>
        <v>0</v>
      </c>
    </row>
    <row r="2949" spans="1:22" x14ac:dyDescent="0.25">
      <c r="A2949" t="s">
        <v>84</v>
      </c>
      <c r="B2949" s="24">
        <v>25</v>
      </c>
      <c r="C2949" t="s">
        <v>186</v>
      </c>
      <c r="D2949" t="s">
        <v>12</v>
      </c>
      <c r="E2949" t="s">
        <v>215</v>
      </c>
      <c r="F2949" t="s">
        <v>73</v>
      </c>
      <c r="H2949" t="s">
        <v>10</v>
      </c>
      <c r="I2949" t="s">
        <v>219</v>
      </c>
      <c r="J2949">
        <v>11</v>
      </c>
      <c r="N2949">
        <f>Таблица1[[#This Row],[Часов на заказчика  в работе]]+Таблица1[[#This Row],[Часов на заказчика  дежурство]]</f>
        <v>0</v>
      </c>
      <c r="O29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49" s="9">
        <v>174000</v>
      </c>
      <c r="R2949" s="9"/>
      <c r="S2949" s="5">
        <v>1</v>
      </c>
      <c r="T29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табеле]])*S2949,0)</f>
        <v>5800</v>
      </c>
      <c r="U2949" s="5">
        <f>IF(Таблица1[[#This Row],[ТТН]]&gt;0,Таблица1[[#This Row],[Ставка за ТТН]]*Таблица1[[#This Row],[ТТН]],0)</f>
        <v>0</v>
      </c>
    </row>
    <row r="2950" spans="1:22" x14ac:dyDescent="0.25">
      <c r="A2950" t="s">
        <v>84</v>
      </c>
      <c r="B2950" s="24">
        <v>26</v>
      </c>
      <c r="C2950" t="s">
        <v>186</v>
      </c>
      <c r="D2950" t="s">
        <v>12</v>
      </c>
      <c r="E2950" t="s">
        <v>215</v>
      </c>
      <c r="F2950" t="s">
        <v>73</v>
      </c>
      <c r="H2950" t="s">
        <v>10</v>
      </c>
      <c r="I2950" t="s">
        <v>219</v>
      </c>
      <c r="J2950">
        <v>11</v>
      </c>
      <c r="N2950">
        <f>Таблица1[[#This Row],[Часов на заказчика  в работе]]+Таблица1[[#This Row],[Часов на заказчика  дежурство]]</f>
        <v>0</v>
      </c>
      <c r="O29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0" s="9">
        <v>174000</v>
      </c>
      <c r="R2950" s="9"/>
      <c r="S2950" s="5">
        <v>1</v>
      </c>
      <c r="T29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табеле]])*S2950,0)</f>
        <v>5800</v>
      </c>
      <c r="U2950" s="5">
        <f>IF(Таблица1[[#This Row],[ТТН]]&gt;0,Таблица1[[#This Row],[Ставка за ТТН]]*Таблица1[[#This Row],[ТТН]],0)</f>
        <v>0</v>
      </c>
    </row>
    <row r="2951" spans="1:22" x14ac:dyDescent="0.25">
      <c r="A2951" t="s">
        <v>84</v>
      </c>
      <c r="B2951" s="24">
        <v>27</v>
      </c>
      <c r="C2951" t="s">
        <v>186</v>
      </c>
      <c r="D2951" t="s">
        <v>12</v>
      </c>
      <c r="E2951" t="s">
        <v>215</v>
      </c>
      <c r="F2951" t="s">
        <v>73</v>
      </c>
      <c r="H2951" t="s">
        <v>10</v>
      </c>
      <c r="I2951" t="s">
        <v>219</v>
      </c>
      <c r="J2951">
        <v>11</v>
      </c>
      <c r="N2951">
        <f>Таблица1[[#This Row],[Часов на заказчика  в работе]]+Таблица1[[#This Row],[Часов на заказчика  дежурство]]</f>
        <v>0</v>
      </c>
      <c r="O29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1" s="9">
        <v>174000</v>
      </c>
      <c r="R2951" s="9">
        <v>5000</v>
      </c>
      <c r="S2951" s="5">
        <v>1</v>
      </c>
      <c r="T29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табеле]])*S2951,0)</f>
        <v>5800</v>
      </c>
      <c r="U2951" s="5">
        <f>IF(Таблица1[[#This Row],[ТТН]]&gt;0,Таблица1[[#This Row],[Ставка за ТТН]]*Таблица1[[#This Row],[ТТН]],0)</f>
        <v>0</v>
      </c>
    </row>
    <row r="2952" spans="1:22" x14ac:dyDescent="0.25">
      <c r="A2952" t="s">
        <v>84</v>
      </c>
      <c r="B2952" s="24">
        <v>28</v>
      </c>
      <c r="C2952" t="s">
        <v>186</v>
      </c>
      <c r="D2952" t="s">
        <v>12</v>
      </c>
      <c r="E2952" t="s">
        <v>215</v>
      </c>
      <c r="F2952" t="s">
        <v>73</v>
      </c>
      <c r="H2952" t="s">
        <v>10</v>
      </c>
      <c r="I2952" t="s">
        <v>219</v>
      </c>
      <c r="J2952">
        <v>11</v>
      </c>
      <c r="N2952">
        <f>Таблица1[[#This Row],[Часов на заказчика  в работе]]+Таблица1[[#This Row],[Часов на заказчика  дежурство]]</f>
        <v>0</v>
      </c>
      <c r="O29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2" s="9">
        <v>174000</v>
      </c>
      <c r="R2952" s="9"/>
      <c r="S2952" s="5">
        <v>1</v>
      </c>
      <c r="T29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табеле]])*S2952,0)</f>
        <v>5800</v>
      </c>
      <c r="U2952" s="5">
        <f>IF(Таблица1[[#This Row],[ТТН]]&gt;0,Таблица1[[#This Row],[Ставка за ТТН]]*Таблица1[[#This Row],[ТТН]],0)</f>
        <v>0</v>
      </c>
    </row>
    <row r="2953" spans="1:22" x14ac:dyDescent="0.25">
      <c r="A2953" t="s">
        <v>84</v>
      </c>
      <c r="B2953" s="24">
        <v>29</v>
      </c>
      <c r="C2953" t="s">
        <v>186</v>
      </c>
      <c r="D2953" t="s">
        <v>12</v>
      </c>
      <c r="E2953" t="s">
        <v>215</v>
      </c>
      <c r="F2953" t="s">
        <v>73</v>
      </c>
      <c r="H2953" t="s">
        <v>24</v>
      </c>
      <c r="I2953" t="s">
        <v>217</v>
      </c>
      <c r="J2953">
        <v>8</v>
      </c>
      <c r="N2953">
        <f>Таблица1[[#This Row],[Часов на заказчика  в работе]]+Таблица1[[#This Row],[Часов на заказчика  дежурство]]</f>
        <v>0</v>
      </c>
      <c r="O29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3" s="9">
        <v>174000</v>
      </c>
      <c r="R2953" s="9"/>
      <c r="S2953" s="5">
        <v>1</v>
      </c>
      <c r="T29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табеле]])*S2953,0)</f>
        <v>0</v>
      </c>
      <c r="U2953" s="5">
        <f>IF(Таблица1[[#This Row],[ТТН]]&gt;0,Таблица1[[#This Row],[Ставка за ТТН]]*Таблица1[[#This Row],[ТТН]],0)</f>
        <v>0</v>
      </c>
    </row>
    <row r="2954" spans="1:22" x14ac:dyDescent="0.25">
      <c r="A2954" t="s">
        <v>84</v>
      </c>
      <c r="B2954" s="24">
        <v>30</v>
      </c>
      <c r="C2954" t="s">
        <v>187</v>
      </c>
      <c r="D2954" t="s">
        <v>12</v>
      </c>
      <c r="E2954" t="s">
        <v>215</v>
      </c>
      <c r="F2954" t="s">
        <v>73</v>
      </c>
      <c r="H2954" t="s">
        <v>24</v>
      </c>
      <c r="I2954" t="s">
        <v>217</v>
      </c>
      <c r="J2954">
        <v>8</v>
      </c>
      <c r="N2954">
        <f>Таблица1[[#This Row],[Часов на заказчика  в работе]]+Таблица1[[#This Row],[Часов на заказчика  дежурство]]</f>
        <v>0</v>
      </c>
      <c r="O29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4" s="9">
        <v>174000</v>
      </c>
      <c r="R2954" s="9"/>
      <c r="S2954" s="5">
        <v>1</v>
      </c>
      <c r="T29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табеле]])*S2954,0)</f>
        <v>0</v>
      </c>
      <c r="U2954" s="5">
        <f>IF(Таблица1[[#This Row],[ТТН]]&gt;0,Таблица1[[#This Row],[Ставка за ТТН]]*Таблица1[[#This Row],[ТТН]],0)</f>
        <v>0</v>
      </c>
    </row>
    <row r="2955" spans="1:22" x14ac:dyDescent="0.25">
      <c r="A2955" t="s">
        <v>84</v>
      </c>
      <c r="B2955" s="24">
        <v>1</v>
      </c>
      <c r="C2955" t="s">
        <v>187</v>
      </c>
      <c r="D2955" t="s">
        <v>12</v>
      </c>
      <c r="E2955" t="s">
        <v>215</v>
      </c>
      <c r="F2955" t="s">
        <v>66</v>
      </c>
      <c r="H2955" t="s">
        <v>10</v>
      </c>
      <c r="I2955" t="s">
        <v>219</v>
      </c>
      <c r="J2955">
        <v>11</v>
      </c>
      <c r="K2955">
        <v>1</v>
      </c>
      <c r="N2955">
        <f>Таблица1[[#This Row],[Часов на заказчика  в работе]]+Таблица1[[#This Row],[Часов на заказчика  дежурство]]</f>
        <v>0</v>
      </c>
      <c r="O29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5" s="9">
        <v>162000</v>
      </c>
      <c r="R2955" s="9">
        <v>5000</v>
      </c>
      <c r="S2955" s="5">
        <v>1</v>
      </c>
      <c r="T29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табеле]])*S2955,0)</f>
        <v>5400</v>
      </c>
      <c r="U2955" s="5">
        <f>IF(Таблица1[[#This Row],[ТТН]]&gt;0,Таблица1[[#This Row],[Ставка за ТТН]]*Таблица1[[#This Row],[ТТН]],0)</f>
        <v>5000</v>
      </c>
      <c r="V2955" t="s">
        <v>98</v>
      </c>
    </row>
    <row r="2956" spans="1:22" x14ac:dyDescent="0.25">
      <c r="A2956" t="s">
        <v>84</v>
      </c>
      <c r="B2956" s="24">
        <v>2</v>
      </c>
      <c r="C2956" t="s">
        <v>187</v>
      </c>
      <c r="D2956" t="s">
        <v>12</v>
      </c>
      <c r="E2956" t="s">
        <v>215</v>
      </c>
      <c r="F2956" t="s">
        <v>66</v>
      </c>
      <c r="H2956" t="s">
        <v>10</v>
      </c>
      <c r="I2956" t="s">
        <v>219</v>
      </c>
      <c r="J2956">
        <v>22</v>
      </c>
      <c r="N2956">
        <f>Таблица1[[#This Row],[Часов на заказчика  в работе]]+Таблица1[[#This Row],[Часов на заказчика  дежурство]]</f>
        <v>0</v>
      </c>
      <c r="O29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6" s="9">
        <v>162000</v>
      </c>
      <c r="R2956" s="9"/>
      <c r="S2956" s="5">
        <v>1</v>
      </c>
      <c r="T29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табеле]])*S2956,0)</f>
        <v>10800</v>
      </c>
      <c r="U2956" s="5">
        <f>IF(Таблица1[[#This Row],[ТТН]]&gt;0,Таблица1[[#This Row],[Ставка за ТТН]]*Таблица1[[#This Row],[ТТН]],0)</f>
        <v>0</v>
      </c>
    </row>
    <row r="2957" spans="1:22" x14ac:dyDescent="0.25">
      <c r="A2957" t="s">
        <v>84</v>
      </c>
      <c r="B2957" s="24">
        <v>3</v>
      </c>
      <c r="C2957" t="s">
        <v>187</v>
      </c>
      <c r="D2957" t="s">
        <v>12</v>
      </c>
      <c r="E2957" t="s">
        <v>215</v>
      </c>
      <c r="F2957" t="s">
        <v>66</v>
      </c>
      <c r="H2957" t="s">
        <v>10</v>
      </c>
      <c r="I2957" t="s">
        <v>219</v>
      </c>
      <c r="J2957">
        <v>22</v>
      </c>
      <c r="N2957">
        <f>Таблица1[[#This Row],[Часов на заказчика  в работе]]+Таблица1[[#This Row],[Часов на заказчика  дежурство]]</f>
        <v>0</v>
      </c>
      <c r="O29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7" s="9">
        <v>162000</v>
      </c>
      <c r="R2957" s="9"/>
      <c r="S2957" s="5">
        <v>1</v>
      </c>
      <c r="T29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табеле]])*S2957,0)</f>
        <v>10800</v>
      </c>
      <c r="U2957" s="5">
        <f>IF(Таблица1[[#This Row],[ТТН]]&gt;0,Таблица1[[#This Row],[Ставка за ТТН]]*Таблица1[[#This Row],[ТТН]],0)</f>
        <v>0</v>
      </c>
    </row>
    <row r="2958" spans="1:22" x14ac:dyDescent="0.25">
      <c r="A2958" t="s">
        <v>84</v>
      </c>
      <c r="B2958" s="24">
        <v>4</v>
      </c>
      <c r="C2958" t="s">
        <v>187</v>
      </c>
      <c r="D2958" t="s">
        <v>12</v>
      </c>
      <c r="E2958" t="s">
        <v>215</v>
      </c>
      <c r="F2958" t="s">
        <v>66</v>
      </c>
      <c r="H2958" t="s">
        <v>10</v>
      </c>
      <c r="I2958" t="s">
        <v>219</v>
      </c>
      <c r="J2958">
        <v>11</v>
      </c>
      <c r="N2958">
        <f>Таблица1[[#This Row],[Часов на заказчика  в работе]]+Таблица1[[#This Row],[Часов на заказчика  дежурство]]</f>
        <v>0</v>
      </c>
      <c r="O29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8" s="9">
        <v>162000</v>
      </c>
      <c r="R2958" s="9"/>
      <c r="S2958" s="5">
        <v>1</v>
      </c>
      <c r="T29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табеле]])*S2958,0)</f>
        <v>5400</v>
      </c>
      <c r="U2958" s="5">
        <f>IF(Таблица1[[#This Row],[ТТН]]&gt;0,Таблица1[[#This Row],[Ставка за ТТН]]*Таблица1[[#This Row],[ТТН]],0)</f>
        <v>0</v>
      </c>
    </row>
    <row r="2959" spans="1:22" x14ac:dyDescent="0.25">
      <c r="A2959" t="s">
        <v>84</v>
      </c>
      <c r="B2959" s="24">
        <v>5</v>
      </c>
      <c r="C2959" t="s">
        <v>187</v>
      </c>
      <c r="D2959" t="s">
        <v>12</v>
      </c>
      <c r="E2959" t="s">
        <v>215</v>
      </c>
      <c r="F2959" t="s">
        <v>66</v>
      </c>
      <c r="H2959" t="s">
        <v>10</v>
      </c>
      <c r="I2959" t="s">
        <v>219</v>
      </c>
      <c r="J2959">
        <v>11</v>
      </c>
      <c r="N2959">
        <f>Таблица1[[#This Row],[Часов на заказчика  в работе]]+Таблица1[[#This Row],[Часов на заказчика  дежурство]]</f>
        <v>0</v>
      </c>
      <c r="O29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59" s="9">
        <v>162000</v>
      </c>
      <c r="R2959" s="9"/>
      <c r="S2959" s="5">
        <v>1</v>
      </c>
      <c r="T29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табеле]])*S2959,0)</f>
        <v>5400</v>
      </c>
      <c r="U2959" s="5">
        <f>IF(Таблица1[[#This Row],[ТТН]]&gt;0,Таблица1[[#This Row],[Ставка за ТТН]]*Таблица1[[#This Row],[ТТН]],0)</f>
        <v>0</v>
      </c>
    </row>
    <row r="2960" spans="1:22" x14ac:dyDescent="0.25">
      <c r="A2960" t="s">
        <v>84</v>
      </c>
      <c r="B2960" s="24">
        <v>6</v>
      </c>
      <c r="C2960" t="s">
        <v>187</v>
      </c>
      <c r="D2960" t="s">
        <v>12</v>
      </c>
      <c r="E2960" t="s">
        <v>215</v>
      </c>
      <c r="F2960" t="s">
        <v>66</v>
      </c>
      <c r="H2960" t="s">
        <v>10</v>
      </c>
      <c r="I2960" t="s">
        <v>219</v>
      </c>
      <c r="J2960">
        <v>11</v>
      </c>
      <c r="K2960">
        <v>1</v>
      </c>
      <c r="N2960">
        <f>Таблица1[[#This Row],[Часов на заказчика  в работе]]+Таблица1[[#This Row],[Часов на заказчика  дежурство]]</f>
        <v>0</v>
      </c>
      <c r="O29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0" s="9">
        <v>162000</v>
      </c>
      <c r="R2960" s="9">
        <v>5000</v>
      </c>
      <c r="S2960" s="5">
        <v>1</v>
      </c>
      <c r="T29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табеле]])*S2960,0)</f>
        <v>5400</v>
      </c>
      <c r="U2960" s="5">
        <f>IF(Таблица1[[#This Row],[ТТН]]&gt;0,Таблица1[[#This Row],[Ставка за ТТН]]*Таблица1[[#This Row],[ТТН]],0)</f>
        <v>5000</v>
      </c>
      <c r="V2960" t="s">
        <v>99</v>
      </c>
    </row>
    <row r="2961" spans="1:21" x14ac:dyDescent="0.25">
      <c r="A2961" t="s">
        <v>84</v>
      </c>
      <c r="B2961" s="24">
        <v>7</v>
      </c>
      <c r="C2961" t="s">
        <v>187</v>
      </c>
      <c r="D2961" t="s">
        <v>12</v>
      </c>
      <c r="E2961" t="s">
        <v>215</v>
      </c>
      <c r="F2961" t="s">
        <v>66</v>
      </c>
      <c r="H2961" t="s">
        <v>10</v>
      </c>
      <c r="I2961" t="s">
        <v>219</v>
      </c>
      <c r="J2961">
        <v>22</v>
      </c>
      <c r="N2961">
        <f>Таблица1[[#This Row],[Часов на заказчика  в работе]]+Таблица1[[#This Row],[Часов на заказчика  дежурство]]</f>
        <v>0</v>
      </c>
      <c r="O29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1" s="9">
        <v>162000</v>
      </c>
      <c r="R2961" s="9"/>
      <c r="S2961" s="5">
        <v>1</v>
      </c>
      <c r="T29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табеле]])*S2961,0)</f>
        <v>10800</v>
      </c>
      <c r="U2961" s="5">
        <f>IF(Таблица1[[#This Row],[ТТН]]&gt;0,Таблица1[[#This Row],[Ставка за ТТН]]*Таблица1[[#This Row],[ТТН]],0)</f>
        <v>0</v>
      </c>
    </row>
    <row r="2962" spans="1:21" x14ac:dyDescent="0.25">
      <c r="A2962" t="s">
        <v>84</v>
      </c>
      <c r="B2962" s="24">
        <v>8</v>
      </c>
      <c r="C2962" t="s">
        <v>187</v>
      </c>
      <c r="D2962" t="s">
        <v>12</v>
      </c>
      <c r="E2962" t="s">
        <v>215</v>
      </c>
      <c r="F2962" t="s">
        <v>66</v>
      </c>
      <c r="H2962" t="s">
        <v>10</v>
      </c>
      <c r="I2962" t="s">
        <v>219</v>
      </c>
      <c r="J2962">
        <v>11</v>
      </c>
      <c r="N2962">
        <f>Таблица1[[#This Row],[Часов на заказчика  в работе]]+Таблица1[[#This Row],[Часов на заказчика  дежурство]]</f>
        <v>0</v>
      </c>
      <c r="O29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2" s="9">
        <v>162000</v>
      </c>
      <c r="R2962" s="9"/>
      <c r="S2962" s="5">
        <v>1</v>
      </c>
      <c r="T29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табеле]])*S2962,0)</f>
        <v>5400</v>
      </c>
      <c r="U2962" s="5">
        <f>IF(Таблица1[[#This Row],[ТТН]]&gt;0,Таблица1[[#This Row],[Ставка за ТТН]]*Таблица1[[#This Row],[ТТН]],0)</f>
        <v>0</v>
      </c>
    </row>
    <row r="2963" spans="1:21" x14ac:dyDescent="0.25">
      <c r="A2963" t="s">
        <v>84</v>
      </c>
      <c r="B2963" s="24">
        <v>9</v>
      </c>
      <c r="C2963" t="s">
        <v>187</v>
      </c>
      <c r="D2963" t="s">
        <v>12</v>
      </c>
      <c r="E2963" t="s">
        <v>215</v>
      </c>
      <c r="F2963" t="s">
        <v>66</v>
      </c>
      <c r="H2963" t="s">
        <v>10</v>
      </c>
      <c r="I2963" t="s">
        <v>219</v>
      </c>
      <c r="J2963">
        <v>11</v>
      </c>
      <c r="N2963">
        <f>Таблица1[[#This Row],[Часов на заказчика  в работе]]+Таблица1[[#This Row],[Часов на заказчика  дежурство]]</f>
        <v>0</v>
      </c>
      <c r="O29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3" s="9">
        <v>162000</v>
      </c>
      <c r="R2963" s="9"/>
      <c r="S2963" s="5">
        <v>1</v>
      </c>
      <c r="T29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табеле]])*S2963,0)</f>
        <v>5400</v>
      </c>
      <c r="U2963" s="5">
        <f>IF(Таблица1[[#This Row],[ТТН]]&gt;0,Таблица1[[#This Row],[Ставка за ТТН]]*Таблица1[[#This Row],[ТТН]],0)</f>
        <v>0</v>
      </c>
    </row>
    <row r="2964" spans="1:21" x14ac:dyDescent="0.25">
      <c r="A2964" t="s">
        <v>84</v>
      </c>
      <c r="B2964" s="24">
        <v>10</v>
      </c>
      <c r="C2964" t="s">
        <v>187</v>
      </c>
      <c r="D2964" t="s">
        <v>12</v>
      </c>
      <c r="E2964" t="s">
        <v>215</v>
      </c>
      <c r="F2964" t="s">
        <v>66</v>
      </c>
      <c r="H2964" t="s">
        <v>10</v>
      </c>
      <c r="I2964" t="s">
        <v>219</v>
      </c>
      <c r="J2964">
        <v>11</v>
      </c>
      <c r="N2964">
        <f>Таблица1[[#This Row],[Часов на заказчика  в работе]]+Таблица1[[#This Row],[Часов на заказчика  дежурство]]</f>
        <v>0</v>
      </c>
      <c r="O29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4" s="9">
        <v>162000</v>
      </c>
      <c r="R2964" s="9"/>
      <c r="S2964" s="5">
        <v>1</v>
      </c>
      <c r="T29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табеле]])*S2964,0)</f>
        <v>5400</v>
      </c>
      <c r="U2964" s="5">
        <f>IF(Таблица1[[#This Row],[ТТН]]&gt;0,Таблица1[[#This Row],[Ставка за ТТН]]*Таблица1[[#This Row],[ТТН]],0)</f>
        <v>0</v>
      </c>
    </row>
    <row r="2965" spans="1:21" x14ac:dyDescent="0.25">
      <c r="A2965" t="s">
        <v>84</v>
      </c>
      <c r="B2965" s="24">
        <v>11</v>
      </c>
      <c r="C2965" t="s">
        <v>187</v>
      </c>
      <c r="D2965" t="s">
        <v>12</v>
      </c>
      <c r="E2965" t="s">
        <v>215</v>
      </c>
      <c r="F2965" t="s">
        <v>66</v>
      </c>
      <c r="H2965" t="s">
        <v>10</v>
      </c>
      <c r="I2965" t="s">
        <v>219</v>
      </c>
      <c r="J2965">
        <v>11</v>
      </c>
      <c r="K2965">
        <v>1</v>
      </c>
      <c r="N2965">
        <f>Таблица1[[#This Row],[Часов на заказчика  в работе]]+Таблица1[[#This Row],[Часов на заказчика  дежурство]]</f>
        <v>0</v>
      </c>
      <c r="O29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5" s="9">
        <v>162000</v>
      </c>
      <c r="R2965" s="9">
        <v>2000</v>
      </c>
      <c r="S2965" s="5">
        <v>1</v>
      </c>
      <c r="T29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табеле]])*S2965,0)</f>
        <v>5400</v>
      </c>
      <c r="U2965" s="5">
        <f>IF(Таблица1[[#This Row],[ТТН]]&gt;0,Таблица1[[#This Row],[Ставка за ТТН]]*Таблица1[[#This Row],[ТТН]],0)</f>
        <v>2000</v>
      </c>
    </row>
    <row r="2966" spans="1:21" x14ac:dyDescent="0.25">
      <c r="A2966" t="s">
        <v>84</v>
      </c>
      <c r="B2966" s="24">
        <v>12</v>
      </c>
      <c r="C2966" t="s">
        <v>187</v>
      </c>
      <c r="D2966" t="s">
        <v>12</v>
      </c>
      <c r="E2966" t="s">
        <v>215</v>
      </c>
      <c r="F2966" t="s">
        <v>66</v>
      </c>
      <c r="H2966" t="s">
        <v>10</v>
      </c>
      <c r="I2966" t="s">
        <v>219</v>
      </c>
      <c r="J2966">
        <v>11</v>
      </c>
      <c r="N2966">
        <f>Таблица1[[#This Row],[Часов на заказчика  в работе]]+Таблица1[[#This Row],[Часов на заказчика  дежурство]]</f>
        <v>0</v>
      </c>
      <c r="O29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6" s="9">
        <v>162000</v>
      </c>
      <c r="R2966" s="9">
        <v>2000</v>
      </c>
      <c r="S2966" s="5">
        <v>1</v>
      </c>
      <c r="T29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табеле]])*S2966,0)</f>
        <v>5400</v>
      </c>
      <c r="U2966" s="5">
        <f>IF(Таблица1[[#This Row],[ТТН]]&gt;0,Таблица1[[#This Row],[Ставка за ТТН]]*Таблица1[[#This Row],[ТТН]],0)</f>
        <v>0</v>
      </c>
    </row>
    <row r="2967" spans="1:21" x14ac:dyDescent="0.25">
      <c r="A2967" t="s">
        <v>84</v>
      </c>
      <c r="B2967" s="24">
        <v>13</v>
      </c>
      <c r="C2967" t="s">
        <v>187</v>
      </c>
      <c r="D2967" t="s">
        <v>12</v>
      </c>
      <c r="E2967" t="s">
        <v>215</v>
      </c>
      <c r="F2967" t="s">
        <v>66</v>
      </c>
      <c r="H2967" t="s">
        <v>10</v>
      </c>
      <c r="I2967" t="s">
        <v>219</v>
      </c>
      <c r="J2967">
        <v>22</v>
      </c>
      <c r="K2967">
        <v>1</v>
      </c>
      <c r="N2967">
        <f>Таблица1[[#This Row],[Часов на заказчика  в работе]]+Таблица1[[#This Row],[Часов на заказчика  дежурство]]</f>
        <v>0</v>
      </c>
      <c r="O29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7" s="9">
        <v>162000</v>
      </c>
      <c r="R2967" s="9">
        <v>2000</v>
      </c>
      <c r="S2967" s="5">
        <v>1</v>
      </c>
      <c r="T29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табеле]])*S2967,0)</f>
        <v>10800</v>
      </c>
      <c r="U2967" s="5">
        <f>IF(Таблица1[[#This Row],[ТТН]]&gt;0,Таблица1[[#This Row],[Ставка за ТТН]]*Таблица1[[#This Row],[ТТН]],0)</f>
        <v>2000</v>
      </c>
    </row>
    <row r="2968" spans="1:21" x14ac:dyDescent="0.25">
      <c r="A2968" t="s">
        <v>84</v>
      </c>
      <c r="B2968" s="24">
        <v>14</v>
      </c>
      <c r="C2968" t="s">
        <v>187</v>
      </c>
      <c r="D2968" t="s">
        <v>12</v>
      </c>
      <c r="E2968" t="s">
        <v>215</v>
      </c>
      <c r="F2968" t="s">
        <v>66</v>
      </c>
      <c r="H2968" t="s">
        <v>10</v>
      </c>
      <c r="I2968" t="s">
        <v>219</v>
      </c>
      <c r="J2968">
        <v>11</v>
      </c>
      <c r="K2968">
        <v>1</v>
      </c>
      <c r="N2968">
        <f>Таблица1[[#This Row],[Часов на заказчика  в работе]]+Таблица1[[#This Row],[Часов на заказчика  дежурство]]</f>
        <v>0</v>
      </c>
      <c r="O29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8" s="9">
        <v>162000</v>
      </c>
      <c r="R2968" s="9">
        <v>2000</v>
      </c>
      <c r="S2968" s="5">
        <v>1</v>
      </c>
      <c r="T29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табеле]])*S2968,0)</f>
        <v>5400</v>
      </c>
      <c r="U2968" s="5">
        <f>IF(Таблица1[[#This Row],[ТТН]]&gt;0,Таблица1[[#This Row],[Ставка за ТТН]]*Таблица1[[#This Row],[ТТН]],0)</f>
        <v>2000</v>
      </c>
    </row>
    <row r="2969" spans="1:21" x14ac:dyDescent="0.25">
      <c r="A2969" t="s">
        <v>84</v>
      </c>
      <c r="B2969" s="24">
        <v>15</v>
      </c>
      <c r="C2969" t="s">
        <v>187</v>
      </c>
      <c r="D2969" t="s">
        <v>12</v>
      </c>
      <c r="E2969" t="s">
        <v>215</v>
      </c>
      <c r="F2969" t="s">
        <v>66</v>
      </c>
      <c r="H2969" t="s">
        <v>10</v>
      </c>
      <c r="I2969" t="s">
        <v>219</v>
      </c>
      <c r="J2969">
        <v>22</v>
      </c>
      <c r="K2969">
        <v>1</v>
      </c>
      <c r="N2969">
        <f>Таблица1[[#This Row],[Часов на заказчика  в работе]]+Таблица1[[#This Row],[Часов на заказчика  дежурство]]</f>
        <v>0</v>
      </c>
      <c r="O29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69" s="9">
        <v>162000</v>
      </c>
      <c r="R2969" s="9">
        <v>2000</v>
      </c>
      <c r="S2969" s="5">
        <v>1</v>
      </c>
      <c r="T29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табеле]])*S2969,0)</f>
        <v>10800</v>
      </c>
      <c r="U2969" s="5">
        <f>IF(Таблица1[[#This Row],[ТТН]]&gt;0,Таблица1[[#This Row],[Ставка за ТТН]]*Таблица1[[#This Row],[ТТН]],0)</f>
        <v>2000</v>
      </c>
    </row>
    <row r="2970" spans="1:21" x14ac:dyDescent="0.25">
      <c r="A2970" t="s">
        <v>84</v>
      </c>
      <c r="B2970" s="24">
        <v>16</v>
      </c>
      <c r="C2970" t="s">
        <v>187</v>
      </c>
      <c r="D2970" t="s">
        <v>12</v>
      </c>
      <c r="E2970" t="s">
        <v>215</v>
      </c>
      <c r="F2970" t="s">
        <v>66</v>
      </c>
      <c r="H2970" t="s">
        <v>10</v>
      </c>
      <c r="I2970" t="s">
        <v>219</v>
      </c>
      <c r="J2970">
        <v>22</v>
      </c>
      <c r="K2970">
        <v>2</v>
      </c>
      <c r="N2970">
        <f>Таблица1[[#This Row],[Часов на заказчика  в работе]]+Таблица1[[#This Row],[Часов на заказчика  дежурство]]</f>
        <v>0</v>
      </c>
      <c r="O29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0" s="9">
        <v>162000</v>
      </c>
      <c r="R2970" s="9">
        <v>2000</v>
      </c>
      <c r="S2970" s="5">
        <v>1</v>
      </c>
      <c r="T29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табеле]])*S2970,0)</f>
        <v>10800</v>
      </c>
      <c r="U2970" s="5">
        <f>IF(Таблица1[[#This Row],[ТТН]]&gt;0,Таблица1[[#This Row],[Ставка за ТТН]]*Таблица1[[#This Row],[ТТН]],0)</f>
        <v>4000</v>
      </c>
    </row>
    <row r="2971" spans="1:21" x14ac:dyDescent="0.25">
      <c r="A2971" t="s">
        <v>84</v>
      </c>
      <c r="B2971" s="24">
        <v>17</v>
      </c>
      <c r="C2971" t="s">
        <v>187</v>
      </c>
      <c r="D2971" t="s">
        <v>12</v>
      </c>
      <c r="E2971" t="s">
        <v>215</v>
      </c>
      <c r="F2971" t="s">
        <v>66</v>
      </c>
      <c r="H2971" t="s">
        <v>10</v>
      </c>
      <c r="I2971" t="s">
        <v>219</v>
      </c>
      <c r="J2971">
        <v>22</v>
      </c>
      <c r="K2971">
        <v>3</v>
      </c>
      <c r="N2971">
        <f>Таблица1[[#This Row],[Часов на заказчика  в работе]]+Таблица1[[#This Row],[Часов на заказчика  дежурство]]</f>
        <v>0</v>
      </c>
      <c r="O29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1" s="9">
        <v>162000</v>
      </c>
      <c r="R2971" s="9">
        <v>2000</v>
      </c>
      <c r="S2971" s="5">
        <v>1</v>
      </c>
      <c r="T29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табеле]])*S2971,0)</f>
        <v>10800</v>
      </c>
      <c r="U2971" s="5">
        <f>IF(Таблица1[[#This Row],[ТТН]]&gt;0,Таблица1[[#This Row],[Ставка за ТТН]]*Таблица1[[#This Row],[ТТН]],0)</f>
        <v>6000</v>
      </c>
    </row>
    <row r="2972" spans="1:21" x14ac:dyDescent="0.25">
      <c r="A2972" t="s">
        <v>84</v>
      </c>
      <c r="B2972" s="24">
        <v>18</v>
      </c>
      <c r="C2972" t="s">
        <v>187</v>
      </c>
      <c r="D2972" t="s">
        <v>12</v>
      </c>
      <c r="E2972" t="s">
        <v>215</v>
      </c>
      <c r="F2972" t="s">
        <v>66</v>
      </c>
      <c r="H2972" t="s">
        <v>10</v>
      </c>
      <c r="I2972" t="s">
        <v>219</v>
      </c>
      <c r="J2972">
        <v>22</v>
      </c>
      <c r="K2972">
        <v>3</v>
      </c>
      <c r="N2972">
        <f>Таблица1[[#This Row],[Часов на заказчика  в работе]]+Таблица1[[#This Row],[Часов на заказчика  дежурство]]</f>
        <v>0</v>
      </c>
      <c r="O29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2" s="9">
        <v>162000</v>
      </c>
      <c r="R2972" s="9">
        <v>2000</v>
      </c>
      <c r="S2972" s="5">
        <v>1</v>
      </c>
      <c r="T29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табеле]])*S2972,0)</f>
        <v>10800</v>
      </c>
      <c r="U2972" s="5">
        <f>IF(Таблица1[[#This Row],[ТТН]]&gt;0,Таблица1[[#This Row],[Ставка за ТТН]]*Таблица1[[#This Row],[ТТН]],0)</f>
        <v>6000</v>
      </c>
    </row>
    <row r="2973" spans="1:21" x14ac:dyDescent="0.25">
      <c r="A2973" t="s">
        <v>84</v>
      </c>
      <c r="B2973" s="24">
        <v>19</v>
      </c>
      <c r="C2973" t="s">
        <v>187</v>
      </c>
      <c r="D2973" t="s">
        <v>12</v>
      </c>
      <c r="E2973" t="s">
        <v>215</v>
      </c>
      <c r="F2973" t="s">
        <v>66</v>
      </c>
      <c r="H2973" t="s">
        <v>10</v>
      </c>
      <c r="I2973" t="s">
        <v>219</v>
      </c>
      <c r="J2973">
        <v>22</v>
      </c>
      <c r="K2973">
        <v>1</v>
      </c>
      <c r="N2973">
        <f>Таблица1[[#This Row],[Часов на заказчика  в работе]]+Таблица1[[#This Row],[Часов на заказчика  дежурство]]</f>
        <v>0</v>
      </c>
      <c r="O29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3" s="9">
        <v>162000</v>
      </c>
      <c r="R2973" s="9">
        <v>2000</v>
      </c>
      <c r="S2973" s="5">
        <v>1</v>
      </c>
      <c r="T29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табеле]])*S2973,0)</f>
        <v>10800</v>
      </c>
      <c r="U2973" s="5">
        <f>IF(Таблица1[[#This Row],[ТТН]]&gt;0,Таблица1[[#This Row],[Ставка за ТТН]]*Таблица1[[#This Row],[ТТН]],0)</f>
        <v>2000</v>
      </c>
    </row>
    <row r="2974" spans="1:21" x14ac:dyDescent="0.25">
      <c r="A2974" t="s">
        <v>84</v>
      </c>
      <c r="B2974" s="24">
        <v>20</v>
      </c>
      <c r="C2974" t="s">
        <v>187</v>
      </c>
      <c r="D2974" t="s">
        <v>12</v>
      </c>
      <c r="E2974" t="s">
        <v>215</v>
      </c>
      <c r="F2974" t="s">
        <v>66</v>
      </c>
      <c r="H2974" t="s">
        <v>10</v>
      </c>
      <c r="I2974" t="s">
        <v>219</v>
      </c>
      <c r="J2974">
        <v>22</v>
      </c>
      <c r="K2974">
        <v>2</v>
      </c>
      <c r="N2974">
        <f>Таблица1[[#This Row],[Часов на заказчика  в работе]]+Таблица1[[#This Row],[Часов на заказчика  дежурство]]</f>
        <v>0</v>
      </c>
      <c r="O29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4" s="9">
        <v>162000</v>
      </c>
      <c r="R2974" s="9">
        <v>2000</v>
      </c>
      <c r="S2974" s="5">
        <v>1</v>
      </c>
      <c r="T29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табеле]])*S2974,0)</f>
        <v>10800</v>
      </c>
      <c r="U2974" s="5">
        <f>IF(Таблица1[[#This Row],[ТТН]]&gt;0,Таблица1[[#This Row],[Ставка за ТТН]]*Таблица1[[#This Row],[ТТН]],0)</f>
        <v>4000</v>
      </c>
    </row>
    <row r="2975" spans="1:21" x14ac:dyDescent="0.25">
      <c r="A2975" t="s">
        <v>84</v>
      </c>
      <c r="B2975" s="24">
        <v>21</v>
      </c>
      <c r="C2975" t="s">
        <v>187</v>
      </c>
      <c r="D2975" t="s">
        <v>12</v>
      </c>
      <c r="E2975" t="s">
        <v>215</v>
      </c>
      <c r="F2975" t="s">
        <v>66</v>
      </c>
      <c r="H2975" t="s">
        <v>10</v>
      </c>
      <c r="I2975" t="s">
        <v>219</v>
      </c>
      <c r="J2975">
        <v>11</v>
      </c>
      <c r="K2975">
        <v>1</v>
      </c>
      <c r="N2975">
        <f>Таблица1[[#This Row],[Часов на заказчика  в работе]]+Таблица1[[#This Row],[Часов на заказчика  дежурство]]</f>
        <v>0</v>
      </c>
      <c r="O29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5" s="9">
        <v>162000</v>
      </c>
      <c r="R2975" s="9">
        <v>2000</v>
      </c>
      <c r="S2975" s="5">
        <v>1</v>
      </c>
      <c r="T29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табеле]])*S2975,0)</f>
        <v>5400</v>
      </c>
      <c r="U2975" s="5">
        <f>IF(Таблица1[[#This Row],[ТТН]]&gt;0,Таблица1[[#This Row],[Ставка за ТТН]]*Таблица1[[#This Row],[ТТН]],0)</f>
        <v>2000</v>
      </c>
    </row>
    <row r="2976" spans="1:21" x14ac:dyDescent="0.25">
      <c r="A2976" t="s">
        <v>84</v>
      </c>
      <c r="B2976" s="24">
        <v>22</v>
      </c>
      <c r="C2976" t="s">
        <v>187</v>
      </c>
      <c r="D2976" t="s">
        <v>12</v>
      </c>
      <c r="E2976" t="s">
        <v>215</v>
      </c>
      <c r="F2976" t="s">
        <v>66</v>
      </c>
      <c r="H2976" t="s">
        <v>10</v>
      </c>
      <c r="I2976" t="s">
        <v>219</v>
      </c>
      <c r="J2976">
        <v>22</v>
      </c>
      <c r="K2976">
        <v>1</v>
      </c>
      <c r="N2976">
        <f>Таблица1[[#This Row],[Часов на заказчика  в работе]]+Таблица1[[#This Row],[Часов на заказчика  дежурство]]</f>
        <v>0</v>
      </c>
      <c r="O29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6" s="9">
        <v>162000</v>
      </c>
      <c r="R2976" s="9">
        <v>2000</v>
      </c>
      <c r="S2976" s="5">
        <v>1</v>
      </c>
      <c r="T29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табеле]])*S2976,0)</f>
        <v>10800</v>
      </c>
      <c r="U2976" s="5">
        <f>IF(Таблица1[[#This Row],[ТТН]]&gt;0,Таблица1[[#This Row],[Ставка за ТТН]]*Таблица1[[#This Row],[ТТН]],0)</f>
        <v>2000</v>
      </c>
    </row>
    <row r="2977" spans="1:21" x14ac:dyDescent="0.25">
      <c r="A2977" t="s">
        <v>84</v>
      </c>
      <c r="B2977" s="24">
        <v>23</v>
      </c>
      <c r="C2977" t="s">
        <v>187</v>
      </c>
      <c r="D2977" t="s">
        <v>12</v>
      </c>
      <c r="E2977" t="s">
        <v>215</v>
      </c>
      <c r="F2977" t="s">
        <v>66</v>
      </c>
      <c r="H2977" t="s">
        <v>10</v>
      </c>
      <c r="I2977" t="s">
        <v>219</v>
      </c>
      <c r="J2977">
        <v>11</v>
      </c>
      <c r="N2977">
        <f>Таблица1[[#This Row],[Часов на заказчика  в работе]]+Таблица1[[#This Row],[Часов на заказчика  дежурство]]</f>
        <v>0</v>
      </c>
      <c r="O29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7" s="9">
        <v>162000</v>
      </c>
      <c r="R2977" s="9">
        <v>2000</v>
      </c>
      <c r="S2977" s="5">
        <v>1</v>
      </c>
      <c r="T29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табеле]])*S2977,0)</f>
        <v>5400</v>
      </c>
      <c r="U2977" s="5">
        <f>IF(Таблица1[[#This Row],[ТТН]]&gt;0,Таблица1[[#This Row],[Ставка за ТТН]]*Таблица1[[#This Row],[ТТН]],0)</f>
        <v>0</v>
      </c>
    </row>
    <row r="2978" spans="1:21" x14ac:dyDescent="0.25">
      <c r="A2978" t="s">
        <v>84</v>
      </c>
      <c r="B2978" s="24">
        <v>24</v>
      </c>
      <c r="C2978" t="s">
        <v>187</v>
      </c>
      <c r="D2978" t="s">
        <v>12</v>
      </c>
      <c r="E2978" t="s">
        <v>215</v>
      </c>
      <c r="F2978" t="s">
        <v>66</v>
      </c>
      <c r="H2978" t="s">
        <v>10</v>
      </c>
      <c r="I2978" t="s">
        <v>219</v>
      </c>
      <c r="J2978">
        <v>11</v>
      </c>
      <c r="N2978">
        <f>Таблица1[[#This Row],[Часов на заказчика  в работе]]+Таблица1[[#This Row],[Часов на заказчика  дежурство]]</f>
        <v>0</v>
      </c>
      <c r="O29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8" s="9">
        <v>162000</v>
      </c>
      <c r="R2978" s="9">
        <v>2000</v>
      </c>
      <c r="S2978" s="5">
        <v>1</v>
      </c>
      <c r="T29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табеле]])*S2978,0)</f>
        <v>5400</v>
      </c>
      <c r="U2978" s="5">
        <f>IF(Таблица1[[#This Row],[ТТН]]&gt;0,Таблица1[[#This Row],[Ставка за ТТН]]*Таблица1[[#This Row],[ТТН]],0)</f>
        <v>0</v>
      </c>
    </row>
    <row r="2979" spans="1:21" x14ac:dyDescent="0.25">
      <c r="A2979" t="s">
        <v>84</v>
      </c>
      <c r="B2979" s="24">
        <v>25</v>
      </c>
      <c r="C2979" t="s">
        <v>187</v>
      </c>
      <c r="D2979" t="s">
        <v>12</v>
      </c>
      <c r="E2979" t="s">
        <v>215</v>
      </c>
      <c r="F2979" t="s">
        <v>66</v>
      </c>
      <c r="H2979" t="s">
        <v>10</v>
      </c>
      <c r="I2979" t="s">
        <v>219</v>
      </c>
      <c r="J2979">
        <v>22</v>
      </c>
      <c r="K2979">
        <v>2</v>
      </c>
      <c r="N2979">
        <f>Таблица1[[#This Row],[Часов на заказчика  в работе]]+Таблица1[[#This Row],[Часов на заказчика  дежурство]]</f>
        <v>0</v>
      </c>
      <c r="O29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79" s="9">
        <v>162000</v>
      </c>
      <c r="R2979" s="9">
        <v>2000</v>
      </c>
      <c r="S2979" s="5">
        <v>1</v>
      </c>
      <c r="T29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табеле]])*S2979,0)</f>
        <v>10800</v>
      </c>
      <c r="U2979" s="5">
        <f>IF(Таблица1[[#This Row],[ТТН]]&gt;0,Таблица1[[#This Row],[Ставка за ТТН]]*Таблица1[[#This Row],[ТТН]],0)</f>
        <v>4000</v>
      </c>
    </row>
    <row r="2980" spans="1:21" x14ac:dyDescent="0.25">
      <c r="A2980" t="s">
        <v>84</v>
      </c>
      <c r="B2980" s="24">
        <v>26</v>
      </c>
      <c r="C2980" t="s">
        <v>187</v>
      </c>
      <c r="D2980" t="s">
        <v>12</v>
      </c>
      <c r="E2980" t="s">
        <v>215</v>
      </c>
      <c r="F2980" t="s">
        <v>66</v>
      </c>
      <c r="H2980" t="s">
        <v>10</v>
      </c>
      <c r="I2980" t="s">
        <v>219</v>
      </c>
      <c r="J2980">
        <v>22</v>
      </c>
      <c r="K2980">
        <v>3</v>
      </c>
      <c r="N2980">
        <f>Таблица1[[#This Row],[Часов на заказчика  в работе]]+Таблица1[[#This Row],[Часов на заказчика  дежурство]]</f>
        <v>0</v>
      </c>
      <c r="O29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0" s="9">
        <v>162000</v>
      </c>
      <c r="R2980" s="9">
        <v>2000</v>
      </c>
      <c r="S2980" s="5">
        <v>1</v>
      </c>
      <c r="T29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табеле]])*S2980,0)</f>
        <v>10800</v>
      </c>
      <c r="U2980" s="5">
        <f>IF(Таблица1[[#This Row],[ТТН]]&gt;0,Таблица1[[#This Row],[Ставка за ТТН]]*Таблица1[[#This Row],[ТТН]],0)</f>
        <v>6000</v>
      </c>
    </row>
    <row r="2981" spans="1:21" x14ac:dyDescent="0.25">
      <c r="A2981" t="s">
        <v>84</v>
      </c>
      <c r="B2981" s="24">
        <v>27</v>
      </c>
      <c r="C2981" t="s">
        <v>187</v>
      </c>
      <c r="D2981" t="s">
        <v>12</v>
      </c>
      <c r="E2981" t="s">
        <v>215</v>
      </c>
      <c r="F2981" t="s">
        <v>66</v>
      </c>
      <c r="H2981" t="s">
        <v>10</v>
      </c>
      <c r="I2981" t="s">
        <v>219</v>
      </c>
      <c r="J2981">
        <v>22</v>
      </c>
      <c r="K2981">
        <v>1</v>
      </c>
      <c r="N2981">
        <f>Таблица1[[#This Row],[Часов на заказчика  в работе]]+Таблица1[[#This Row],[Часов на заказчика  дежурство]]</f>
        <v>0</v>
      </c>
      <c r="O29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1" s="9">
        <v>162000</v>
      </c>
      <c r="R2981" s="9">
        <v>2000</v>
      </c>
      <c r="S2981" s="5">
        <v>1</v>
      </c>
      <c r="T29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табеле]])*S2981,0)</f>
        <v>10800</v>
      </c>
      <c r="U2981" s="5">
        <f>IF(Таблица1[[#This Row],[ТТН]]&gt;0,Таблица1[[#This Row],[Ставка за ТТН]]*Таблица1[[#This Row],[ТТН]],0)</f>
        <v>2000</v>
      </c>
    </row>
    <row r="2982" spans="1:21" x14ac:dyDescent="0.25">
      <c r="A2982" t="s">
        <v>84</v>
      </c>
      <c r="B2982" s="24">
        <v>28</v>
      </c>
      <c r="C2982" t="s">
        <v>187</v>
      </c>
      <c r="D2982" t="s">
        <v>12</v>
      </c>
      <c r="E2982" t="s">
        <v>215</v>
      </c>
      <c r="F2982" t="s">
        <v>66</v>
      </c>
      <c r="H2982" t="s">
        <v>10</v>
      </c>
      <c r="I2982" t="s">
        <v>219</v>
      </c>
      <c r="J2982">
        <v>11</v>
      </c>
      <c r="N2982">
        <f>Таблица1[[#This Row],[Часов на заказчика  в работе]]+Таблица1[[#This Row],[Часов на заказчика  дежурство]]</f>
        <v>0</v>
      </c>
      <c r="O29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2" s="9">
        <v>162000</v>
      </c>
      <c r="R2982" s="9">
        <v>2000</v>
      </c>
      <c r="S2982" s="5">
        <v>1</v>
      </c>
      <c r="T29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табеле]])*S2982,0)</f>
        <v>5400</v>
      </c>
      <c r="U2982" s="5">
        <f>IF(Таблица1[[#This Row],[ТТН]]&gt;0,Таблица1[[#This Row],[Ставка за ТТН]]*Таблица1[[#This Row],[ТТН]],0)</f>
        <v>0</v>
      </c>
    </row>
    <row r="2983" spans="1:21" x14ac:dyDescent="0.25">
      <c r="A2983" t="s">
        <v>84</v>
      </c>
      <c r="B2983" s="24">
        <v>29</v>
      </c>
      <c r="C2983" t="s">
        <v>187</v>
      </c>
      <c r="D2983" t="s">
        <v>12</v>
      </c>
      <c r="E2983" t="s">
        <v>215</v>
      </c>
      <c r="F2983" t="s">
        <v>66</v>
      </c>
      <c r="H2983" t="s">
        <v>10</v>
      </c>
      <c r="I2983" t="s">
        <v>219</v>
      </c>
      <c r="J2983">
        <v>22</v>
      </c>
      <c r="K2983">
        <v>1</v>
      </c>
      <c r="N2983">
        <f>Таблица1[[#This Row],[Часов на заказчика  в работе]]+Таблица1[[#This Row],[Часов на заказчика  дежурство]]</f>
        <v>0</v>
      </c>
      <c r="O29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3" s="9">
        <v>162000</v>
      </c>
      <c r="R2983" s="9">
        <v>2000</v>
      </c>
      <c r="S2983" s="5">
        <v>1</v>
      </c>
      <c r="T29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табеле]])*S2983,0)</f>
        <v>10800</v>
      </c>
      <c r="U2983" s="5">
        <f>IF(Таблица1[[#This Row],[ТТН]]&gt;0,Таблица1[[#This Row],[Ставка за ТТН]]*Таблица1[[#This Row],[ТТН]],0)</f>
        <v>2000</v>
      </c>
    </row>
    <row r="2984" spans="1:21" x14ac:dyDescent="0.25">
      <c r="A2984" t="s">
        <v>84</v>
      </c>
      <c r="B2984" s="24">
        <v>30</v>
      </c>
      <c r="C2984" t="s">
        <v>188</v>
      </c>
      <c r="D2984" t="s">
        <v>12</v>
      </c>
      <c r="E2984" t="s">
        <v>215</v>
      </c>
      <c r="F2984" t="s">
        <v>66</v>
      </c>
      <c r="H2984" t="s">
        <v>10</v>
      </c>
      <c r="I2984" t="s">
        <v>219</v>
      </c>
      <c r="J2984">
        <v>11</v>
      </c>
      <c r="K2984">
        <v>1</v>
      </c>
      <c r="N2984">
        <f>Таблица1[[#This Row],[Часов на заказчика  в работе]]+Таблица1[[#This Row],[Часов на заказчика  дежурство]]</f>
        <v>0</v>
      </c>
      <c r="O29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4" s="9">
        <v>162000</v>
      </c>
      <c r="R2984" s="9">
        <v>2000</v>
      </c>
      <c r="S2984" s="5">
        <v>1</v>
      </c>
      <c r="T29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табеле]])*S2984,0)</f>
        <v>5400</v>
      </c>
      <c r="U2984" s="5">
        <f>IF(Таблица1[[#This Row],[ТТН]]&gt;0,Таблица1[[#This Row],[Ставка за ТТН]]*Таблица1[[#This Row],[ТТН]],0)</f>
        <v>2000</v>
      </c>
    </row>
    <row r="2985" spans="1:21" x14ac:dyDescent="0.25">
      <c r="A2985" t="s">
        <v>84</v>
      </c>
      <c r="B2985" s="24">
        <v>1</v>
      </c>
      <c r="C2985" t="s">
        <v>188</v>
      </c>
      <c r="D2985" t="s">
        <v>79</v>
      </c>
      <c r="E2985" t="s">
        <v>216</v>
      </c>
      <c r="F2985" t="s">
        <v>79</v>
      </c>
      <c r="H2985" t="s">
        <v>29</v>
      </c>
      <c r="I2985" t="s">
        <v>217</v>
      </c>
      <c r="J2985">
        <v>8</v>
      </c>
      <c r="N2985">
        <f>Таблица1[[#This Row],[Часов на заказчика  в работе]]+Таблица1[[#This Row],[Часов на заказчика  дежурство]]</f>
        <v>0</v>
      </c>
      <c r="O29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5" s="9">
        <v>100000</v>
      </c>
      <c r="R2985" s="9"/>
      <c r="S2985" s="5">
        <v>1</v>
      </c>
      <c r="T29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табеле]])*S2985,0)</f>
        <v>0</v>
      </c>
      <c r="U2985" s="5">
        <f>IF(Таблица1[[#This Row],[ТТН]]&gt;0,Таблица1[[#This Row],[Ставка за ТТН]]*Таблица1[[#This Row],[ТТН]],0)</f>
        <v>0</v>
      </c>
    </row>
    <row r="2986" spans="1:21" x14ac:dyDescent="0.25">
      <c r="A2986" t="s">
        <v>84</v>
      </c>
      <c r="B2986" s="24">
        <v>2</v>
      </c>
      <c r="C2986" t="s">
        <v>188</v>
      </c>
      <c r="D2986" t="s">
        <v>79</v>
      </c>
      <c r="E2986" t="s">
        <v>216</v>
      </c>
      <c r="F2986" t="s">
        <v>79</v>
      </c>
      <c r="H2986" t="s">
        <v>29</v>
      </c>
      <c r="I2986" t="s">
        <v>217</v>
      </c>
      <c r="J2986">
        <v>8</v>
      </c>
      <c r="N2986">
        <f>Таблица1[[#This Row],[Часов на заказчика  в работе]]+Таблица1[[#This Row],[Часов на заказчика  дежурство]]</f>
        <v>0</v>
      </c>
      <c r="O29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6" s="9">
        <v>100000</v>
      </c>
      <c r="R2986" s="9"/>
      <c r="S2986" s="5">
        <v>1</v>
      </c>
      <c r="T29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табеле]])*S2986,0)</f>
        <v>0</v>
      </c>
      <c r="U2986" s="5">
        <f>IF(Таблица1[[#This Row],[ТТН]]&gt;0,Таблица1[[#This Row],[Ставка за ТТН]]*Таблица1[[#This Row],[ТТН]],0)</f>
        <v>0</v>
      </c>
    </row>
    <row r="2987" spans="1:21" x14ac:dyDescent="0.25">
      <c r="A2987" t="s">
        <v>84</v>
      </c>
      <c r="B2987" s="24">
        <v>3</v>
      </c>
      <c r="C2987" t="s">
        <v>188</v>
      </c>
      <c r="D2987" t="s">
        <v>79</v>
      </c>
      <c r="E2987" t="s">
        <v>216</v>
      </c>
      <c r="F2987" t="s">
        <v>79</v>
      </c>
      <c r="H2987" t="s">
        <v>29</v>
      </c>
      <c r="I2987" t="s">
        <v>217</v>
      </c>
      <c r="J2987">
        <v>8</v>
      </c>
      <c r="N2987">
        <f>Таблица1[[#This Row],[Часов на заказчика  в работе]]+Таблица1[[#This Row],[Часов на заказчика  дежурство]]</f>
        <v>0</v>
      </c>
      <c r="O29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7" s="9">
        <v>100000</v>
      </c>
      <c r="R2987" s="9"/>
      <c r="S2987" s="5">
        <v>1</v>
      </c>
      <c r="T29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табеле]])*S2987,0)</f>
        <v>0</v>
      </c>
      <c r="U2987" s="5">
        <f>IF(Таблица1[[#This Row],[ТТН]]&gt;0,Таблица1[[#This Row],[Ставка за ТТН]]*Таблица1[[#This Row],[ТТН]],0)</f>
        <v>0</v>
      </c>
    </row>
    <row r="2988" spans="1:21" x14ac:dyDescent="0.25">
      <c r="A2988" t="s">
        <v>84</v>
      </c>
      <c r="B2988" s="24">
        <v>4</v>
      </c>
      <c r="C2988" t="s">
        <v>188</v>
      </c>
      <c r="D2988" t="s">
        <v>79</v>
      </c>
      <c r="E2988" t="s">
        <v>216</v>
      </c>
      <c r="F2988" t="s">
        <v>79</v>
      </c>
      <c r="H2988" t="s">
        <v>29</v>
      </c>
      <c r="I2988" t="s">
        <v>217</v>
      </c>
      <c r="J2988">
        <v>8</v>
      </c>
      <c r="N2988">
        <f>Таблица1[[#This Row],[Часов на заказчика  в работе]]+Таблица1[[#This Row],[Часов на заказчика  дежурство]]</f>
        <v>0</v>
      </c>
      <c r="O29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8" s="9">
        <v>100000</v>
      </c>
      <c r="R2988" s="9"/>
      <c r="S2988" s="5">
        <v>1</v>
      </c>
      <c r="T29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табеле]])*S2988,0)</f>
        <v>0</v>
      </c>
      <c r="U2988" s="5">
        <f>IF(Таблица1[[#This Row],[ТТН]]&gt;0,Таблица1[[#This Row],[Ставка за ТТН]]*Таблица1[[#This Row],[ТТН]],0)</f>
        <v>0</v>
      </c>
    </row>
    <row r="2989" spans="1:21" x14ac:dyDescent="0.25">
      <c r="A2989" t="s">
        <v>84</v>
      </c>
      <c r="B2989" s="24">
        <v>5</v>
      </c>
      <c r="C2989" t="s">
        <v>188</v>
      </c>
      <c r="D2989" t="s">
        <v>79</v>
      </c>
      <c r="E2989" t="s">
        <v>216</v>
      </c>
      <c r="F2989" t="s">
        <v>79</v>
      </c>
      <c r="H2989" t="s">
        <v>29</v>
      </c>
      <c r="I2989" t="s">
        <v>217</v>
      </c>
      <c r="J2989">
        <v>8</v>
      </c>
      <c r="N2989">
        <f>Таблица1[[#This Row],[Часов на заказчика  в работе]]+Таблица1[[#This Row],[Часов на заказчика  дежурство]]</f>
        <v>0</v>
      </c>
      <c r="O29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89" s="9">
        <v>100000</v>
      </c>
      <c r="R2989" s="9"/>
      <c r="S2989" s="5">
        <v>1</v>
      </c>
      <c r="T29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табеле]])*S2989,0)</f>
        <v>0</v>
      </c>
      <c r="U2989" s="5">
        <f>IF(Таблица1[[#This Row],[ТТН]]&gt;0,Таблица1[[#This Row],[Ставка за ТТН]]*Таблица1[[#This Row],[ТТН]],0)</f>
        <v>0</v>
      </c>
    </row>
    <row r="2990" spans="1:21" x14ac:dyDescent="0.25">
      <c r="A2990" t="s">
        <v>84</v>
      </c>
      <c r="B2990" s="24">
        <v>6</v>
      </c>
      <c r="C2990" t="s">
        <v>188</v>
      </c>
      <c r="D2990" t="s">
        <v>79</v>
      </c>
      <c r="E2990" t="s">
        <v>216</v>
      </c>
      <c r="F2990" t="s">
        <v>79</v>
      </c>
      <c r="H2990" t="s">
        <v>30</v>
      </c>
      <c r="I2990" t="s">
        <v>217</v>
      </c>
      <c r="J2990">
        <v>1</v>
      </c>
      <c r="N2990">
        <f>Таблица1[[#This Row],[Часов на заказчика  в работе]]+Таблица1[[#This Row],[Часов на заказчика  дежурство]]</f>
        <v>0</v>
      </c>
      <c r="O29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0" s="9">
        <v>100000</v>
      </c>
      <c r="R2990" s="9"/>
      <c r="S2990" s="5">
        <v>1</v>
      </c>
      <c r="T29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табеле]])*S2990,0)</f>
        <v>0</v>
      </c>
      <c r="U2990" s="5">
        <f>IF(Таблица1[[#This Row],[ТТН]]&gt;0,Таблица1[[#This Row],[Ставка за ТТН]]*Таблица1[[#This Row],[ТТН]],0)</f>
        <v>0</v>
      </c>
    </row>
    <row r="2991" spans="1:21" x14ac:dyDescent="0.25">
      <c r="A2991" t="s">
        <v>84</v>
      </c>
      <c r="B2991" s="24">
        <v>7</v>
      </c>
      <c r="C2991" t="s">
        <v>188</v>
      </c>
      <c r="D2991" t="s">
        <v>79</v>
      </c>
      <c r="E2991" t="s">
        <v>216</v>
      </c>
      <c r="F2991" t="s">
        <v>79</v>
      </c>
      <c r="H2991" t="s">
        <v>30</v>
      </c>
      <c r="I2991" t="s">
        <v>217</v>
      </c>
      <c r="J2991">
        <v>1</v>
      </c>
      <c r="N2991">
        <f>Таблица1[[#This Row],[Часов на заказчика  в работе]]+Таблица1[[#This Row],[Часов на заказчика  дежурство]]</f>
        <v>0</v>
      </c>
      <c r="O29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1" s="9">
        <v>100000</v>
      </c>
      <c r="R2991" s="9"/>
      <c r="S2991" s="5">
        <v>1</v>
      </c>
      <c r="T29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табеле]])*S2991,0)</f>
        <v>0</v>
      </c>
      <c r="U2991" s="5">
        <f>IF(Таблица1[[#This Row],[ТТН]]&gt;0,Таблица1[[#This Row],[Ставка за ТТН]]*Таблица1[[#This Row],[ТТН]],0)</f>
        <v>0</v>
      </c>
    </row>
    <row r="2992" spans="1:21" x14ac:dyDescent="0.25">
      <c r="A2992" t="s">
        <v>84</v>
      </c>
      <c r="B2992" s="24">
        <v>8</v>
      </c>
      <c r="C2992" t="s">
        <v>188</v>
      </c>
      <c r="D2992" t="s">
        <v>79</v>
      </c>
      <c r="E2992" t="s">
        <v>216</v>
      </c>
      <c r="F2992" t="s">
        <v>79</v>
      </c>
      <c r="H2992" t="s">
        <v>29</v>
      </c>
      <c r="I2992" t="s">
        <v>217</v>
      </c>
      <c r="J2992">
        <v>8</v>
      </c>
      <c r="N2992">
        <f>Таблица1[[#This Row],[Часов на заказчика  в работе]]+Таблица1[[#This Row],[Часов на заказчика  дежурство]]</f>
        <v>0</v>
      </c>
      <c r="O29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2" s="9">
        <v>100000</v>
      </c>
      <c r="R2992" s="9"/>
      <c r="S2992" s="5">
        <v>1</v>
      </c>
      <c r="T29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табеле]])*S2992,0)</f>
        <v>0</v>
      </c>
      <c r="U2992" s="5">
        <f>IF(Таблица1[[#This Row],[ТТН]]&gt;0,Таблица1[[#This Row],[Ставка за ТТН]]*Таблица1[[#This Row],[ТТН]],0)</f>
        <v>0</v>
      </c>
    </row>
    <row r="2993" spans="1:21" x14ac:dyDescent="0.25">
      <c r="A2993" t="s">
        <v>84</v>
      </c>
      <c r="B2993" s="24">
        <v>9</v>
      </c>
      <c r="C2993" t="s">
        <v>188</v>
      </c>
      <c r="D2993" t="s">
        <v>79</v>
      </c>
      <c r="E2993" t="s">
        <v>216</v>
      </c>
      <c r="F2993" t="s">
        <v>79</v>
      </c>
      <c r="H2993" t="s">
        <v>29</v>
      </c>
      <c r="I2993" t="s">
        <v>217</v>
      </c>
      <c r="J2993">
        <v>8</v>
      </c>
      <c r="N2993">
        <f>Таблица1[[#This Row],[Часов на заказчика  в работе]]+Таблица1[[#This Row],[Часов на заказчика  дежурство]]</f>
        <v>0</v>
      </c>
      <c r="O29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3" s="9">
        <v>100000</v>
      </c>
      <c r="R2993" s="9"/>
      <c r="S2993" s="5">
        <v>1</v>
      </c>
      <c r="T29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табеле]])*S2993,0)</f>
        <v>0</v>
      </c>
      <c r="U2993" s="5">
        <f>IF(Таблица1[[#This Row],[ТТН]]&gt;0,Таблица1[[#This Row],[Ставка за ТТН]]*Таблица1[[#This Row],[ТТН]],0)</f>
        <v>0</v>
      </c>
    </row>
    <row r="2994" spans="1:21" x14ac:dyDescent="0.25">
      <c r="A2994" t="s">
        <v>84</v>
      </c>
      <c r="B2994" s="24">
        <v>10</v>
      </c>
      <c r="C2994" t="s">
        <v>188</v>
      </c>
      <c r="D2994" t="s">
        <v>79</v>
      </c>
      <c r="E2994" t="s">
        <v>216</v>
      </c>
      <c r="F2994" t="s">
        <v>79</v>
      </c>
      <c r="H2994" t="s">
        <v>29</v>
      </c>
      <c r="I2994" t="s">
        <v>217</v>
      </c>
      <c r="J2994">
        <v>8</v>
      </c>
      <c r="N2994">
        <f>Таблица1[[#This Row],[Часов на заказчика  в работе]]+Таблица1[[#This Row],[Часов на заказчика  дежурство]]</f>
        <v>0</v>
      </c>
      <c r="O29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4" s="9">
        <v>100000</v>
      </c>
      <c r="R2994" s="9"/>
      <c r="S2994" s="5">
        <v>1</v>
      </c>
      <c r="T29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табеле]])*S2994,0)</f>
        <v>0</v>
      </c>
      <c r="U2994" s="5">
        <f>IF(Таблица1[[#This Row],[ТТН]]&gt;0,Таблица1[[#This Row],[Ставка за ТТН]]*Таблица1[[#This Row],[ТТН]],0)</f>
        <v>0</v>
      </c>
    </row>
    <row r="2995" spans="1:21" x14ac:dyDescent="0.25">
      <c r="A2995" t="s">
        <v>84</v>
      </c>
      <c r="B2995" s="24">
        <v>11</v>
      </c>
      <c r="C2995" t="s">
        <v>188</v>
      </c>
      <c r="D2995" t="s">
        <v>79</v>
      </c>
      <c r="E2995" t="s">
        <v>216</v>
      </c>
      <c r="F2995" t="s">
        <v>79</v>
      </c>
      <c r="H2995" t="s">
        <v>29</v>
      </c>
      <c r="I2995" t="s">
        <v>217</v>
      </c>
      <c r="J2995">
        <v>8</v>
      </c>
      <c r="N2995">
        <f>Таблица1[[#This Row],[Часов на заказчика  в работе]]+Таблица1[[#This Row],[Часов на заказчика  дежурство]]</f>
        <v>0</v>
      </c>
      <c r="O29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5" s="9">
        <v>100000</v>
      </c>
      <c r="R2995" s="9"/>
      <c r="S2995" s="5">
        <v>1</v>
      </c>
      <c r="T29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табеле]])*S2995,0)</f>
        <v>0</v>
      </c>
      <c r="U2995" s="5">
        <f>IF(Таблица1[[#This Row],[ТТН]]&gt;0,Таблица1[[#This Row],[Ставка за ТТН]]*Таблица1[[#This Row],[ТТН]],0)</f>
        <v>0</v>
      </c>
    </row>
    <row r="2996" spans="1:21" x14ac:dyDescent="0.25">
      <c r="A2996" t="s">
        <v>84</v>
      </c>
      <c r="B2996" s="24">
        <v>12</v>
      </c>
      <c r="C2996" t="s">
        <v>188</v>
      </c>
      <c r="D2996" t="s">
        <v>79</v>
      </c>
      <c r="E2996" t="s">
        <v>216</v>
      </c>
      <c r="F2996" t="s">
        <v>79</v>
      </c>
      <c r="H2996" t="s">
        <v>29</v>
      </c>
      <c r="I2996" t="s">
        <v>217</v>
      </c>
      <c r="J2996">
        <v>8</v>
      </c>
      <c r="N2996">
        <f>Таблица1[[#This Row],[Часов на заказчика  в работе]]+Таблица1[[#This Row],[Часов на заказчика  дежурство]]</f>
        <v>0</v>
      </c>
      <c r="O29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6" s="9">
        <v>100000</v>
      </c>
      <c r="R2996" s="9"/>
      <c r="S2996" s="5">
        <v>1</v>
      </c>
      <c r="T29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табеле]])*S2996,0)</f>
        <v>0</v>
      </c>
      <c r="U2996" s="5">
        <f>IF(Таблица1[[#This Row],[ТТН]]&gt;0,Таблица1[[#This Row],[Ставка за ТТН]]*Таблица1[[#This Row],[ТТН]],0)</f>
        <v>0</v>
      </c>
    </row>
    <row r="2997" spans="1:21" x14ac:dyDescent="0.25">
      <c r="A2997" t="s">
        <v>84</v>
      </c>
      <c r="B2997" s="24">
        <v>13</v>
      </c>
      <c r="C2997" t="s">
        <v>188</v>
      </c>
      <c r="D2997" t="s">
        <v>79</v>
      </c>
      <c r="E2997" t="s">
        <v>216</v>
      </c>
      <c r="F2997" t="s">
        <v>79</v>
      </c>
      <c r="H2997" t="s">
        <v>30</v>
      </c>
      <c r="I2997" t="s">
        <v>217</v>
      </c>
      <c r="J2997">
        <v>1</v>
      </c>
      <c r="N2997">
        <f>Таблица1[[#This Row],[Часов на заказчика  в работе]]+Таблица1[[#This Row],[Часов на заказчика  дежурство]]</f>
        <v>0</v>
      </c>
      <c r="O29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7" s="9">
        <v>100000</v>
      </c>
      <c r="R2997" s="9"/>
      <c r="S2997" s="5">
        <v>1</v>
      </c>
      <c r="T29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табеле]])*S2997,0)</f>
        <v>0</v>
      </c>
      <c r="U2997" s="5">
        <f>IF(Таблица1[[#This Row],[ТТН]]&gt;0,Таблица1[[#This Row],[Ставка за ТТН]]*Таблица1[[#This Row],[ТТН]],0)</f>
        <v>0</v>
      </c>
    </row>
    <row r="2998" spans="1:21" x14ac:dyDescent="0.25">
      <c r="A2998" t="s">
        <v>84</v>
      </c>
      <c r="B2998" s="24">
        <v>14</v>
      </c>
      <c r="C2998" t="s">
        <v>188</v>
      </c>
      <c r="D2998" t="s">
        <v>79</v>
      </c>
      <c r="E2998" t="s">
        <v>216</v>
      </c>
      <c r="F2998" t="s">
        <v>79</v>
      </c>
      <c r="H2998" t="s">
        <v>30</v>
      </c>
      <c r="I2998" t="s">
        <v>217</v>
      </c>
      <c r="J2998">
        <v>1</v>
      </c>
      <c r="N2998">
        <f>Таблица1[[#This Row],[Часов на заказчика  в работе]]+Таблица1[[#This Row],[Часов на заказчика  дежурство]]</f>
        <v>0</v>
      </c>
      <c r="O29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8" s="9">
        <v>100000</v>
      </c>
      <c r="R2998" s="9"/>
      <c r="S2998" s="5">
        <v>1</v>
      </c>
      <c r="T29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табеле]])*S2998,0)</f>
        <v>0</v>
      </c>
      <c r="U2998" s="5">
        <f>IF(Таблица1[[#This Row],[ТТН]]&gt;0,Таблица1[[#This Row],[Ставка за ТТН]]*Таблица1[[#This Row],[ТТН]],0)</f>
        <v>0</v>
      </c>
    </row>
    <row r="2999" spans="1:21" x14ac:dyDescent="0.25">
      <c r="A2999" t="s">
        <v>84</v>
      </c>
      <c r="B2999" s="24">
        <v>15</v>
      </c>
      <c r="C2999" t="s">
        <v>188</v>
      </c>
      <c r="D2999" t="s">
        <v>79</v>
      </c>
      <c r="E2999" t="s">
        <v>216</v>
      </c>
      <c r="F2999" t="s">
        <v>79</v>
      </c>
      <c r="H2999" t="s">
        <v>29</v>
      </c>
      <c r="I2999" t="s">
        <v>217</v>
      </c>
      <c r="J2999">
        <v>8</v>
      </c>
      <c r="N2999">
        <f>Таблица1[[#This Row],[Часов на заказчика  в работе]]+Таблица1[[#This Row],[Часов на заказчика  дежурство]]</f>
        <v>0</v>
      </c>
      <c r="O29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2999" s="9">
        <v>100000</v>
      </c>
      <c r="R2999" s="9"/>
      <c r="S2999" s="5">
        <v>1</v>
      </c>
      <c r="T29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табеле]])*S2999,0)</f>
        <v>0</v>
      </c>
      <c r="U2999" s="5">
        <f>IF(Таблица1[[#This Row],[ТТН]]&gt;0,Таблица1[[#This Row],[Ставка за ТТН]]*Таблица1[[#This Row],[ТТН]],0)</f>
        <v>0</v>
      </c>
    </row>
    <row r="3000" spans="1:21" x14ac:dyDescent="0.25">
      <c r="A3000" t="s">
        <v>84</v>
      </c>
      <c r="B3000" s="24">
        <v>16</v>
      </c>
      <c r="C3000" t="s">
        <v>188</v>
      </c>
      <c r="D3000" t="s">
        <v>79</v>
      </c>
      <c r="E3000" t="s">
        <v>216</v>
      </c>
      <c r="F3000" t="s">
        <v>79</v>
      </c>
      <c r="H3000" t="s">
        <v>29</v>
      </c>
      <c r="I3000" t="s">
        <v>217</v>
      </c>
      <c r="J3000">
        <v>8</v>
      </c>
      <c r="N3000">
        <f>Таблица1[[#This Row],[Часов на заказчика  в работе]]+Таблица1[[#This Row],[Часов на заказчика  дежурство]]</f>
        <v>0</v>
      </c>
      <c r="O30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0" s="9">
        <v>100000</v>
      </c>
      <c r="R3000" s="9"/>
      <c r="S3000" s="5">
        <v>1</v>
      </c>
      <c r="T30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табеле]])*S3000,0)</f>
        <v>0</v>
      </c>
      <c r="U3000" s="5">
        <f>IF(Таблица1[[#This Row],[ТТН]]&gt;0,Таблица1[[#This Row],[Ставка за ТТН]]*Таблица1[[#This Row],[ТТН]],0)</f>
        <v>0</v>
      </c>
    </row>
    <row r="3001" spans="1:21" x14ac:dyDescent="0.25">
      <c r="A3001" t="s">
        <v>84</v>
      </c>
      <c r="B3001" s="24">
        <v>17</v>
      </c>
      <c r="C3001" t="s">
        <v>188</v>
      </c>
      <c r="D3001" t="s">
        <v>79</v>
      </c>
      <c r="E3001" t="s">
        <v>214</v>
      </c>
      <c r="F3001" t="s">
        <v>9</v>
      </c>
      <c r="H3001" t="s">
        <v>24</v>
      </c>
      <c r="I3001" t="s">
        <v>217</v>
      </c>
      <c r="J3001">
        <v>8</v>
      </c>
      <c r="N3001">
        <f>Таблица1[[#This Row],[Часов на заказчика  в работе]]+Таблица1[[#This Row],[Часов на заказчика  дежурство]]</f>
        <v>0</v>
      </c>
      <c r="O30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1" s="9">
        <v>150000</v>
      </c>
      <c r="R3001" s="9"/>
      <c r="S3001" s="5">
        <v>1</v>
      </c>
      <c r="T30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табеле]])*S3001,0)</f>
        <v>0</v>
      </c>
      <c r="U3001" s="5">
        <f>IF(Таблица1[[#This Row],[ТТН]]&gt;0,Таблица1[[#This Row],[Ставка за ТТН]]*Таблица1[[#This Row],[ТТН]],0)</f>
        <v>0</v>
      </c>
    </row>
    <row r="3002" spans="1:21" x14ac:dyDescent="0.25">
      <c r="A3002" t="s">
        <v>84</v>
      </c>
      <c r="B3002" s="24">
        <v>18</v>
      </c>
      <c r="C3002" t="s">
        <v>188</v>
      </c>
      <c r="D3002" t="s">
        <v>79</v>
      </c>
      <c r="E3002" t="s">
        <v>214</v>
      </c>
      <c r="F3002" t="s">
        <v>9</v>
      </c>
      <c r="H3002" t="s">
        <v>24</v>
      </c>
      <c r="I3002" t="s">
        <v>217</v>
      </c>
      <c r="J3002">
        <v>8</v>
      </c>
      <c r="N3002">
        <f>Таблица1[[#This Row],[Часов на заказчика  в работе]]+Таблица1[[#This Row],[Часов на заказчика  дежурство]]</f>
        <v>0</v>
      </c>
      <c r="O30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2" s="9">
        <v>150000</v>
      </c>
      <c r="R3002" s="9"/>
      <c r="S3002" s="5">
        <v>1</v>
      </c>
      <c r="T30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табеле]])*S3002,0)</f>
        <v>0</v>
      </c>
      <c r="U3002" s="5">
        <f>IF(Таблица1[[#This Row],[ТТН]]&gt;0,Таблица1[[#This Row],[Ставка за ТТН]]*Таблица1[[#This Row],[ТТН]],0)</f>
        <v>0</v>
      </c>
    </row>
    <row r="3003" spans="1:21" x14ac:dyDescent="0.25">
      <c r="A3003" t="s">
        <v>84</v>
      </c>
      <c r="B3003" s="24">
        <v>19</v>
      </c>
      <c r="C3003" t="s">
        <v>188</v>
      </c>
      <c r="D3003" t="s">
        <v>79</v>
      </c>
      <c r="E3003" t="s">
        <v>214</v>
      </c>
      <c r="F3003" t="s">
        <v>9</v>
      </c>
      <c r="H3003" t="s">
        <v>24</v>
      </c>
      <c r="I3003" t="s">
        <v>217</v>
      </c>
      <c r="J3003">
        <v>8</v>
      </c>
      <c r="N3003">
        <f>Таблица1[[#This Row],[Часов на заказчика  в работе]]+Таблица1[[#This Row],[Часов на заказчика  дежурство]]</f>
        <v>0</v>
      </c>
      <c r="O30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3" s="9">
        <v>150000</v>
      </c>
      <c r="R3003" s="9"/>
      <c r="S3003" s="5">
        <v>1</v>
      </c>
      <c r="T30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табеле]])*S3003,0)</f>
        <v>0</v>
      </c>
      <c r="U3003" s="5">
        <f>IF(Таблица1[[#This Row],[ТТН]]&gt;0,Таблица1[[#This Row],[Ставка за ТТН]]*Таблица1[[#This Row],[ТТН]],0)</f>
        <v>0</v>
      </c>
    </row>
    <row r="3004" spans="1:21" x14ac:dyDescent="0.25">
      <c r="A3004" t="s">
        <v>84</v>
      </c>
      <c r="B3004" s="24">
        <v>20</v>
      </c>
      <c r="C3004" t="s">
        <v>188</v>
      </c>
      <c r="D3004" t="s">
        <v>79</v>
      </c>
      <c r="E3004" t="s">
        <v>214</v>
      </c>
      <c r="F3004" t="s">
        <v>9</v>
      </c>
      <c r="H3004" t="s">
        <v>24</v>
      </c>
      <c r="I3004" t="s">
        <v>217</v>
      </c>
      <c r="J3004">
        <v>8</v>
      </c>
      <c r="N3004">
        <f>Таблица1[[#This Row],[Часов на заказчика  в работе]]+Таблица1[[#This Row],[Часов на заказчика  дежурство]]</f>
        <v>0</v>
      </c>
      <c r="O30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4" s="9">
        <v>150000</v>
      </c>
      <c r="R3004" s="9"/>
      <c r="S3004" s="5">
        <v>1</v>
      </c>
      <c r="T30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табеле]])*S3004,0)</f>
        <v>0</v>
      </c>
      <c r="U3004" s="5">
        <f>IF(Таблица1[[#This Row],[ТТН]]&gt;0,Таблица1[[#This Row],[Ставка за ТТН]]*Таблица1[[#This Row],[ТТН]],0)</f>
        <v>0</v>
      </c>
    </row>
    <row r="3005" spans="1:21" x14ac:dyDescent="0.25">
      <c r="A3005" t="s">
        <v>84</v>
      </c>
      <c r="B3005" s="24">
        <v>21</v>
      </c>
      <c r="C3005" t="s">
        <v>188</v>
      </c>
      <c r="D3005" t="s">
        <v>79</v>
      </c>
      <c r="E3005" t="s">
        <v>214</v>
      </c>
      <c r="F3005" t="s">
        <v>9</v>
      </c>
      <c r="H3005" t="s">
        <v>10</v>
      </c>
      <c r="I3005" t="s">
        <v>217</v>
      </c>
      <c r="J3005">
        <v>11</v>
      </c>
      <c r="N3005">
        <f>Таблица1[[#This Row],[Часов на заказчика  в работе]]+Таблица1[[#This Row],[Часов на заказчика  дежурство]]</f>
        <v>0</v>
      </c>
      <c r="O30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5" s="9">
        <v>150000</v>
      </c>
      <c r="R3005" s="9"/>
      <c r="S3005" s="5">
        <v>1</v>
      </c>
      <c r="T30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табеле]])*S3005,0)</f>
        <v>5000</v>
      </c>
      <c r="U3005" s="5">
        <f>IF(Таблица1[[#This Row],[ТТН]]&gt;0,Таблица1[[#This Row],[Ставка за ТТН]]*Таблица1[[#This Row],[ТТН]],0)</f>
        <v>0</v>
      </c>
    </row>
    <row r="3006" spans="1:21" x14ac:dyDescent="0.25">
      <c r="A3006" t="s">
        <v>84</v>
      </c>
      <c r="B3006" s="24">
        <v>22</v>
      </c>
      <c r="C3006" t="s">
        <v>188</v>
      </c>
      <c r="D3006" t="s">
        <v>79</v>
      </c>
      <c r="E3006" t="s">
        <v>214</v>
      </c>
      <c r="F3006" t="s">
        <v>9</v>
      </c>
      <c r="H3006" t="s">
        <v>10</v>
      </c>
      <c r="I3006" t="s">
        <v>217</v>
      </c>
      <c r="J3006">
        <v>11</v>
      </c>
      <c r="N3006">
        <f>Таблица1[[#This Row],[Часов на заказчика  в работе]]+Таблица1[[#This Row],[Часов на заказчика  дежурство]]</f>
        <v>0</v>
      </c>
      <c r="O30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6" s="9">
        <v>150000</v>
      </c>
      <c r="R3006" s="9"/>
      <c r="S3006" s="5">
        <v>1</v>
      </c>
      <c r="T30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табеле]])*S3006,0)</f>
        <v>5000</v>
      </c>
      <c r="U3006" s="5">
        <f>IF(Таблица1[[#This Row],[ТТН]]&gt;0,Таблица1[[#This Row],[Ставка за ТТН]]*Таблица1[[#This Row],[ТТН]],0)</f>
        <v>0</v>
      </c>
    </row>
    <row r="3007" spans="1:21" x14ac:dyDescent="0.25">
      <c r="A3007" t="s">
        <v>84</v>
      </c>
      <c r="B3007" s="24">
        <v>23</v>
      </c>
      <c r="C3007" t="s">
        <v>188</v>
      </c>
      <c r="D3007" t="s">
        <v>79</v>
      </c>
      <c r="E3007" t="s">
        <v>214</v>
      </c>
      <c r="F3007" t="s">
        <v>9</v>
      </c>
      <c r="H3007" t="s">
        <v>10</v>
      </c>
      <c r="I3007" t="s">
        <v>217</v>
      </c>
      <c r="J3007">
        <v>11</v>
      </c>
      <c r="N3007">
        <f>Таблица1[[#This Row],[Часов на заказчика  в работе]]+Таблица1[[#This Row],[Часов на заказчика  дежурство]]</f>
        <v>0</v>
      </c>
      <c r="O30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7" s="9">
        <v>150000</v>
      </c>
      <c r="R3007" s="9"/>
      <c r="S3007" s="5">
        <v>1</v>
      </c>
      <c r="T30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табеле]])*S3007,0)</f>
        <v>5000</v>
      </c>
      <c r="U3007" s="5">
        <f>IF(Таблица1[[#This Row],[ТТН]]&gt;0,Таблица1[[#This Row],[Ставка за ТТН]]*Таблица1[[#This Row],[ТТН]],0)</f>
        <v>0</v>
      </c>
    </row>
    <row r="3008" spans="1:21" x14ac:dyDescent="0.25">
      <c r="A3008" t="s">
        <v>84</v>
      </c>
      <c r="B3008" s="24">
        <v>24</v>
      </c>
      <c r="C3008" t="s">
        <v>188</v>
      </c>
      <c r="D3008" t="s">
        <v>79</v>
      </c>
      <c r="E3008" t="s">
        <v>214</v>
      </c>
      <c r="F3008" t="s">
        <v>9</v>
      </c>
      <c r="H3008" t="s">
        <v>10</v>
      </c>
      <c r="I3008" t="s">
        <v>217</v>
      </c>
      <c r="J3008">
        <v>11</v>
      </c>
      <c r="N3008">
        <f>Таблица1[[#This Row],[Часов на заказчика  в работе]]+Таблица1[[#This Row],[Часов на заказчика  дежурство]]</f>
        <v>0</v>
      </c>
      <c r="O30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8" s="9">
        <v>150000</v>
      </c>
      <c r="R3008" s="9"/>
      <c r="S3008" s="5">
        <v>1</v>
      </c>
      <c r="T30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табеле]])*S3008,0)</f>
        <v>5000</v>
      </c>
      <c r="U3008" s="5">
        <f>IF(Таблица1[[#This Row],[ТТН]]&gt;0,Таблица1[[#This Row],[Ставка за ТТН]]*Таблица1[[#This Row],[ТТН]],0)</f>
        <v>0</v>
      </c>
    </row>
    <row r="3009" spans="1:21" x14ac:dyDescent="0.25">
      <c r="A3009" t="s">
        <v>84</v>
      </c>
      <c r="B3009" s="24">
        <v>25</v>
      </c>
      <c r="C3009" t="s">
        <v>188</v>
      </c>
      <c r="D3009" t="s">
        <v>79</v>
      </c>
      <c r="E3009" t="s">
        <v>214</v>
      </c>
      <c r="F3009" t="s">
        <v>9</v>
      </c>
      <c r="H3009" t="s">
        <v>10</v>
      </c>
      <c r="I3009" t="s">
        <v>217</v>
      </c>
      <c r="J3009">
        <v>11</v>
      </c>
      <c r="N3009">
        <f>Таблица1[[#This Row],[Часов на заказчика  в работе]]+Таблица1[[#This Row],[Часов на заказчика  дежурство]]</f>
        <v>0</v>
      </c>
      <c r="O30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09" s="9">
        <v>150000</v>
      </c>
      <c r="R3009" s="9"/>
      <c r="S3009" s="5">
        <v>1</v>
      </c>
      <c r="T30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табеле]])*S3009,0)</f>
        <v>5000</v>
      </c>
      <c r="U3009" s="5">
        <f>IF(Таблица1[[#This Row],[ТТН]]&gt;0,Таблица1[[#This Row],[Ставка за ТТН]]*Таблица1[[#This Row],[ТТН]],0)</f>
        <v>0</v>
      </c>
    </row>
    <row r="3010" spans="1:21" x14ac:dyDescent="0.25">
      <c r="A3010" t="s">
        <v>84</v>
      </c>
      <c r="B3010" s="24">
        <v>26</v>
      </c>
      <c r="C3010" t="s">
        <v>188</v>
      </c>
      <c r="D3010" t="s">
        <v>79</v>
      </c>
      <c r="E3010" t="s">
        <v>214</v>
      </c>
      <c r="F3010" t="s">
        <v>9</v>
      </c>
      <c r="H3010" t="s">
        <v>10</v>
      </c>
      <c r="I3010" t="s">
        <v>217</v>
      </c>
      <c r="J3010">
        <v>11</v>
      </c>
      <c r="N3010">
        <f>Таблица1[[#This Row],[Часов на заказчика  в работе]]+Таблица1[[#This Row],[Часов на заказчика  дежурство]]</f>
        <v>0</v>
      </c>
      <c r="O30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0" s="9">
        <v>150000</v>
      </c>
      <c r="R3010" s="9"/>
      <c r="S3010" s="5">
        <v>1</v>
      </c>
      <c r="T30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табеле]])*S3010,0)</f>
        <v>5000</v>
      </c>
      <c r="U3010" s="5">
        <f>IF(Таблица1[[#This Row],[ТТН]]&gt;0,Таблица1[[#This Row],[Ставка за ТТН]]*Таблица1[[#This Row],[ТТН]],0)</f>
        <v>0</v>
      </c>
    </row>
    <row r="3011" spans="1:21" x14ac:dyDescent="0.25">
      <c r="A3011" t="s">
        <v>84</v>
      </c>
      <c r="B3011" s="24">
        <v>27</v>
      </c>
      <c r="C3011" t="s">
        <v>188</v>
      </c>
      <c r="D3011" t="s">
        <v>79</v>
      </c>
      <c r="E3011" t="s">
        <v>214</v>
      </c>
      <c r="F3011" t="s">
        <v>9</v>
      </c>
      <c r="H3011" t="s">
        <v>10</v>
      </c>
      <c r="I3011" t="s">
        <v>217</v>
      </c>
      <c r="J3011">
        <v>11</v>
      </c>
      <c r="N3011">
        <f>Таблица1[[#This Row],[Часов на заказчика  в работе]]+Таблица1[[#This Row],[Часов на заказчика  дежурство]]</f>
        <v>0</v>
      </c>
      <c r="O30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1" s="9">
        <v>150000</v>
      </c>
      <c r="R3011" s="9"/>
      <c r="S3011" s="5">
        <v>1</v>
      </c>
      <c r="T30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табеле]])*S3011,0)</f>
        <v>5000</v>
      </c>
      <c r="U3011" s="5">
        <f>IF(Таблица1[[#This Row],[ТТН]]&gt;0,Таблица1[[#This Row],[Ставка за ТТН]]*Таблица1[[#This Row],[ТТН]],0)</f>
        <v>0</v>
      </c>
    </row>
    <row r="3012" spans="1:21" x14ac:dyDescent="0.25">
      <c r="A3012" t="s">
        <v>84</v>
      </c>
      <c r="B3012" s="24">
        <v>28</v>
      </c>
      <c r="C3012" t="s">
        <v>188</v>
      </c>
      <c r="D3012" t="s">
        <v>79</v>
      </c>
      <c r="E3012" t="s">
        <v>214</v>
      </c>
      <c r="F3012" t="s">
        <v>9</v>
      </c>
      <c r="H3012" t="s">
        <v>10</v>
      </c>
      <c r="I3012" t="s">
        <v>217</v>
      </c>
      <c r="J3012">
        <v>11</v>
      </c>
      <c r="N3012">
        <f>Таблица1[[#This Row],[Часов на заказчика  в работе]]+Таблица1[[#This Row],[Часов на заказчика  дежурство]]</f>
        <v>0</v>
      </c>
      <c r="O30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2" s="9">
        <v>150000</v>
      </c>
      <c r="R3012" s="9"/>
      <c r="S3012" s="5">
        <v>1</v>
      </c>
      <c r="T30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табеле]])*S3012,0)</f>
        <v>5000</v>
      </c>
      <c r="U3012" s="5">
        <f>IF(Таблица1[[#This Row],[ТТН]]&gt;0,Таблица1[[#This Row],[Ставка за ТТН]]*Таблица1[[#This Row],[ТТН]],0)</f>
        <v>0</v>
      </c>
    </row>
    <row r="3013" spans="1:21" x14ac:dyDescent="0.25">
      <c r="A3013" t="s">
        <v>84</v>
      </c>
      <c r="B3013" s="24">
        <v>29</v>
      </c>
      <c r="C3013" t="s">
        <v>188</v>
      </c>
      <c r="D3013" t="s">
        <v>79</v>
      </c>
      <c r="E3013" t="s">
        <v>214</v>
      </c>
      <c r="F3013" t="s">
        <v>9</v>
      </c>
      <c r="H3013" t="s">
        <v>10</v>
      </c>
      <c r="I3013" t="s">
        <v>217</v>
      </c>
      <c r="J3013">
        <v>11</v>
      </c>
      <c r="N3013">
        <f>Таблица1[[#This Row],[Часов на заказчика  в работе]]+Таблица1[[#This Row],[Часов на заказчика  дежурство]]</f>
        <v>0</v>
      </c>
      <c r="O30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3" s="9">
        <v>150000</v>
      </c>
      <c r="R3013" s="9"/>
      <c r="S3013" s="5">
        <v>1</v>
      </c>
      <c r="T30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табеле]])*S3013,0)</f>
        <v>5000</v>
      </c>
      <c r="U3013" s="5">
        <f>IF(Таблица1[[#This Row],[ТТН]]&gt;0,Таблица1[[#This Row],[Ставка за ТТН]]*Таблица1[[#This Row],[ТТН]],0)</f>
        <v>0</v>
      </c>
    </row>
    <row r="3014" spans="1:21" x14ac:dyDescent="0.25">
      <c r="A3014" t="s">
        <v>84</v>
      </c>
      <c r="B3014" s="24">
        <v>30</v>
      </c>
      <c r="C3014" t="s">
        <v>189</v>
      </c>
      <c r="D3014" t="s">
        <v>79</v>
      </c>
      <c r="E3014" t="s">
        <v>214</v>
      </c>
      <c r="F3014" t="s">
        <v>9</v>
      </c>
      <c r="H3014" t="s">
        <v>10</v>
      </c>
      <c r="I3014" t="s">
        <v>217</v>
      </c>
      <c r="J3014">
        <v>11</v>
      </c>
      <c r="N3014">
        <f>Таблица1[[#This Row],[Часов на заказчика  в работе]]+Таблица1[[#This Row],[Часов на заказчика  дежурство]]</f>
        <v>0</v>
      </c>
      <c r="O30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4" s="9">
        <v>150000</v>
      </c>
      <c r="R3014" s="9"/>
      <c r="S3014" s="5">
        <v>1</v>
      </c>
      <c r="T30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табеле]])*S3014,0)</f>
        <v>5000</v>
      </c>
      <c r="U3014" s="5">
        <f>IF(Таблица1[[#This Row],[ТТН]]&gt;0,Таблица1[[#This Row],[Ставка за ТТН]]*Таблица1[[#This Row],[ТТН]],0)</f>
        <v>0</v>
      </c>
    </row>
    <row r="3015" spans="1:21" x14ac:dyDescent="0.25">
      <c r="A3015" t="s">
        <v>84</v>
      </c>
      <c r="B3015" s="24">
        <v>1</v>
      </c>
      <c r="C3015" t="s">
        <v>189</v>
      </c>
      <c r="D3015" t="s">
        <v>12</v>
      </c>
      <c r="E3015" t="s">
        <v>216</v>
      </c>
      <c r="F3015" t="s">
        <v>68</v>
      </c>
      <c r="H3015" t="s">
        <v>10</v>
      </c>
      <c r="I3015" t="s">
        <v>221</v>
      </c>
      <c r="J3015">
        <v>11</v>
      </c>
      <c r="L3015">
        <v>11</v>
      </c>
      <c r="N3015">
        <f>Таблица1[[#This Row],[Часов на заказчика  в работе]]+Таблица1[[#This Row],[Часов на заказчика  дежурство]]</f>
        <v>11</v>
      </c>
      <c r="O30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5" s="9">
        <v>115000</v>
      </c>
      <c r="R3015" s="9"/>
      <c r="S3015" s="5">
        <v>1</v>
      </c>
      <c r="T30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табеле]])*S3015,0)</f>
        <v>3833.3333333333335</v>
      </c>
      <c r="U3015" s="5">
        <f>IF(Таблица1[[#This Row],[ТТН]]&gt;0,Таблица1[[#This Row],[Ставка за ТТН]]*Таблица1[[#This Row],[ТТН]],0)</f>
        <v>0</v>
      </c>
    </row>
    <row r="3016" spans="1:21" x14ac:dyDescent="0.25">
      <c r="A3016" t="s">
        <v>84</v>
      </c>
      <c r="B3016" s="24">
        <v>2</v>
      </c>
      <c r="C3016" t="s">
        <v>189</v>
      </c>
      <c r="D3016" t="s">
        <v>12</v>
      </c>
      <c r="E3016" t="s">
        <v>216</v>
      </c>
      <c r="F3016" t="s">
        <v>68</v>
      </c>
      <c r="H3016" t="s">
        <v>10</v>
      </c>
      <c r="I3016" t="s">
        <v>221</v>
      </c>
      <c r="J3016">
        <v>11</v>
      </c>
      <c r="L3016">
        <v>11</v>
      </c>
      <c r="N3016">
        <f>Таблица1[[#This Row],[Часов на заказчика  в работе]]+Таблица1[[#This Row],[Часов на заказчика  дежурство]]</f>
        <v>11</v>
      </c>
      <c r="O30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6" s="9">
        <v>115000</v>
      </c>
      <c r="R3016" s="9"/>
      <c r="S3016" s="5">
        <v>1</v>
      </c>
      <c r="T30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табеле]])*S3016,0)</f>
        <v>3833.3333333333335</v>
      </c>
      <c r="U3016" s="5">
        <f>IF(Таблица1[[#This Row],[ТТН]]&gt;0,Таблица1[[#This Row],[Ставка за ТТН]]*Таблица1[[#This Row],[ТТН]],0)</f>
        <v>0</v>
      </c>
    </row>
    <row r="3017" spans="1:21" x14ac:dyDescent="0.25">
      <c r="A3017" t="s">
        <v>84</v>
      </c>
      <c r="B3017" s="24">
        <v>3</v>
      </c>
      <c r="C3017" t="s">
        <v>189</v>
      </c>
      <c r="D3017" t="s">
        <v>12</v>
      </c>
      <c r="E3017" t="s">
        <v>216</v>
      </c>
      <c r="F3017" t="s">
        <v>68</v>
      </c>
      <c r="H3017" t="s">
        <v>10</v>
      </c>
      <c r="I3017" t="s">
        <v>221</v>
      </c>
      <c r="J3017">
        <v>11</v>
      </c>
      <c r="L3017">
        <v>11</v>
      </c>
      <c r="N3017">
        <f>Таблица1[[#This Row],[Часов на заказчика  в работе]]+Таблица1[[#This Row],[Часов на заказчика  дежурство]]</f>
        <v>11</v>
      </c>
      <c r="O30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7" s="9">
        <v>115000</v>
      </c>
      <c r="R3017" s="9"/>
      <c r="S3017" s="5">
        <v>1</v>
      </c>
      <c r="T30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табеле]])*S3017,0)</f>
        <v>3833.3333333333335</v>
      </c>
      <c r="U3017" s="5">
        <f>IF(Таблица1[[#This Row],[ТТН]]&gt;0,Таблица1[[#This Row],[Ставка за ТТН]]*Таблица1[[#This Row],[ТТН]],0)</f>
        <v>0</v>
      </c>
    </row>
    <row r="3018" spans="1:21" x14ac:dyDescent="0.25">
      <c r="A3018" t="s">
        <v>84</v>
      </c>
      <c r="B3018" s="24">
        <v>4</v>
      </c>
      <c r="C3018" t="s">
        <v>189</v>
      </c>
      <c r="D3018" t="s">
        <v>12</v>
      </c>
      <c r="E3018" t="s">
        <v>216</v>
      </c>
      <c r="F3018" t="s">
        <v>68</v>
      </c>
      <c r="H3018" t="s">
        <v>10</v>
      </c>
      <c r="I3018" t="s">
        <v>221</v>
      </c>
      <c r="J3018">
        <v>11</v>
      </c>
      <c r="L3018">
        <v>11</v>
      </c>
      <c r="N3018">
        <f>Таблица1[[#This Row],[Часов на заказчика  в работе]]+Таблица1[[#This Row],[Часов на заказчика  дежурство]]</f>
        <v>11</v>
      </c>
      <c r="O30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8" s="9">
        <v>115000</v>
      </c>
      <c r="R3018" s="9"/>
      <c r="S3018" s="5">
        <v>1</v>
      </c>
      <c r="T30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табеле]])*S3018,0)</f>
        <v>3833.3333333333335</v>
      </c>
      <c r="U3018" s="5">
        <f>IF(Таблица1[[#This Row],[ТТН]]&gt;0,Таблица1[[#This Row],[Ставка за ТТН]]*Таблица1[[#This Row],[ТТН]],0)</f>
        <v>0</v>
      </c>
    </row>
    <row r="3019" spans="1:21" x14ac:dyDescent="0.25">
      <c r="A3019" t="s">
        <v>84</v>
      </c>
      <c r="B3019" s="24">
        <v>5</v>
      </c>
      <c r="C3019" t="s">
        <v>189</v>
      </c>
      <c r="D3019" t="s">
        <v>12</v>
      </c>
      <c r="E3019" t="s">
        <v>216</v>
      </c>
      <c r="F3019" t="s">
        <v>68</v>
      </c>
      <c r="H3019" t="s">
        <v>10</v>
      </c>
      <c r="I3019" t="s">
        <v>221</v>
      </c>
      <c r="J3019">
        <v>11</v>
      </c>
      <c r="L3019">
        <v>11</v>
      </c>
      <c r="N3019">
        <f>Таблица1[[#This Row],[Часов на заказчика  в работе]]+Таблица1[[#This Row],[Часов на заказчика  дежурство]]</f>
        <v>11</v>
      </c>
      <c r="O30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19" s="9">
        <v>115000</v>
      </c>
      <c r="R3019" s="9"/>
      <c r="S3019" s="5">
        <v>1</v>
      </c>
      <c r="T30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табеле]])*S3019,0)</f>
        <v>3833.3333333333335</v>
      </c>
      <c r="U3019" s="5">
        <f>IF(Таблица1[[#This Row],[ТТН]]&gt;0,Таблица1[[#This Row],[Ставка за ТТН]]*Таблица1[[#This Row],[ТТН]],0)</f>
        <v>0</v>
      </c>
    </row>
    <row r="3020" spans="1:21" x14ac:dyDescent="0.25">
      <c r="A3020" t="s">
        <v>84</v>
      </c>
      <c r="B3020" s="24">
        <v>6</v>
      </c>
      <c r="C3020" t="s">
        <v>189</v>
      </c>
      <c r="D3020" t="s">
        <v>12</v>
      </c>
      <c r="E3020" t="s">
        <v>216</v>
      </c>
      <c r="F3020" t="s">
        <v>68</v>
      </c>
      <c r="H3020" t="s">
        <v>38</v>
      </c>
      <c r="I3020" t="s">
        <v>217</v>
      </c>
      <c r="J3020">
        <v>11</v>
      </c>
      <c r="N3020">
        <f>Таблица1[[#This Row],[Часов на заказчика  в работе]]+Таблица1[[#This Row],[Часов на заказчика  дежурство]]</f>
        <v>0</v>
      </c>
      <c r="O30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0" s="9">
        <v>115000</v>
      </c>
      <c r="R3020" s="9"/>
      <c r="S3020" s="5">
        <v>1</v>
      </c>
      <c r="T30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табеле]])*S3020,0)</f>
        <v>3833.3333333333335</v>
      </c>
      <c r="U3020" s="5">
        <f>IF(Таблица1[[#This Row],[ТТН]]&gt;0,Таблица1[[#This Row],[Ставка за ТТН]]*Таблица1[[#This Row],[ТТН]],0)</f>
        <v>0</v>
      </c>
    </row>
    <row r="3021" spans="1:21" x14ac:dyDescent="0.25">
      <c r="A3021" t="s">
        <v>84</v>
      </c>
      <c r="B3021" s="24">
        <v>7</v>
      </c>
      <c r="C3021" t="s">
        <v>189</v>
      </c>
      <c r="D3021" t="s">
        <v>12</v>
      </c>
      <c r="E3021" t="s">
        <v>216</v>
      </c>
      <c r="F3021" t="s">
        <v>68</v>
      </c>
      <c r="H3021" t="s">
        <v>10</v>
      </c>
      <c r="I3021" t="s">
        <v>221</v>
      </c>
      <c r="J3021">
        <v>11</v>
      </c>
      <c r="L3021">
        <v>11</v>
      </c>
      <c r="N3021">
        <f>Таблица1[[#This Row],[Часов на заказчика  в работе]]+Таблица1[[#This Row],[Часов на заказчика  дежурство]]</f>
        <v>11</v>
      </c>
      <c r="O30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1" s="9">
        <v>115000</v>
      </c>
      <c r="R3021" s="9"/>
      <c r="S3021" s="5">
        <v>1</v>
      </c>
      <c r="T30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табеле]])*S3021,0)</f>
        <v>3833.3333333333335</v>
      </c>
      <c r="U3021" s="5">
        <f>IF(Таблица1[[#This Row],[ТТН]]&gt;0,Таблица1[[#This Row],[Ставка за ТТН]]*Таблица1[[#This Row],[ТТН]],0)</f>
        <v>0</v>
      </c>
    </row>
    <row r="3022" spans="1:21" x14ac:dyDescent="0.25">
      <c r="A3022" t="s">
        <v>84</v>
      </c>
      <c r="B3022" s="24">
        <v>8</v>
      </c>
      <c r="C3022" t="s">
        <v>189</v>
      </c>
      <c r="D3022" t="s">
        <v>12</v>
      </c>
      <c r="E3022" t="s">
        <v>216</v>
      </c>
      <c r="F3022" t="s">
        <v>68</v>
      </c>
      <c r="H3022" t="s">
        <v>10</v>
      </c>
      <c r="I3022" t="s">
        <v>221</v>
      </c>
      <c r="J3022">
        <v>11</v>
      </c>
      <c r="L3022">
        <v>11</v>
      </c>
      <c r="N3022">
        <f>Таблица1[[#This Row],[Часов на заказчика  в работе]]+Таблица1[[#This Row],[Часов на заказчика  дежурство]]</f>
        <v>11</v>
      </c>
      <c r="O30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2" s="9">
        <v>115000</v>
      </c>
      <c r="R3022" s="9"/>
      <c r="S3022" s="5">
        <v>1</v>
      </c>
      <c r="T30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табеле]])*S3022,0)</f>
        <v>3833.3333333333335</v>
      </c>
      <c r="U3022" s="5">
        <f>IF(Таблица1[[#This Row],[ТТН]]&gt;0,Таблица1[[#This Row],[Ставка за ТТН]]*Таблица1[[#This Row],[ТТН]],0)</f>
        <v>0</v>
      </c>
    </row>
    <row r="3023" spans="1:21" x14ac:dyDescent="0.25">
      <c r="A3023" t="s">
        <v>84</v>
      </c>
      <c r="B3023" s="24">
        <v>9</v>
      </c>
      <c r="C3023" t="s">
        <v>189</v>
      </c>
      <c r="D3023" t="s">
        <v>12</v>
      </c>
      <c r="E3023" t="s">
        <v>216</v>
      </c>
      <c r="F3023" t="s">
        <v>68</v>
      </c>
      <c r="H3023" t="s">
        <v>10</v>
      </c>
      <c r="I3023" t="s">
        <v>221</v>
      </c>
      <c r="J3023">
        <v>11</v>
      </c>
      <c r="L3023">
        <v>11</v>
      </c>
      <c r="N3023">
        <f>Таблица1[[#This Row],[Часов на заказчика  в работе]]+Таблица1[[#This Row],[Часов на заказчика  дежурство]]</f>
        <v>11</v>
      </c>
      <c r="O30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3" s="9">
        <v>115000</v>
      </c>
      <c r="R3023" s="9"/>
      <c r="S3023" s="5">
        <v>1</v>
      </c>
      <c r="T30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табеле]])*S3023,0)</f>
        <v>3833.3333333333335</v>
      </c>
      <c r="U3023" s="5">
        <f>IF(Таблица1[[#This Row],[ТТН]]&gt;0,Таблица1[[#This Row],[Ставка за ТТН]]*Таблица1[[#This Row],[ТТН]],0)</f>
        <v>0</v>
      </c>
    </row>
    <row r="3024" spans="1:21" x14ac:dyDescent="0.25">
      <c r="A3024" t="s">
        <v>84</v>
      </c>
      <c r="B3024" s="24">
        <v>10</v>
      </c>
      <c r="C3024" t="s">
        <v>189</v>
      </c>
      <c r="D3024" t="s">
        <v>12</v>
      </c>
      <c r="E3024" t="s">
        <v>216</v>
      </c>
      <c r="F3024" t="s">
        <v>68</v>
      </c>
      <c r="H3024" t="s">
        <v>10</v>
      </c>
      <c r="I3024" t="s">
        <v>221</v>
      </c>
      <c r="J3024">
        <v>11</v>
      </c>
      <c r="L3024">
        <v>11</v>
      </c>
      <c r="N3024">
        <f>Таблица1[[#This Row],[Часов на заказчика  в работе]]+Таблица1[[#This Row],[Часов на заказчика  дежурство]]</f>
        <v>11</v>
      </c>
      <c r="O30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4" s="9">
        <v>115000</v>
      </c>
      <c r="R3024" s="9"/>
      <c r="S3024" s="5">
        <v>1</v>
      </c>
      <c r="T30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табеле]])*S3024,0)</f>
        <v>3833.3333333333335</v>
      </c>
      <c r="U3024" s="5">
        <f>IF(Таблица1[[#This Row],[ТТН]]&gt;0,Таблица1[[#This Row],[Ставка за ТТН]]*Таблица1[[#This Row],[ТТН]],0)</f>
        <v>0</v>
      </c>
    </row>
    <row r="3025" spans="1:21" x14ac:dyDescent="0.25">
      <c r="A3025" t="s">
        <v>84</v>
      </c>
      <c r="B3025" s="24">
        <v>11</v>
      </c>
      <c r="C3025" t="s">
        <v>189</v>
      </c>
      <c r="D3025" t="s">
        <v>12</v>
      </c>
      <c r="E3025" t="s">
        <v>216</v>
      </c>
      <c r="F3025" t="s">
        <v>68</v>
      </c>
      <c r="H3025" t="s">
        <v>10</v>
      </c>
      <c r="I3025" t="s">
        <v>221</v>
      </c>
      <c r="J3025">
        <v>11</v>
      </c>
      <c r="L3025">
        <v>11</v>
      </c>
      <c r="N3025">
        <f>Таблица1[[#This Row],[Часов на заказчика  в работе]]+Таблица1[[#This Row],[Часов на заказчика  дежурство]]</f>
        <v>11</v>
      </c>
      <c r="O30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5" s="9">
        <v>115000</v>
      </c>
      <c r="R3025" s="9"/>
      <c r="S3025" s="5">
        <v>1</v>
      </c>
      <c r="T30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табеле]])*S3025,0)</f>
        <v>3833.3333333333335</v>
      </c>
      <c r="U3025" s="5">
        <f>IF(Таблица1[[#This Row],[ТТН]]&gt;0,Таблица1[[#This Row],[Ставка за ТТН]]*Таблица1[[#This Row],[ТТН]],0)</f>
        <v>0</v>
      </c>
    </row>
    <row r="3026" spans="1:21" x14ac:dyDescent="0.25">
      <c r="A3026" t="s">
        <v>84</v>
      </c>
      <c r="B3026" s="24">
        <v>12</v>
      </c>
      <c r="C3026" t="s">
        <v>189</v>
      </c>
      <c r="D3026" t="s">
        <v>12</v>
      </c>
      <c r="E3026" t="s">
        <v>216</v>
      </c>
      <c r="F3026" t="s">
        <v>68</v>
      </c>
      <c r="H3026" t="s">
        <v>38</v>
      </c>
      <c r="I3026" t="s">
        <v>217</v>
      </c>
      <c r="J3026">
        <v>11</v>
      </c>
      <c r="N3026">
        <f>Таблица1[[#This Row],[Часов на заказчика  в работе]]+Таблица1[[#This Row],[Часов на заказчика  дежурство]]</f>
        <v>0</v>
      </c>
      <c r="O30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6" s="9">
        <v>115000</v>
      </c>
      <c r="R3026" s="9"/>
      <c r="S3026" s="5">
        <v>1</v>
      </c>
      <c r="T30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табеле]])*S3026,0)</f>
        <v>3833.3333333333335</v>
      </c>
      <c r="U3026" s="5">
        <f>IF(Таблица1[[#This Row],[ТТН]]&gt;0,Таблица1[[#This Row],[Ставка за ТТН]]*Таблица1[[#This Row],[ТТН]],0)</f>
        <v>0</v>
      </c>
    </row>
    <row r="3027" spans="1:21" x14ac:dyDescent="0.25">
      <c r="A3027" t="s">
        <v>84</v>
      </c>
      <c r="B3027" s="24">
        <v>13</v>
      </c>
      <c r="C3027" t="s">
        <v>189</v>
      </c>
      <c r="D3027" t="s">
        <v>12</v>
      </c>
      <c r="E3027" t="s">
        <v>216</v>
      </c>
      <c r="F3027" t="s">
        <v>68</v>
      </c>
      <c r="H3027" t="s">
        <v>10</v>
      </c>
      <c r="I3027" t="s">
        <v>221</v>
      </c>
      <c r="J3027">
        <v>11</v>
      </c>
      <c r="L3027">
        <v>11</v>
      </c>
      <c r="N3027">
        <f>Таблица1[[#This Row],[Часов на заказчика  в работе]]+Таблица1[[#This Row],[Часов на заказчика  дежурство]]</f>
        <v>11</v>
      </c>
      <c r="O30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7" s="9">
        <v>115000</v>
      </c>
      <c r="R3027" s="9"/>
      <c r="S3027" s="5">
        <v>1</v>
      </c>
      <c r="T30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табеле]])*S3027,0)</f>
        <v>3833.3333333333335</v>
      </c>
      <c r="U3027" s="5">
        <f>IF(Таблица1[[#This Row],[ТТН]]&gt;0,Таблица1[[#This Row],[Ставка за ТТН]]*Таблица1[[#This Row],[ТТН]],0)</f>
        <v>0</v>
      </c>
    </row>
    <row r="3028" spans="1:21" x14ac:dyDescent="0.25">
      <c r="A3028" t="s">
        <v>84</v>
      </c>
      <c r="B3028" s="24">
        <v>14</v>
      </c>
      <c r="C3028" t="s">
        <v>189</v>
      </c>
      <c r="D3028" t="s">
        <v>12</v>
      </c>
      <c r="E3028" t="s">
        <v>216</v>
      </c>
      <c r="F3028" t="s">
        <v>68</v>
      </c>
      <c r="H3028" t="s">
        <v>10</v>
      </c>
      <c r="I3028" t="s">
        <v>221</v>
      </c>
      <c r="J3028">
        <v>11</v>
      </c>
      <c r="L3028">
        <v>11</v>
      </c>
      <c r="N3028">
        <f>Таблица1[[#This Row],[Часов на заказчика  в работе]]+Таблица1[[#This Row],[Часов на заказчика  дежурство]]</f>
        <v>11</v>
      </c>
      <c r="O30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8" s="9">
        <v>115000</v>
      </c>
      <c r="R3028" s="9"/>
      <c r="S3028" s="5">
        <v>1</v>
      </c>
      <c r="T30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табеле]])*S3028,0)</f>
        <v>3833.3333333333335</v>
      </c>
      <c r="U3028" s="5">
        <f>IF(Таблица1[[#This Row],[ТТН]]&gt;0,Таблица1[[#This Row],[Ставка за ТТН]]*Таблица1[[#This Row],[ТТН]],0)</f>
        <v>0</v>
      </c>
    </row>
    <row r="3029" spans="1:21" x14ac:dyDescent="0.25">
      <c r="A3029" t="s">
        <v>84</v>
      </c>
      <c r="B3029" s="24">
        <v>15</v>
      </c>
      <c r="C3029" t="s">
        <v>189</v>
      </c>
      <c r="D3029" t="s">
        <v>12</v>
      </c>
      <c r="E3029" t="s">
        <v>216</v>
      </c>
      <c r="F3029" t="s">
        <v>68</v>
      </c>
      <c r="H3029" t="s">
        <v>10</v>
      </c>
      <c r="I3029" t="s">
        <v>221</v>
      </c>
      <c r="J3029">
        <v>11</v>
      </c>
      <c r="L3029">
        <v>11</v>
      </c>
      <c r="N3029">
        <f>Таблица1[[#This Row],[Часов на заказчика  в работе]]+Таблица1[[#This Row],[Часов на заказчика  дежурство]]</f>
        <v>11</v>
      </c>
      <c r="O30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29" s="9">
        <v>115000</v>
      </c>
      <c r="R3029" s="9"/>
      <c r="S3029" s="5">
        <v>1</v>
      </c>
      <c r="T30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табеле]])*S3029,0)</f>
        <v>3833.3333333333335</v>
      </c>
      <c r="U3029" s="5">
        <f>IF(Таблица1[[#This Row],[ТТН]]&gt;0,Таблица1[[#This Row],[Ставка за ТТН]]*Таблица1[[#This Row],[ТТН]],0)</f>
        <v>0</v>
      </c>
    </row>
    <row r="3030" spans="1:21" x14ac:dyDescent="0.25">
      <c r="A3030" t="s">
        <v>84</v>
      </c>
      <c r="B3030" s="24">
        <v>16</v>
      </c>
      <c r="C3030" t="s">
        <v>189</v>
      </c>
      <c r="D3030" t="s">
        <v>12</v>
      </c>
      <c r="E3030" t="s">
        <v>216</v>
      </c>
      <c r="F3030" t="s">
        <v>68</v>
      </c>
      <c r="H3030" t="s">
        <v>10</v>
      </c>
      <c r="I3030" t="s">
        <v>221</v>
      </c>
      <c r="J3030">
        <v>11</v>
      </c>
      <c r="L3030">
        <v>11</v>
      </c>
      <c r="N3030">
        <f>Таблица1[[#This Row],[Часов на заказчика  в работе]]+Таблица1[[#This Row],[Часов на заказчика  дежурство]]</f>
        <v>11</v>
      </c>
      <c r="O30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0" s="9">
        <v>115000</v>
      </c>
      <c r="R3030" s="9"/>
      <c r="S3030" s="5">
        <v>1</v>
      </c>
      <c r="T30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табеле]])*S3030,0)</f>
        <v>3833.3333333333335</v>
      </c>
      <c r="U3030" s="5">
        <f>IF(Таблица1[[#This Row],[ТТН]]&gt;0,Таблица1[[#This Row],[Ставка за ТТН]]*Таблица1[[#This Row],[ТТН]],0)</f>
        <v>0</v>
      </c>
    </row>
    <row r="3031" spans="1:21" x14ac:dyDescent="0.25">
      <c r="A3031" t="s">
        <v>84</v>
      </c>
      <c r="B3031" s="24">
        <v>17</v>
      </c>
      <c r="C3031" t="s">
        <v>189</v>
      </c>
      <c r="D3031" t="s">
        <v>12</v>
      </c>
      <c r="E3031" t="s">
        <v>216</v>
      </c>
      <c r="F3031" t="s">
        <v>68</v>
      </c>
      <c r="H3031" t="s">
        <v>10</v>
      </c>
      <c r="I3031" t="s">
        <v>221</v>
      </c>
      <c r="J3031">
        <v>11</v>
      </c>
      <c r="L3031">
        <v>11</v>
      </c>
      <c r="N3031">
        <f>Таблица1[[#This Row],[Часов на заказчика  в работе]]+Таблица1[[#This Row],[Часов на заказчика  дежурство]]</f>
        <v>11</v>
      </c>
      <c r="O30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1" s="9">
        <v>115000</v>
      </c>
      <c r="R3031" s="9"/>
      <c r="S3031" s="5">
        <v>1</v>
      </c>
      <c r="T30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табеле]])*S3031,0)</f>
        <v>3833.3333333333335</v>
      </c>
      <c r="U3031" s="5">
        <f>IF(Таблица1[[#This Row],[ТТН]]&gt;0,Таблица1[[#This Row],[Ставка за ТТН]]*Таблица1[[#This Row],[ТТН]],0)</f>
        <v>0</v>
      </c>
    </row>
    <row r="3032" spans="1:21" x14ac:dyDescent="0.25">
      <c r="A3032" t="s">
        <v>84</v>
      </c>
      <c r="B3032" s="24">
        <v>18</v>
      </c>
      <c r="C3032" t="s">
        <v>189</v>
      </c>
      <c r="D3032" t="s">
        <v>12</v>
      </c>
      <c r="E3032" t="s">
        <v>216</v>
      </c>
      <c r="F3032" t="s">
        <v>68</v>
      </c>
      <c r="H3032" t="s">
        <v>10</v>
      </c>
      <c r="I3032" t="s">
        <v>221</v>
      </c>
      <c r="J3032">
        <v>11</v>
      </c>
      <c r="L3032">
        <v>11</v>
      </c>
      <c r="N3032">
        <f>Таблица1[[#This Row],[Часов на заказчика  в работе]]+Таблица1[[#This Row],[Часов на заказчика  дежурство]]</f>
        <v>11</v>
      </c>
      <c r="O30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2" s="9">
        <v>115000</v>
      </c>
      <c r="R3032" s="9"/>
      <c r="S3032" s="5">
        <v>1</v>
      </c>
      <c r="T30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табеле]])*S3032,0)</f>
        <v>3833.3333333333335</v>
      </c>
      <c r="U3032" s="5">
        <f>IF(Таблица1[[#This Row],[ТТН]]&gt;0,Таблица1[[#This Row],[Ставка за ТТН]]*Таблица1[[#This Row],[ТТН]],0)</f>
        <v>0</v>
      </c>
    </row>
    <row r="3033" spans="1:21" x14ac:dyDescent="0.25">
      <c r="A3033" t="s">
        <v>84</v>
      </c>
      <c r="B3033" s="24">
        <v>19</v>
      </c>
      <c r="C3033" t="s">
        <v>189</v>
      </c>
      <c r="D3033" t="s">
        <v>12</v>
      </c>
      <c r="E3033" t="s">
        <v>216</v>
      </c>
      <c r="F3033" t="s">
        <v>68</v>
      </c>
      <c r="H3033" t="s">
        <v>10</v>
      </c>
      <c r="I3033" t="s">
        <v>221</v>
      </c>
      <c r="J3033">
        <v>11</v>
      </c>
      <c r="L3033">
        <v>11</v>
      </c>
      <c r="N3033">
        <f>Таблица1[[#This Row],[Часов на заказчика  в работе]]+Таблица1[[#This Row],[Часов на заказчика  дежурство]]</f>
        <v>11</v>
      </c>
      <c r="O30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3" s="9">
        <v>115000</v>
      </c>
      <c r="R3033" s="9"/>
      <c r="S3033" s="5">
        <v>1</v>
      </c>
      <c r="T30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табеле]])*S3033,0)</f>
        <v>3833.3333333333335</v>
      </c>
      <c r="U3033" s="5">
        <f>IF(Таблица1[[#This Row],[ТТН]]&gt;0,Таблица1[[#This Row],[Ставка за ТТН]]*Таблица1[[#This Row],[ТТН]],0)</f>
        <v>0</v>
      </c>
    </row>
    <row r="3034" spans="1:21" x14ac:dyDescent="0.25">
      <c r="A3034" t="s">
        <v>84</v>
      </c>
      <c r="B3034" s="24">
        <v>20</v>
      </c>
      <c r="C3034" t="s">
        <v>189</v>
      </c>
      <c r="D3034" t="s">
        <v>12</v>
      </c>
      <c r="E3034" t="s">
        <v>216</v>
      </c>
      <c r="F3034" t="s">
        <v>68</v>
      </c>
      <c r="H3034" t="s">
        <v>10</v>
      </c>
      <c r="I3034" t="s">
        <v>221</v>
      </c>
      <c r="J3034">
        <v>11</v>
      </c>
      <c r="L3034">
        <v>11</v>
      </c>
      <c r="N3034">
        <f>Таблица1[[#This Row],[Часов на заказчика  в работе]]+Таблица1[[#This Row],[Часов на заказчика  дежурство]]</f>
        <v>11</v>
      </c>
      <c r="O30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4" s="9">
        <v>115000</v>
      </c>
      <c r="R3034" s="9"/>
      <c r="S3034" s="5">
        <v>1</v>
      </c>
      <c r="T30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табеле]])*S3034,0)</f>
        <v>3833.3333333333335</v>
      </c>
      <c r="U3034" s="5">
        <f>IF(Таблица1[[#This Row],[ТТН]]&gt;0,Таблица1[[#This Row],[Ставка за ТТН]]*Таблица1[[#This Row],[ТТН]],0)</f>
        <v>0</v>
      </c>
    </row>
    <row r="3035" spans="1:21" x14ac:dyDescent="0.25">
      <c r="A3035" t="s">
        <v>84</v>
      </c>
      <c r="B3035" s="24">
        <v>21</v>
      </c>
      <c r="C3035" t="s">
        <v>189</v>
      </c>
      <c r="D3035" t="s">
        <v>12</v>
      </c>
      <c r="E3035" t="s">
        <v>216</v>
      </c>
      <c r="F3035" t="s">
        <v>68</v>
      </c>
      <c r="H3035" t="s">
        <v>23</v>
      </c>
      <c r="I3035" t="s">
        <v>217</v>
      </c>
      <c r="J3035">
        <v>11</v>
      </c>
      <c r="N3035">
        <f>Таблица1[[#This Row],[Часов на заказчика  в работе]]+Таблица1[[#This Row],[Часов на заказчика  дежурство]]</f>
        <v>0</v>
      </c>
      <c r="O30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5" s="9">
        <v>115000</v>
      </c>
      <c r="R3035" s="9"/>
      <c r="S3035" s="5">
        <v>1</v>
      </c>
      <c r="T30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табеле]])*S3035,0)</f>
        <v>3833.3333333333335</v>
      </c>
      <c r="U3035" s="5">
        <f>IF(Таблица1[[#This Row],[ТТН]]&gt;0,Таблица1[[#This Row],[Ставка за ТТН]]*Таблица1[[#This Row],[ТТН]],0)</f>
        <v>0</v>
      </c>
    </row>
    <row r="3036" spans="1:21" x14ac:dyDescent="0.25">
      <c r="A3036" t="s">
        <v>84</v>
      </c>
      <c r="B3036" s="24">
        <v>22</v>
      </c>
      <c r="C3036" t="s">
        <v>189</v>
      </c>
      <c r="D3036" t="s">
        <v>12</v>
      </c>
      <c r="E3036" t="s">
        <v>216</v>
      </c>
      <c r="F3036" t="s">
        <v>68</v>
      </c>
      <c r="H3036" t="s">
        <v>23</v>
      </c>
      <c r="I3036" t="s">
        <v>217</v>
      </c>
      <c r="J3036">
        <v>11</v>
      </c>
      <c r="N3036">
        <f>Таблица1[[#This Row],[Часов на заказчика  в работе]]+Таблица1[[#This Row],[Часов на заказчика  дежурство]]</f>
        <v>0</v>
      </c>
      <c r="O30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6" s="9">
        <v>115000</v>
      </c>
      <c r="R3036" s="9"/>
      <c r="S3036" s="5">
        <v>1</v>
      </c>
      <c r="T30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табеле]])*S3036,0)</f>
        <v>3833.3333333333335</v>
      </c>
      <c r="U3036" s="5">
        <f>IF(Таблица1[[#This Row],[ТТН]]&gt;0,Таблица1[[#This Row],[Ставка за ТТН]]*Таблица1[[#This Row],[ТТН]],0)</f>
        <v>0</v>
      </c>
    </row>
    <row r="3037" spans="1:21" x14ac:dyDescent="0.25">
      <c r="A3037" t="s">
        <v>84</v>
      </c>
      <c r="B3037" s="24">
        <v>23</v>
      </c>
      <c r="C3037" t="s">
        <v>189</v>
      </c>
      <c r="D3037" t="s">
        <v>12</v>
      </c>
      <c r="E3037" t="s">
        <v>216</v>
      </c>
      <c r="F3037" t="s">
        <v>68</v>
      </c>
      <c r="H3037" t="s">
        <v>23</v>
      </c>
      <c r="I3037" t="s">
        <v>217</v>
      </c>
      <c r="J3037">
        <v>11</v>
      </c>
      <c r="N3037">
        <f>Таблица1[[#This Row],[Часов на заказчика  в работе]]+Таблица1[[#This Row],[Часов на заказчика  дежурство]]</f>
        <v>0</v>
      </c>
      <c r="O30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7" s="9">
        <v>115000</v>
      </c>
      <c r="R3037" s="9"/>
      <c r="S3037" s="5">
        <v>1</v>
      </c>
      <c r="T30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табеле]])*S3037,0)</f>
        <v>3833.3333333333335</v>
      </c>
      <c r="U3037" s="5">
        <f>IF(Таблица1[[#This Row],[ТТН]]&gt;0,Таблица1[[#This Row],[Ставка за ТТН]]*Таблица1[[#This Row],[ТТН]],0)</f>
        <v>0</v>
      </c>
    </row>
    <row r="3038" spans="1:21" x14ac:dyDescent="0.25">
      <c r="A3038" t="s">
        <v>84</v>
      </c>
      <c r="B3038" s="24">
        <v>24</v>
      </c>
      <c r="C3038" t="s">
        <v>189</v>
      </c>
      <c r="D3038" t="s">
        <v>12</v>
      </c>
      <c r="E3038" t="s">
        <v>216</v>
      </c>
      <c r="F3038" t="s">
        <v>68</v>
      </c>
      <c r="H3038" t="s">
        <v>10</v>
      </c>
      <c r="I3038" t="s">
        <v>221</v>
      </c>
      <c r="J3038">
        <v>11</v>
      </c>
      <c r="L3038">
        <v>11</v>
      </c>
      <c r="N3038">
        <f>Таблица1[[#This Row],[Часов на заказчика  в работе]]+Таблица1[[#This Row],[Часов на заказчика  дежурство]]</f>
        <v>11</v>
      </c>
      <c r="O30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8" s="9">
        <v>115000</v>
      </c>
      <c r="R3038" s="9"/>
      <c r="S3038" s="5">
        <v>1</v>
      </c>
      <c r="T30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табеле]])*S3038,0)</f>
        <v>3833.3333333333335</v>
      </c>
      <c r="U3038" s="5">
        <f>IF(Таблица1[[#This Row],[ТТН]]&gt;0,Таблица1[[#This Row],[Ставка за ТТН]]*Таблица1[[#This Row],[ТТН]],0)</f>
        <v>0</v>
      </c>
    </row>
    <row r="3039" spans="1:21" x14ac:dyDescent="0.25">
      <c r="A3039" t="s">
        <v>84</v>
      </c>
      <c r="B3039" s="24">
        <v>25</v>
      </c>
      <c r="C3039" t="s">
        <v>189</v>
      </c>
      <c r="D3039" t="s">
        <v>12</v>
      </c>
      <c r="E3039" t="s">
        <v>216</v>
      </c>
      <c r="F3039" t="s">
        <v>68</v>
      </c>
      <c r="H3039" t="s">
        <v>10</v>
      </c>
      <c r="I3039" t="s">
        <v>221</v>
      </c>
      <c r="J3039">
        <v>11</v>
      </c>
      <c r="L3039">
        <v>11</v>
      </c>
      <c r="N3039">
        <f>Таблица1[[#This Row],[Часов на заказчика  в работе]]+Таблица1[[#This Row],[Часов на заказчика  дежурство]]</f>
        <v>11</v>
      </c>
      <c r="O30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39" s="9">
        <v>115000</v>
      </c>
      <c r="R3039" s="9"/>
      <c r="S3039" s="5">
        <v>1</v>
      </c>
      <c r="T30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табеле]])*S3039,0)</f>
        <v>3833.3333333333335</v>
      </c>
      <c r="U3039" s="5">
        <f>IF(Таблица1[[#This Row],[ТТН]]&gt;0,Таблица1[[#This Row],[Ставка за ТТН]]*Таблица1[[#This Row],[ТТН]],0)</f>
        <v>0</v>
      </c>
    </row>
    <row r="3040" spans="1:21" x14ac:dyDescent="0.25">
      <c r="A3040" t="s">
        <v>84</v>
      </c>
      <c r="B3040" s="24">
        <v>26</v>
      </c>
      <c r="C3040" t="s">
        <v>189</v>
      </c>
      <c r="D3040" t="s">
        <v>12</v>
      </c>
      <c r="E3040" t="s">
        <v>216</v>
      </c>
      <c r="F3040" t="s">
        <v>68</v>
      </c>
      <c r="H3040" t="s">
        <v>10</v>
      </c>
      <c r="I3040" t="s">
        <v>221</v>
      </c>
      <c r="J3040">
        <v>11</v>
      </c>
      <c r="L3040">
        <v>11</v>
      </c>
      <c r="N3040">
        <f>Таблица1[[#This Row],[Часов на заказчика  в работе]]+Таблица1[[#This Row],[Часов на заказчика  дежурство]]</f>
        <v>11</v>
      </c>
      <c r="O30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0" s="9">
        <v>115000</v>
      </c>
      <c r="R3040" s="9"/>
      <c r="S3040" s="5">
        <v>1</v>
      </c>
      <c r="T30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табеле]])*S3040,0)</f>
        <v>3833.3333333333335</v>
      </c>
      <c r="U3040" s="5">
        <f>IF(Таблица1[[#This Row],[ТТН]]&gt;0,Таблица1[[#This Row],[Ставка за ТТН]]*Таблица1[[#This Row],[ТТН]],0)</f>
        <v>0</v>
      </c>
    </row>
    <row r="3041" spans="1:21" x14ac:dyDescent="0.25">
      <c r="A3041" t="s">
        <v>84</v>
      </c>
      <c r="B3041" s="24">
        <v>27</v>
      </c>
      <c r="C3041" t="s">
        <v>189</v>
      </c>
      <c r="D3041" t="s">
        <v>12</v>
      </c>
      <c r="E3041" t="s">
        <v>216</v>
      </c>
      <c r="F3041" t="s">
        <v>68</v>
      </c>
      <c r="H3041" t="s">
        <v>10</v>
      </c>
      <c r="I3041" t="s">
        <v>221</v>
      </c>
      <c r="J3041">
        <v>11</v>
      </c>
      <c r="L3041">
        <v>11</v>
      </c>
      <c r="N3041">
        <f>Таблица1[[#This Row],[Часов на заказчика  в работе]]+Таблица1[[#This Row],[Часов на заказчика  дежурство]]</f>
        <v>11</v>
      </c>
      <c r="O30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1" s="9">
        <v>115000</v>
      </c>
      <c r="R3041" s="9"/>
      <c r="S3041" s="5">
        <v>1</v>
      </c>
      <c r="T30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табеле]])*S3041,0)</f>
        <v>3833.3333333333335</v>
      </c>
      <c r="U3041" s="5">
        <f>IF(Таблица1[[#This Row],[ТТН]]&gt;0,Таблица1[[#This Row],[Ставка за ТТН]]*Таблица1[[#This Row],[ТТН]],0)</f>
        <v>0</v>
      </c>
    </row>
    <row r="3042" spans="1:21" x14ac:dyDescent="0.25">
      <c r="A3042" t="s">
        <v>84</v>
      </c>
      <c r="B3042" s="24">
        <v>28</v>
      </c>
      <c r="C3042" t="s">
        <v>189</v>
      </c>
      <c r="D3042" t="s">
        <v>12</v>
      </c>
      <c r="E3042" t="s">
        <v>216</v>
      </c>
      <c r="F3042" t="s">
        <v>68</v>
      </c>
      <c r="H3042" t="s">
        <v>10</v>
      </c>
      <c r="I3042" t="s">
        <v>221</v>
      </c>
      <c r="J3042">
        <v>11</v>
      </c>
      <c r="L3042">
        <v>11</v>
      </c>
      <c r="N3042">
        <f>Таблица1[[#This Row],[Часов на заказчика  в работе]]+Таблица1[[#This Row],[Часов на заказчика  дежурство]]</f>
        <v>11</v>
      </c>
      <c r="O30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2" s="9">
        <v>115000</v>
      </c>
      <c r="R3042" s="9"/>
      <c r="S3042" s="5">
        <v>1</v>
      </c>
      <c r="T30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табеле]])*S3042,0)</f>
        <v>3833.3333333333335</v>
      </c>
      <c r="U3042" s="5">
        <f>IF(Таблица1[[#This Row],[ТТН]]&gt;0,Таблица1[[#This Row],[Ставка за ТТН]]*Таблица1[[#This Row],[ТТН]],0)</f>
        <v>0</v>
      </c>
    </row>
    <row r="3043" spans="1:21" x14ac:dyDescent="0.25">
      <c r="A3043" t="s">
        <v>84</v>
      </c>
      <c r="B3043" s="24">
        <v>29</v>
      </c>
      <c r="C3043" t="s">
        <v>189</v>
      </c>
      <c r="D3043" t="s">
        <v>12</v>
      </c>
      <c r="E3043" t="s">
        <v>216</v>
      </c>
      <c r="F3043" t="s">
        <v>68</v>
      </c>
      <c r="H3043" t="s">
        <v>24</v>
      </c>
      <c r="I3043" t="s">
        <v>217</v>
      </c>
      <c r="J3043">
        <v>8</v>
      </c>
      <c r="N3043">
        <f>Таблица1[[#This Row],[Часов на заказчика  в работе]]+Таблица1[[#This Row],[Часов на заказчика  дежурство]]</f>
        <v>0</v>
      </c>
      <c r="O30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3" s="9">
        <v>115000</v>
      </c>
      <c r="R3043" s="9"/>
      <c r="S3043" s="5">
        <v>1</v>
      </c>
      <c r="T30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табеле]])*S3043,0)</f>
        <v>0</v>
      </c>
      <c r="U3043" s="5">
        <f>IF(Таблица1[[#This Row],[ТТН]]&gt;0,Таблица1[[#This Row],[Ставка за ТТН]]*Таблица1[[#This Row],[ТТН]],0)</f>
        <v>0</v>
      </c>
    </row>
    <row r="3044" spans="1:21" x14ac:dyDescent="0.25">
      <c r="A3044" t="s">
        <v>84</v>
      </c>
      <c r="B3044" s="24">
        <v>30</v>
      </c>
      <c r="C3044" t="s">
        <v>190</v>
      </c>
      <c r="D3044" t="s">
        <v>12</v>
      </c>
      <c r="E3044" t="s">
        <v>216</v>
      </c>
      <c r="F3044" t="s">
        <v>68</v>
      </c>
      <c r="H3044" t="s">
        <v>24</v>
      </c>
      <c r="I3044" t="s">
        <v>217</v>
      </c>
      <c r="J3044">
        <v>8</v>
      </c>
      <c r="N3044">
        <f>Таблица1[[#This Row],[Часов на заказчика  в работе]]+Таблица1[[#This Row],[Часов на заказчика  дежурство]]</f>
        <v>0</v>
      </c>
      <c r="O30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4" s="9">
        <v>115000</v>
      </c>
      <c r="R3044" s="9"/>
      <c r="S3044" s="5">
        <v>1</v>
      </c>
      <c r="T30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табеле]])*S3044,0)</f>
        <v>0</v>
      </c>
      <c r="U3044" s="5">
        <f>IF(Таблица1[[#This Row],[ТТН]]&gt;0,Таблица1[[#This Row],[Ставка за ТТН]]*Таблица1[[#This Row],[ТТН]],0)</f>
        <v>0</v>
      </c>
    </row>
    <row r="3045" spans="1:21" x14ac:dyDescent="0.25">
      <c r="A3045" t="s">
        <v>84</v>
      </c>
      <c r="B3045" s="24">
        <v>1</v>
      </c>
      <c r="C3045" t="s">
        <v>190</v>
      </c>
      <c r="D3045" t="s">
        <v>28</v>
      </c>
      <c r="E3045" t="s">
        <v>216</v>
      </c>
      <c r="F3045" t="s">
        <v>28</v>
      </c>
      <c r="H3045" t="s">
        <v>10</v>
      </c>
      <c r="I3045" t="s">
        <v>220</v>
      </c>
      <c r="J3045">
        <v>11</v>
      </c>
      <c r="L3045">
        <v>11</v>
      </c>
      <c r="N3045">
        <f>Таблица1[[#This Row],[Часов на заказчика  в работе]]+Таблица1[[#This Row],[Часов на заказчика  дежурство]]</f>
        <v>11</v>
      </c>
      <c r="O30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5" s="9">
        <v>88000</v>
      </c>
      <c r="R3045" s="9"/>
      <c r="S3045" s="5">
        <v>1</v>
      </c>
      <c r="T30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табеле]])*S3045,0)</f>
        <v>2933.3333333333335</v>
      </c>
      <c r="U3045" s="5">
        <f>IF(Таблица1[[#This Row],[ТТН]]&gt;0,Таблица1[[#This Row],[Ставка за ТТН]]*Таблица1[[#This Row],[ТТН]],0)</f>
        <v>0</v>
      </c>
    </row>
    <row r="3046" spans="1:21" x14ac:dyDescent="0.25">
      <c r="A3046" t="s">
        <v>84</v>
      </c>
      <c r="B3046" s="24">
        <v>2</v>
      </c>
      <c r="C3046" t="s">
        <v>190</v>
      </c>
      <c r="D3046" t="s">
        <v>28</v>
      </c>
      <c r="E3046" t="s">
        <v>216</v>
      </c>
      <c r="F3046" t="s">
        <v>28</v>
      </c>
      <c r="H3046" t="s">
        <v>10</v>
      </c>
      <c r="I3046" t="s">
        <v>220</v>
      </c>
      <c r="J3046">
        <v>11</v>
      </c>
      <c r="L3046">
        <v>11</v>
      </c>
      <c r="N3046">
        <f>Таблица1[[#This Row],[Часов на заказчика  в работе]]+Таблица1[[#This Row],[Часов на заказчика  дежурство]]</f>
        <v>11</v>
      </c>
      <c r="O30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6" s="9">
        <v>88000</v>
      </c>
      <c r="R3046" s="9"/>
      <c r="S3046" s="5">
        <v>1</v>
      </c>
      <c r="T30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табеле]])*S3046,0)</f>
        <v>2933.3333333333335</v>
      </c>
      <c r="U3046" s="5">
        <f>IF(Таблица1[[#This Row],[ТТН]]&gt;0,Таблица1[[#This Row],[Ставка за ТТН]]*Таблица1[[#This Row],[ТТН]],0)</f>
        <v>0</v>
      </c>
    </row>
    <row r="3047" spans="1:21" x14ac:dyDescent="0.25">
      <c r="A3047" t="s">
        <v>84</v>
      </c>
      <c r="B3047" s="24">
        <v>3</v>
      </c>
      <c r="C3047" t="s">
        <v>190</v>
      </c>
      <c r="D3047" t="s">
        <v>28</v>
      </c>
      <c r="E3047" t="s">
        <v>216</v>
      </c>
      <c r="F3047" t="s">
        <v>28</v>
      </c>
      <c r="H3047" t="s">
        <v>10</v>
      </c>
      <c r="I3047" t="s">
        <v>220</v>
      </c>
      <c r="J3047">
        <v>11</v>
      </c>
      <c r="L3047">
        <v>11</v>
      </c>
      <c r="N3047">
        <f>Таблица1[[#This Row],[Часов на заказчика  в работе]]+Таблица1[[#This Row],[Часов на заказчика  дежурство]]</f>
        <v>11</v>
      </c>
      <c r="O30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7" s="9">
        <v>88000</v>
      </c>
      <c r="R3047" s="9"/>
      <c r="S3047" s="5">
        <v>1</v>
      </c>
      <c r="T30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табеле]])*S3047,0)</f>
        <v>2933.3333333333335</v>
      </c>
      <c r="U3047" s="5">
        <f>IF(Таблица1[[#This Row],[ТТН]]&gt;0,Таблица1[[#This Row],[Ставка за ТТН]]*Таблица1[[#This Row],[ТТН]],0)</f>
        <v>0</v>
      </c>
    </row>
    <row r="3048" spans="1:21" x14ac:dyDescent="0.25">
      <c r="A3048" t="s">
        <v>84</v>
      </c>
      <c r="B3048" s="24">
        <v>4</v>
      </c>
      <c r="C3048" t="s">
        <v>190</v>
      </c>
      <c r="D3048" t="s">
        <v>28</v>
      </c>
      <c r="E3048" t="s">
        <v>216</v>
      </c>
      <c r="F3048" t="s">
        <v>28</v>
      </c>
      <c r="H3048" t="s">
        <v>10</v>
      </c>
      <c r="I3048" t="s">
        <v>220</v>
      </c>
      <c r="J3048">
        <v>11</v>
      </c>
      <c r="L3048">
        <v>11</v>
      </c>
      <c r="N3048">
        <f>Таблица1[[#This Row],[Часов на заказчика  в работе]]+Таблица1[[#This Row],[Часов на заказчика  дежурство]]</f>
        <v>11</v>
      </c>
      <c r="O30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8" s="9">
        <v>88000</v>
      </c>
      <c r="R3048" s="9"/>
      <c r="S3048" s="5">
        <v>1</v>
      </c>
      <c r="T30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табеле]])*S3048,0)</f>
        <v>2933.3333333333335</v>
      </c>
      <c r="U3048" s="5">
        <f>IF(Таблица1[[#This Row],[ТТН]]&gt;0,Таблица1[[#This Row],[Ставка за ТТН]]*Таблица1[[#This Row],[ТТН]],0)</f>
        <v>0</v>
      </c>
    </row>
    <row r="3049" spans="1:21" x14ac:dyDescent="0.25">
      <c r="A3049" t="s">
        <v>84</v>
      </c>
      <c r="B3049" s="24">
        <v>5</v>
      </c>
      <c r="C3049" t="s">
        <v>190</v>
      </c>
      <c r="D3049" t="s">
        <v>28</v>
      </c>
      <c r="E3049" t="s">
        <v>216</v>
      </c>
      <c r="F3049" t="s">
        <v>28</v>
      </c>
      <c r="H3049" t="s">
        <v>10</v>
      </c>
      <c r="I3049" t="s">
        <v>220</v>
      </c>
      <c r="J3049">
        <v>11</v>
      </c>
      <c r="L3049">
        <v>11</v>
      </c>
      <c r="N3049">
        <f>Таблица1[[#This Row],[Часов на заказчика  в работе]]+Таблица1[[#This Row],[Часов на заказчика  дежурство]]</f>
        <v>11</v>
      </c>
      <c r="O30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49" s="9">
        <v>88000</v>
      </c>
      <c r="R3049" s="9"/>
      <c r="S3049" s="5">
        <v>1</v>
      </c>
      <c r="T30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табеле]])*S3049,0)</f>
        <v>2933.3333333333335</v>
      </c>
      <c r="U3049" s="5">
        <f>IF(Таблица1[[#This Row],[ТТН]]&gt;0,Таблица1[[#This Row],[Ставка за ТТН]]*Таблица1[[#This Row],[ТТН]],0)</f>
        <v>0</v>
      </c>
    </row>
    <row r="3050" spans="1:21" x14ac:dyDescent="0.25">
      <c r="A3050" t="s">
        <v>84</v>
      </c>
      <c r="B3050" s="24">
        <v>6</v>
      </c>
      <c r="C3050" t="s">
        <v>190</v>
      </c>
      <c r="D3050" t="s">
        <v>28</v>
      </c>
      <c r="E3050" t="s">
        <v>216</v>
      </c>
      <c r="F3050" t="s">
        <v>28</v>
      </c>
      <c r="H3050" t="s">
        <v>10</v>
      </c>
      <c r="I3050" t="s">
        <v>220</v>
      </c>
      <c r="J3050">
        <v>11</v>
      </c>
      <c r="L3050">
        <v>11</v>
      </c>
      <c r="N3050">
        <f>Таблица1[[#This Row],[Часов на заказчика  в работе]]+Таблица1[[#This Row],[Часов на заказчика  дежурство]]</f>
        <v>11</v>
      </c>
      <c r="O30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0" s="9">
        <v>88000</v>
      </c>
      <c r="R3050" s="9"/>
      <c r="S3050" s="5">
        <v>1</v>
      </c>
      <c r="T30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табеле]])*S3050,0)</f>
        <v>2933.3333333333335</v>
      </c>
      <c r="U3050" s="5">
        <f>IF(Таблица1[[#This Row],[ТТН]]&gt;0,Таблица1[[#This Row],[Ставка за ТТН]]*Таблица1[[#This Row],[ТТН]],0)</f>
        <v>0</v>
      </c>
    </row>
    <row r="3051" spans="1:21" x14ac:dyDescent="0.25">
      <c r="A3051" t="s">
        <v>84</v>
      </c>
      <c r="B3051" s="24">
        <v>7</v>
      </c>
      <c r="C3051" t="s">
        <v>190</v>
      </c>
      <c r="D3051" t="s">
        <v>28</v>
      </c>
      <c r="E3051" t="s">
        <v>216</v>
      </c>
      <c r="F3051" t="s">
        <v>28</v>
      </c>
      <c r="H3051" t="s">
        <v>10</v>
      </c>
      <c r="I3051" t="s">
        <v>220</v>
      </c>
      <c r="J3051">
        <v>11</v>
      </c>
      <c r="L3051">
        <v>11</v>
      </c>
      <c r="N3051">
        <f>Таблица1[[#This Row],[Часов на заказчика  в работе]]+Таблица1[[#This Row],[Часов на заказчика  дежурство]]</f>
        <v>11</v>
      </c>
      <c r="O30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1" s="9">
        <v>88000</v>
      </c>
      <c r="R3051" s="9"/>
      <c r="S3051" s="5">
        <v>1</v>
      </c>
      <c r="T30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табеле]])*S3051,0)</f>
        <v>2933.3333333333335</v>
      </c>
      <c r="U3051" s="5">
        <f>IF(Таблица1[[#This Row],[ТТН]]&gt;0,Таблица1[[#This Row],[Ставка за ТТН]]*Таблица1[[#This Row],[ТТН]],0)</f>
        <v>0</v>
      </c>
    </row>
    <row r="3052" spans="1:21" x14ac:dyDescent="0.25">
      <c r="A3052" t="s">
        <v>84</v>
      </c>
      <c r="B3052" s="24">
        <v>8</v>
      </c>
      <c r="C3052" t="s">
        <v>190</v>
      </c>
      <c r="D3052" t="s">
        <v>28</v>
      </c>
      <c r="E3052" t="s">
        <v>216</v>
      </c>
      <c r="F3052" t="s">
        <v>28</v>
      </c>
      <c r="H3052" t="s">
        <v>10</v>
      </c>
      <c r="I3052" t="s">
        <v>220</v>
      </c>
      <c r="J3052">
        <v>11</v>
      </c>
      <c r="L3052">
        <v>11</v>
      </c>
      <c r="N3052">
        <f>Таблица1[[#This Row],[Часов на заказчика  в работе]]+Таблица1[[#This Row],[Часов на заказчика  дежурство]]</f>
        <v>11</v>
      </c>
      <c r="O30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2" s="9">
        <v>88000</v>
      </c>
      <c r="R3052" s="9"/>
      <c r="S3052" s="5">
        <v>1</v>
      </c>
      <c r="T30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табеле]])*S3052,0)</f>
        <v>2933.3333333333335</v>
      </c>
      <c r="U3052" s="5">
        <f>IF(Таблица1[[#This Row],[ТТН]]&gt;0,Таблица1[[#This Row],[Ставка за ТТН]]*Таблица1[[#This Row],[ТТН]],0)</f>
        <v>0</v>
      </c>
    </row>
    <row r="3053" spans="1:21" x14ac:dyDescent="0.25">
      <c r="A3053" t="s">
        <v>84</v>
      </c>
      <c r="B3053" s="24">
        <v>9</v>
      </c>
      <c r="C3053" t="s">
        <v>190</v>
      </c>
      <c r="D3053" t="s">
        <v>28</v>
      </c>
      <c r="E3053" t="s">
        <v>216</v>
      </c>
      <c r="F3053" t="s">
        <v>28</v>
      </c>
      <c r="H3053" t="s">
        <v>10</v>
      </c>
      <c r="I3053" t="s">
        <v>220</v>
      </c>
      <c r="J3053">
        <v>11</v>
      </c>
      <c r="L3053">
        <v>11</v>
      </c>
      <c r="N3053">
        <f>Таблица1[[#This Row],[Часов на заказчика  в работе]]+Таблица1[[#This Row],[Часов на заказчика  дежурство]]</f>
        <v>11</v>
      </c>
      <c r="O30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3" s="9">
        <v>88000</v>
      </c>
      <c r="R3053" s="9"/>
      <c r="S3053" s="5">
        <v>1</v>
      </c>
      <c r="T30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табеле]])*S3053,0)</f>
        <v>2933.3333333333335</v>
      </c>
      <c r="U3053" s="5">
        <f>IF(Таблица1[[#This Row],[ТТН]]&gt;0,Таблица1[[#This Row],[Ставка за ТТН]]*Таблица1[[#This Row],[ТТН]],0)</f>
        <v>0</v>
      </c>
    </row>
    <row r="3054" spans="1:21" x14ac:dyDescent="0.25">
      <c r="A3054" t="s">
        <v>84</v>
      </c>
      <c r="B3054" s="24">
        <v>10</v>
      </c>
      <c r="C3054" t="s">
        <v>190</v>
      </c>
      <c r="D3054" t="s">
        <v>28</v>
      </c>
      <c r="E3054" t="s">
        <v>216</v>
      </c>
      <c r="F3054" t="s">
        <v>28</v>
      </c>
      <c r="H3054" t="s">
        <v>10</v>
      </c>
      <c r="I3054" t="s">
        <v>220</v>
      </c>
      <c r="J3054">
        <v>11</v>
      </c>
      <c r="L3054">
        <v>11</v>
      </c>
      <c r="N3054">
        <f>Таблица1[[#This Row],[Часов на заказчика  в работе]]+Таблица1[[#This Row],[Часов на заказчика  дежурство]]</f>
        <v>11</v>
      </c>
      <c r="O30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4" s="9">
        <v>88000</v>
      </c>
      <c r="R3054" s="9"/>
      <c r="S3054" s="5">
        <v>1</v>
      </c>
      <c r="T30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табеле]])*S3054,0)</f>
        <v>2933.3333333333335</v>
      </c>
      <c r="U3054" s="5">
        <f>IF(Таблица1[[#This Row],[ТТН]]&gt;0,Таблица1[[#This Row],[Ставка за ТТН]]*Таблица1[[#This Row],[ТТН]],0)</f>
        <v>0</v>
      </c>
    </row>
    <row r="3055" spans="1:21" x14ac:dyDescent="0.25">
      <c r="A3055" t="s">
        <v>84</v>
      </c>
      <c r="B3055" s="24">
        <v>11</v>
      </c>
      <c r="C3055" t="s">
        <v>190</v>
      </c>
      <c r="D3055" t="s">
        <v>28</v>
      </c>
      <c r="E3055" t="s">
        <v>216</v>
      </c>
      <c r="F3055" t="s">
        <v>28</v>
      </c>
      <c r="H3055" t="s">
        <v>10</v>
      </c>
      <c r="I3055" t="s">
        <v>220</v>
      </c>
      <c r="J3055">
        <v>11</v>
      </c>
      <c r="L3055">
        <v>11</v>
      </c>
      <c r="N3055">
        <f>Таблица1[[#This Row],[Часов на заказчика  в работе]]+Таблица1[[#This Row],[Часов на заказчика  дежурство]]</f>
        <v>11</v>
      </c>
      <c r="O30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5" s="9">
        <v>88000</v>
      </c>
      <c r="R3055" s="9"/>
      <c r="S3055" s="5">
        <v>1</v>
      </c>
      <c r="T30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табеле]])*S3055,0)</f>
        <v>2933.3333333333335</v>
      </c>
      <c r="U3055" s="5">
        <f>IF(Таблица1[[#This Row],[ТТН]]&gt;0,Таблица1[[#This Row],[Ставка за ТТН]]*Таблица1[[#This Row],[ТТН]],0)</f>
        <v>0</v>
      </c>
    </row>
    <row r="3056" spans="1:21" x14ac:dyDescent="0.25">
      <c r="A3056" t="s">
        <v>84</v>
      </c>
      <c r="B3056" s="24">
        <v>12</v>
      </c>
      <c r="C3056" t="s">
        <v>190</v>
      </c>
      <c r="D3056" t="s">
        <v>28</v>
      </c>
      <c r="E3056" t="s">
        <v>216</v>
      </c>
      <c r="F3056" t="s">
        <v>28</v>
      </c>
      <c r="H3056" t="s">
        <v>10</v>
      </c>
      <c r="I3056" t="s">
        <v>220</v>
      </c>
      <c r="J3056">
        <v>11</v>
      </c>
      <c r="L3056">
        <v>11</v>
      </c>
      <c r="N3056">
        <f>Таблица1[[#This Row],[Часов на заказчика  в работе]]+Таблица1[[#This Row],[Часов на заказчика  дежурство]]</f>
        <v>11</v>
      </c>
      <c r="O30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6" s="9">
        <v>88000</v>
      </c>
      <c r="R3056" s="9"/>
      <c r="S3056" s="5">
        <v>1</v>
      </c>
      <c r="T30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табеле]])*S3056,0)</f>
        <v>2933.3333333333335</v>
      </c>
      <c r="U3056" s="5">
        <f>IF(Таблица1[[#This Row],[ТТН]]&gt;0,Таблица1[[#This Row],[Ставка за ТТН]]*Таблица1[[#This Row],[ТТН]],0)</f>
        <v>0</v>
      </c>
    </row>
    <row r="3057" spans="1:21" x14ac:dyDescent="0.25">
      <c r="A3057" t="s">
        <v>84</v>
      </c>
      <c r="B3057" s="24">
        <v>13</v>
      </c>
      <c r="C3057" t="s">
        <v>190</v>
      </c>
      <c r="D3057" t="s">
        <v>28</v>
      </c>
      <c r="E3057" t="s">
        <v>216</v>
      </c>
      <c r="F3057" t="s">
        <v>28</v>
      </c>
      <c r="H3057" t="s">
        <v>10</v>
      </c>
      <c r="I3057" t="s">
        <v>220</v>
      </c>
      <c r="J3057">
        <v>11</v>
      </c>
      <c r="L3057">
        <v>11</v>
      </c>
      <c r="N3057">
        <f>Таблица1[[#This Row],[Часов на заказчика  в работе]]+Таблица1[[#This Row],[Часов на заказчика  дежурство]]</f>
        <v>11</v>
      </c>
      <c r="O30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7" s="9">
        <v>88000</v>
      </c>
      <c r="R3057" s="9"/>
      <c r="S3057" s="5">
        <v>1</v>
      </c>
      <c r="T30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табеле]])*S3057,0)</f>
        <v>2933.3333333333335</v>
      </c>
      <c r="U3057" s="5">
        <f>IF(Таблица1[[#This Row],[ТТН]]&gt;0,Таблица1[[#This Row],[Ставка за ТТН]]*Таблица1[[#This Row],[ТТН]],0)</f>
        <v>0</v>
      </c>
    </row>
    <row r="3058" spans="1:21" x14ac:dyDescent="0.25">
      <c r="A3058" t="s">
        <v>84</v>
      </c>
      <c r="B3058" s="24">
        <v>14</v>
      </c>
      <c r="C3058" t="s">
        <v>190</v>
      </c>
      <c r="D3058" t="s">
        <v>28</v>
      </c>
      <c r="E3058" t="s">
        <v>216</v>
      </c>
      <c r="F3058" t="s">
        <v>28</v>
      </c>
      <c r="H3058" t="s">
        <v>10</v>
      </c>
      <c r="I3058" t="s">
        <v>220</v>
      </c>
      <c r="J3058">
        <v>11</v>
      </c>
      <c r="L3058">
        <v>11</v>
      </c>
      <c r="N3058">
        <f>Таблица1[[#This Row],[Часов на заказчика  в работе]]+Таблица1[[#This Row],[Часов на заказчика  дежурство]]</f>
        <v>11</v>
      </c>
      <c r="O30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8" s="9">
        <v>88000</v>
      </c>
      <c r="R3058" s="9"/>
      <c r="S3058" s="5">
        <v>1</v>
      </c>
      <c r="T30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табеле]])*S3058,0)</f>
        <v>2933.3333333333335</v>
      </c>
      <c r="U3058" s="5">
        <f>IF(Таблица1[[#This Row],[ТТН]]&gt;0,Таблица1[[#This Row],[Ставка за ТТН]]*Таблица1[[#This Row],[ТТН]],0)</f>
        <v>0</v>
      </c>
    </row>
    <row r="3059" spans="1:21" x14ac:dyDescent="0.25">
      <c r="A3059" t="s">
        <v>84</v>
      </c>
      <c r="B3059" s="24">
        <v>15</v>
      </c>
      <c r="C3059" t="s">
        <v>190</v>
      </c>
      <c r="D3059" t="s">
        <v>28</v>
      </c>
      <c r="E3059" t="s">
        <v>216</v>
      </c>
      <c r="F3059" t="s">
        <v>28</v>
      </c>
      <c r="H3059" t="s">
        <v>10</v>
      </c>
      <c r="I3059" t="s">
        <v>220</v>
      </c>
      <c r="J3059">
        <v>11</v>
      </c>
      <c r="L3059">
        <v>11</v>
      </c>
      <c r="N3059">
        <f>Таблица1[[#This Row],[Часов на заказчика  в работе]]+Таблица1[[#This Row],[Часов на заказчика  дежурство]]</f>
        <v>11</v>
      </c>
      <c r="O30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59" s="9">
        <v>88000</v>
      </c>
      <c r="R3059" s="9"/>
      <c r="S3059" s="5">
        <v>1</v>
      </c>
      <c r="T30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табеле]])*S3059,0)</f>
        <v>2933.3333333333335</v>
      </c>
      <c r="U3059" s="5">
        <f>IF(Таблица1[[#This Row],[ТТН]]&gt;0,Таблица1[[#This Row],[Ставка за ТТН]]*Таблица1[[#This Row],[ТТН]],0)</f>
        <v>0</v>
      </c>
    </row>
    <row r="3060" spans="1:21" x14ac:dyDescent="0.25">
      <c r="A3060" t="s">
        <v>84</v>
      </c>
      <c r="B3060" s="24">
        <v>16</v>
      </c>
      <c r="C3060" t="s">
        <v>190</v>
      </c>
      <c r="D3060" t="s">
        <v>28</v>
      </c>
      <c r="E3060" t="s">
        <v>216</v>
      </c>
      <c r="F3060" t="s">
        <v>28</v>
      </c>
      <c r="H3060" t="s">
        <v>10</v>
      </c>
      <c r="I3060" t="s">
        <v>220</v>
      </c>
      <c r="J3060">
        <v>11</v>
      </c>
      <c r="L3060">
        <v>11</v>
      </c>
      <c r="N3060">
        <f>Таблица1[[#This Row],[Часов на заказчика  в работе]]+Таблица1[[#This Row],[Часов на заказчика  дежурство]]</f>
        <v>11</v>
      </c>
      <c r="O30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0" s="9">
        <v>88000</v>
      </c>
      <c r="R3060" s="9"/>
      <c r="S3060" s="5">
        <v>1</v>
      </c>
      <c r="T30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табеле]])*S3060,0)</f>
        <v>2933.3333333333335</v>
      </c>
      <c r="U3060" s="5">
        <f>IF(Таблица1[[#This Row],[ТТН]]&gt;0,Таблица1[[#This Row],[Ставка за ТТН]]*Таблица1[[#This Row],[ТТН]],0)</f>
        <v>0</v>
      </c>
    </row>
    <row r="3061" spans="1:21" x14ac:dyDescent="0.25">
      <c r="A3061" t="s">
        <v>84</v>
      </c>
      <c r="B3061" s="24">
        <v>17</v>
      </c>
      <c r="C3061" t="s">
        <v>190</v>
      </c>
      <c r="D3061" t="s">
        <v>28</v>
      </c>
      <c r="E3061" t="s">
        <v>216</v>
      </c>
      <c r="F3061" t="s">
        <v>28</v>
      </c>
      <c r="H3061" t="s">
        <v>10</v>
      </c>
      <c r="I3061" t="s">
        <v>220</v>
      </c>
      <c r="J3061">
        <v>11</v>
      </c>
      <c r="L3061">
        <v>11</v>
      </c>
      <c r="N3061">
        <f>Таблица1[[#This Row],[Часов на заказчика  в работе]]+Таблица1[[#This Row],[Часов на заказчика  дежурство]]</f>
        <v>11</v>
      </c>
      <c r="O30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1" s="9">
        <v>88000</v>
      </c>
      <c r="R3061" s="9"/>
      <c r="S3061" s="5">
        <v>1</v>
      </c>
      <c r="T30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табеле]])*S3061,0)</f>
        <v>2933.3333333333335</v>
      </c>
      <c r="U3061" s="5">
        <f>IF(Таблица1[[#This Row],[ТТН]]&gt;0,Таблица1[[#This Row],[Ставка за ТТН]]*Таблица1[[#This Row],[ТТН]],0)</f>
        <v>0</v>
      </c>
    </row>
    <row r="3062" spans="1:21" x14ac:dyDescent="0.25">
      <c r="A3062" t="s">
        <v>84</v>
      </c>
      <c r="B3062" s="24">
        <v>18</v>
      </c>
      <c r="C3062" t="s">
        <v>190</v>
      </c>
      <c r="D3062" t="s">
        <v>28</v>
      </c>
      <c r="E3062" t="s">
        <v>216</v>
      </c>
      <c r="F3062" t="s">
        <v>28</v>
      </c>
      <c r="H3062" t="s">
        <v>10</v>
      </c>
      <c r="I3062" t="s">
        <v>220</v>
      </c>
      <c r="J3062">
        <v>11</v>
      </c>
      <c r="L3062">
        <v>11</v>
      </c>
      <c r="N3062">
        <f>Таблица1[[#This Row],[Часов на заказчика  в работе]]+Таблица1[[#This Row],[Часов на заказчика  дежурство]]</f>
        <v>11</v>
      </c>
      <c r="O30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2" s="9">
        <v>88000</v>
      </c>
      <c r="R3062" s="9"/>
      <c r="S3062" s="5">
        <v>1</v>
      </c>
      <c r="T30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табеле]])*S3062,0)</f>
        <v>2933.3333333333335</v>
      </c>
      <c r="U3062" s="5">
        <f>IF(Таблица1[[#This Row],[ТТН]]&gt;0,Таблица1[[#This Row],[Ставка за ТТН]]*Таблица1[[#This Row],[ТТН]],0)</f>
        <v>0</v>
      </c>
    </row>
    <row r="3063" spans="1:21" x14ac:dyDescent="0.25">
      <c r="A3063" t="s">
        <v>84</v>
      </c>
      <c r="B3063" s="24">
        <v>19</v>
      </c>
      <c r="C3063" t="s">
        <v>190</v>
      </c>
      <c r="D3063" t="s">
        <v>28</v>
      </c>
      <c r="E3063" t="s">
        <v>216</v>
      </c>
      <c r="F3063" t="s">
        <v>28</v>
      </c>
      <c r="H3063" t="s">
        <v>10</v>
      </c>
      <c r="I3063" t="s">
        <v>220</v>
      </c>
      <c r="J3063">
        <v>11</v>
      </c>
      <c r="L3063">
        <v>11</v>
      </c>
      <c r="N3063">
        <f>Таблица1[[#This Row],[Часов на заказчика  в работе]]+Таблица1[[#This Row],[Часов на заказчика  дежурство]]</f>
        <v>11</v>
      </c>
      <c r="O30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3" s="9">
        <v>88000</v>
      </c>
      <c r="R3063" s="9"/>
      <c r="S3063" s="5">
        <v>1</v>
      </c>
      <c r="T30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табеле]])*S3063,0)</f>
        <v>2933.3333333333335</v>
      </c>
      <c r="U3063" s="5">
        <f>IF(Таблица1[[#This Row],[ТТН]]&gt;0,Таблица1[[#This Row],[Ставка за ТТН]]*Таблица1[[#This Row],[ТТН]],0)</f>
        <v>0</v>
      </c>
    </row>
    <row r="3064" spans="1:21" x14ac:dyDescent="0.25">
      <c r="A3064" t="s">
        <v>84</v>
      </c>
      <c r="B3064" s="24">
        <v>20</v>
      </c>
      <c r="C3064" t="s">
        <v>190</v>
      </c>
      <c r="D3064" t="s">
        <v>28</v>
      </c>
      <c r="E3064" t="s">
        <v>216</v>
      </c>
      <c r="F3064" t="s">
        <v>28</v>
      </c>
      <c r="H3064" t="s">
        <v>10</v>
      </c>
      <c r="I3064" t="s">
        <v>220</v>
      </c>
      <c r="J3064">
        <v>11</v>
      </c>
      <c r="L3064">
        <v>11</v>
      </c>
      <c r="N3064">
        <f>Таблица1[[#This Row],[Часов на заказчика  в работе]]+Таблица1[[#This Row],[Часов на заказчика  дежурство]]</f>
        <v>11</v>
      </c>
      <c r="O30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4" s="9">
        <v>88000</v>
      </c>
      <c r="R3064" s="9"/>
      <c r="S3064" s="5">
        <v>1</v>
      </c>
      <c r="T30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табеле]])*S3064,0)</f>
        <v>2933.3333333333335</v>
      </c>
      <c r="U3064" s="5">
        <f>IF(Таблица1[[#This Row],[ТТН]]&gt;0,Таблица1[[#This Row],[Ставка за ТТН]]*Таблица1[[#This Row],[ТТН]],0)</f>
        <v>0</v>
      </c>
    </row>
    <row r="3065" spans="1:21" x14ac:dyDescent="0.25">
      <c r="A3065" t="s">
        <v>84</v>
      </c>
      <c r="B3065" s="24">
        <v>21</v>
      </c>
      <c r="C3065" t="s">
        <v>190</v>
      </c>
      <c r="D3065" t="s">
        <v>28</v>
      </c>
      <c r="E3065" t="s">
        <v>216</v>
      </c>
      <c r="F3065" t="s">
        <v>28</v>
      </c>
      <c r="H3065" t="s">
        <v>10</v>
      </c>
      <c r="I3065" t="s">
        <v>220</v>
      </c>
      <c r="J3065">
        <v>11</v>
      </c>
      <c r="L3065">
        <v>11</v>
      </c>
      <c r="N3065">
        <f>Таблица1[[#This Row],[Часов на заказчика  в работе]]+Таблица1[[#This Row],[Часов на заказчика  дежурство]]</f>
        <v>11</v>
      </c>
      <c r="O30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5" s="9">
        <v>88000</v>
      </c>
      <c r="R3065" s="9"/>
      <c r="S3065" s="5">
        <v>1</v>
      </c>
      <c r="T30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табеле]])*S3065,0)</f>
        <v>2933.3333333333335</v>
      </c>
      <c r="U3065" s="5">
        <f>IF(Таблица1[[#This Row],[ТТН]]&gt;0,Таблица1[[#This Row],[Ставка за ТТН]]*Таблица1[[#This Row],[ТТН]],0)</f>
        <v>0</v>
      </c>
    </row>
    <row r="3066" spans="1:21" x14ac:dyDescent="0.25">
      <c r="A3066" t="s">
        <v>84</v>
      </c>
      <c r="B3066" s="24">
        <v>22</v>
      </c>
      <c r="C3066" t="s">
        <v>190</v>
      </c>
      <c r="D3066" t="s">
        <v>28</v>
      </c>
      <c r="E3066" t="s">
        <v>216</v>
      </c>
      <c r="F3066" t="s">
        <v>28</v>
      </c>
      <c r="H3066" t="s">
        <v>10</v>
      </c>
      <c r="I3066" t="s">
        <v>220</v>
      </c>
      <c r="J3066">
        <v>11</v>
      </c>
      <c r="L3066">
        <v>11</v>
      </c>
      <c r="N3066">
        <f>Таблица1[[#This Row],[Часов на заказчика  в работе]]+Таблица1[[#This Row],[Часов на заказчика  дежурство]]</f>
        <v>11</v>
      </c>
      <c r="O30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6" s="9">
        <v>88000</v>
      </c>
      <c r="R3066" s="9"/>
      <c r="S3066" s="5">
        <v>1</v>
      </c>
      <c r="T30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табеле]])*S3066,0)</f>
        <v>2933.3333333333335</v>
      </c>
      <c r="U3066" s="5">
        <f>IF(Таблица1[[#This Row],[ТТН]]&gt;0,Таблица1[[#This Row],[Ставка за ТТН]]*Таблица1[[#This Row],[ТТН]],0)</f>
        <v>0</v>
      </c>
    </row>
    <row r="3067" spans="1:21" x14ac:dyDescent="0.25">
      <c r="A3067" t="s">
        <v>84</v>
      </c>
      <c r="B3067" s="24">
        <v>23</v>
      </c>
      <c r="C3067" t="s">
        <v>190</v>
      </c>
      <c r="D3067" t="s">
        <v>28</v>
      </c>
      <c r="E3067" t="s">
        <v>216</v>
      </c>
      <c r="F3067" t="s">
        <v>28</v>
      </c>
      <c r="H3067" t="s">
        <v>10</v>
      </c>
      <c r="I3067" t="s">
        <v>220</v>
      </c>
      <c r="J3067">
        <v>11</v>
      </c>
      <c r="L3067">
        <v>11</v>
      </c>
      <c r="N3067">
        <f>Таблица1[[#This Row],[Часов на заказчика  в работе]]+Таблица1[[#This Row],[Часов на заказчика  дежурство]]</f>
        <v>11</v>
      </c>
      <c r="O30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7" s="9">
        <v>88000</v>
      </c>
      <c r="R3067" s="9"/>
      <c r="S3067" s="5">
        <v>1</v>
      </c>
      <c r="T30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табеле]])*S3067,0)</f>
        <v>2933.3333333333335</v>
      </c>
      <c r="U3067" s="5">
        <f>IF(Таблица1[[#This Row],[ТТН]]&gt;0,Таблица1[[#This Row],[Ставка за ТТН]]*Таблица1[[#This Row],[ТТН]],0)</f>
        <v>0</v>
      </c>
    </row>
    <row r="3068" spans="1:21" x14ac:dyDescent="0.25">
      <c r="A3068" t="s">
        <v>84</v>
      </c>
      <c r="B3068" s="24">
        <v>24</v>
      </c>
      <c r="C3068" t="s">
        <v>190</v>
      </c>
      <c r="D3068" t="s">
        <v>28</v>
      </c>
      <c r="E3068" t="s">
        <v>216</v>
      </c>
      <c r="F3068" t="s">
        <v>28</v>
      </c>
      <c r="H3068" t="s">
        <v>10</v>
      </c>
      <c r="I3068" t="s">
        <v>220</v>
      </c>
      <c r="J3068">
        <v>11</v>
      </c>
      <c r="L3068">
        <v>11</v>
      </c>
      <c r="N3068">
        <f>Таблица1[[#This Row],[Часов на заказчика  в работе]]+Таблица1[[#This Row],[Часов на заказчика  дежурство]]</f>
        <v>11</v>
      </c>
      <c r="O30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8" s="9">
        <v>88000</v>
      </c>
      <c r="R3068" s="9"/>
      <c r="S3068" s="5">
        <v>1</v>
      </c>
      <c r="T30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табеле]])*S3068,0)</f>
        <v>2933.3333333333335</v>
      </c>
      <c r="U3068" s="5">
        <f>IF(Таблица1[[#This Row],[ТТН]]&gt;0,Таблица1[[#This Row],[Ставка за ТТН]]*Таблица1[[#This Row],[ТТН]],0)</f>
        <v>0</v>
      </c>
    </row>
    <row r="3069" spans="1:21" x14ac:dyDescent="0.25">
      <c r="A3069" t="s">
        <v>84</v>
      </c>
      <c r="B3069" s="24">
        <v>25</v>
      </c>
      <c r="C3069" t="s">
        <v>190</v>
      </c>
      <c r="D3069" t="s">
        <v>28</v>
      </c>
      <c r="E3069" t="s">
        <v>216</v>
      </c>
      <c r="F3069" t="s">
        <v>28</v>
      </c>
      <c r="H3069" t="s">
        <v>10</v>
      </c>
      <c r="I3069" t="s">
        <v>220</v>
      </c>
      <c r="J3069">
        <v>11</v>
      </c>
      <c r="L3069">
        <v>11</v>
      </c>
      <c r="N3069">
        <f>Таблица1[[#This Row],[Часов на заказчика  в работе]]+Таблица1[[#This Row],[Часов на заказчика  дежурство]]</f>
        <v>11</v>
      </c>
      <c r="O30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69" s="9">
        <v>88000</v>
      </c>
      <c r="R3069" s="9"/>
      <c r="S3069" s="5">
        <v>1</v>
      </c>
      <c r="T30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табеле]])*S3069,0)</f>
        <v>2933.3333333333335</v>
      </c>
      <c r="U3069" s="5">
        <f>IF(Таблица1[[#This Row],[ТТН]]&gt;0,Таблица1[[#This Row],[Ставка за ТТН]]*Таблица1[[#This Row],[ТТН]],0)</f>
        <v>0</v>
      </c>
    </row>
    <row r="3070" spans="1:21" x14ac:dyDescent="0.25">
      <c r="A3070" t="s">
        <v>84</v>
      </c>
      <c r="B3070" s="24">
        <v>26</v>
      </c>
      <c r="C3070" t="s">
        <v>190</v>
      </c>
      <c r="D3070" t="s">
        <v>28</v>
      </c>
      <c r="E3070" t="s">
        <v>216</v>
      </c>
      <c r="F3070" t="s">
        <v>28</v>
      </c>
      <c r="H3070" t="s">
        <v>10</v>
      </c>
      <c r="I3070" t="s">
        <v>220</v>
      </c>
      <c r="J3070">
        <v>11</v>
      </c>
      <c r="L3070">
        <v>11</v>
      </c>
      <c r="N3070">
        <f>Таблица1[[#This Row],[Часов на заказчика  в работе]]+Таблица1[[#This Row],[Часов на заказчика  дежурство]]</f>
        <v>11</v>
      </c>
      <c r="O30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0" s="9">
        <v>88000</v>
      </c>
      <c r="R3070" s="9"/>
      <c r="S3070" s="5">
        <v>1</v>
      </c>
      <c r="T30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табеле]])*S3070,0)</f>
        <v>2933.3333333333335</v>
      </c>
      <c r="U3070" s="5">
        <f>IF(Таблица1[[#This Row],[ТТН]]&gt;0,Таблица1[[#This Row],[Ставка за ТТН]]*Таблица1[[#This Row],[ТТН]],0)</f>
        <v>0</v>
      </c>
    </row>
    <row r="3071" spans="1:21" x14ac:dyDescent="0.25">
      <c r="A3071" t="s">
        <v>84</v>
      </c>
      <c r="B3071" s="24">
        <v>27</v>
      </c>
      <c r="C3071" t="s">
        <v>190</v>
      </c>
      <c r="D3071" t="s">
        <v>28</v>
      </c>
      <c r="E3071" t="s">
        <v>216</v>
      </c>
      <c r="F3071" t="s">
        <v>28</v>
      </c>
      <c r="H3071" t="s">
        <v>10</v>
      </c>
      <c r="I3071" t="s">
        <v>220</v>
      </c>
      <c r="J3071">
        <v>11</v>
      </c>
      <c r="L3071">
        <v>11</v>
      </c>
      <c r="N3071">
        <f>Таблица1[[#This Row],[Часов на заказчика  в работе]]+Таблица1[[#This Row],[Часов на заказчика  дежурство]]</f>
        <v>11</v>
      </c>
      <c r="O30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1" s="9">
        <v>88000</v>
      </c>
      <c r="R3071" s="9"/>
      <c r="S3071" s="5">
        <v>1</v>
      </c>
      <c r="T30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табеле]])*S3071,0)</f>
        <v>2933.3333333333335</v>
      </c>
      <c r="U3071" s="5">
        <f>IF(Таблица1[[#This Row],[ТТН]]&gt;0,Таблица1[[#This Row],[Ставка за ТТН]]*Таблица1[[#This Row],[ТТН]],0)</f>
        <v>0</v>
      </c>
    </row>
    <row r="3072" spans="1:21" x14ac:dyDescent="0.25">
      <c r="A3072" t="s">
        <v>84</v>
      </c>
      <c r="B3072" s="24">
        <v>28</v>
      </c>
      <c r="C3072" t="s">
        <v>190</v>
      </c>
      <c r="D3072" t="s">
        <v>28</v>
      </c>
      <c r="E3072" t="s">
        <v>216</v>
      </c>
      <c r="F3072" t="s">
        <v>28</v>
      </c>
      <c r="H3072" t="s">
        <v>10</v>
      </c>
      <c r="I3072" t="s">
        <v>220</v>
      </c>
      <c r="J3072">
        <v>11</v>
      </c>
      <c r="L3072">
        <v>11</v>
      </c>
      <c r="N3072">
        <f>Таблица1[[#This Row],[Часов на заказчика  в работе]]+Таблица1[[#This Row],[Часов на заказчика  дежурство]]</f>
        <v>11</v>
      </c>
      <c r="O30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2" s="9">
        <v>88000</v>
      </c>
      <c r="R3072" s="9"/>
      <c r="S3072" s="5">
        <v>1</v>
      </c>
      <c r="T30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табеле]])*S3072,0)</f>
        <v>2933.3333333333335</v>
      </c>
      <c r="U3072" s="5">
        <f>IF(Таблица1[[#This Row],[ТТН]]&gt;0,Таблица1[[#This Row],[Ставка за ТТН]]*Таблица1[[#This Row],[ТТН]],0)</f>
        <v>0</v>
      </c>
    </row>
    <row r="3073" spans="1:21" x14ac:dyDescent="0.25">
      <c r="A3073" t="s">
        <v>84</v>
      </c>
      <c r="B3073" s="24">
        <v>29</v>
      </c>
      <c r="C3073" t="s">
        <v>190</v>
      </c>
      <c r="D3073" t="s">
        <v>28</v>
      </c>
      <c r="E3073" t="s">
        <v>216</v>
      </c>
      <c r="F3073" t="s">
        <v>28</v>
      </c>
      <c r="H3073" t="s">
        <v>10</v>
      </c>
      <c r="I3073" t="s">
        <v>220</v>
      </c>
      <c r="J3073">
        <v>11</v>
      </c>
      <c r="L3073">
        <v>11</v>
      </c>
      <c r="N3073">
        <f>Таблица1[[#This Row],[Часов на заказчика  в работе]]+Таблица1[[#This Row],[Часов на заказчика  дежурство]]</f>
        <v>11</v>
      </c>
      <c r="O30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3" s="9">
        <v>88000</v>
      </c>
      <c r="R3073" s="9"/>
      <c r="S3073" s="5">
        <v>1</v>
      </c>
      <c r="T30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табеле]])*S3073,0)</f>
        <v>2933.3333333333335</v>
      </c>
      <c r="U3073" s="5">
        <f>IF(Таблица1[[#This Row],[ТТН]]&gt;0,Таблица1[[#This Row],[Ставка за ТТН]]*Таблица1[[#This Row],[ТТН]],0)</f>
        <v>0</v>
      </c>
    </row>
    <row r="3074" spans="1:21" x14ac:dyDescent="0.25">
      <c r="A3074" t="s">
        <v>84</v>
      </c>
      <c r="B3074" s="24">
        <v>30</v>
      </c>
      <c r="C3074" t="s">
        <v>191</v>
      </c>
      <c r="D3074" t="s">
        <v>28</v>
      </c>
      <c r="E3074" t="s">
        <v>216</v>
      </c>
      <c r="F3074" t="s">
        <v>28</v>
      </c>
      <c r="H3074" t="s">
        <v>10</v>
      </c>
      <c r="I3074" t="s">
        <v>220</v>
      </c>
      <c r="J3074">
        <v>11</v>
      </c>
      <c r="L3074">
        <v>11</v>
      </c>
      <c r="N3074">
        <f>Таблица1[[#This Row],[Часов на заказчика  в работе]]+Таблица1[[#This Row],[Часов на заказчика  дежурство]]</f>
        <v>11</v>
      </c>
      <c r="O30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4" s="9">
        <v>88000</v>
      </c>
      <c r="R3074" s="9"/>
      <c r="S3074" s="5">
        <v>1</v>
      </c>
      <c r="T30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табеле]])*S3074,0)</f>
        <v>2933.3333333333335</v>
      </c>
      <c r="U3074" s="5">
        <f>IF(Таблица1[[#This Row],[ТТН]]&gt;0,Таблица1[[#This Row],[Ставка за ТТН]]*Таблица1[[#This Row],[ТТН]],0)</f>
        <v>0</v>
      </c>
    </row>
    <row r="3075" spans="1:21" x14ac:dyDescent="0.25">
      <c r="A3075" t="s">
        <v>84</v>
      </c>
      <c r="B3075" s="24">
        <v>1</v>
      </c>
      <c r="C3075" t="s">
        <v>191</v>
      </c>
      <c r="D3075" t="s">
        <v>28</v>
      </c>
      <c r="E3075" t="s">
        <v>216</v>
      </c>
      <c r="F3075" t="s">
        <v>28</v>
      </c>
      <c r="H3075" t="s">
        <v>10</v>
      </c>
      <c r="I3075" t="s">
        <v>220</v>
      </c>
      <c r="J3075">
        <v>11</v>
      </c>
      <c r="L3075">
        <v>11</v>
      </c>
      <c r="N3075">
        <f>Таблица1[[#This Row],[Часов на заказчика  в работе]]+Таблица1[[#This Row],[Часов на заказчика  дежурство]]</f>
        <v>11</v>
      </c>
      <c r="O30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5" s="9">
        <v>88000</v>
      </c>
      <c r="R3075" s="9"/>
      <c r="S3075" s="5">
        <v>1</v>
      </c>
      <c r="T30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табеле]])*S3075,0)</f>
        <v>2933.3333333333335</v>
      </c>
      <c r="U3075" s="5">
        <f>IF(Таблица1[[#This Row],[ТТН]]&gt;0,Таблица1[[#This Row],[Ставка за ТТН]]*Таблица1[[#This Row],[ТТН]],0)</f>
        <v>0</v>
      </c>
    </row>
    <row r="3076" spans="1:21" x14ac:dyDescent="0.25">
      <c r="A3076" t="s">
        <v>84</v>
      </c>
      <c r="B3076" s="24">
        <v>2</v>
      </c>
      <c r="C3076" t="s">
        <v>191</v>
      </c>
      <c r="D3076" t="s">
        <v>28</v>
      </c>
      <c r="E3076" t="s">
        <v>216</v>
      </c>
      <c r="F3076" t="s">
        <v>28</v>
      </c>
      <c r="H3076" t="s">
        <v>10</v>
      </c>
      <c r="I3076" t="s">
        <v>220</v>
      </c>
      <c r="J3076">
        <v>11</v>
      </c>
      <c r="L3076">
        <v>11</v>
      </c>
      <c r="N3076">
        <f>Таблица1[[#This Row],[Часов на заказчика  в работе]]+Таблица1[[#This Row],[Часов на заказчика  дежурство]]</f>
        <v>11</v>
      </c>
      <c r="O30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6" s="9">
        <v>88000</v>
      </c>
      <c r="R3076" s="9"/>
      <c r="S3076" s="5">
        <v>1</v>
      </c>
      <c r="T30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табеле]])*S3076,0)</f>
        <v>2933.3333333333335</v>
      </c>
      <c r="U3076" s="5">
        <f>IF(Таблица1[[#This Row],[ТТН]]&gt;0,Таблица1[[#This Row],[Ставка за ТТН]]*Таблица1[[#This Row],[ТТН]],0)</f>
        <v>0</v>
      </c>
    </row>
    <row r="3077" spans="1:21" x14ac:dyDescent="0.25">
      <c r="A3077" t="s">
        <v>84</v>
      </c>
      <c r="B3077" s="24">
        <v>3</v>
      </c>
      <c r="C3077" t="s">
        <v>191</v>
      </c>
      <c r="D3077" t="s">
        <v>28</v>
      </c>
      <c r="E3077" t="s">
        <v>216</v>
      </c>
      <c r="F3077" t="s">
        <v>28</v>
      </c>
      <c r="H3077" t="s">
        <v>10</v>
      </c>
      <c r="I3077" t="s">
        <v>220</v>
      </c>
      <c r="J3077">
        <v>11</v>
      </c>
      <c r="L3077">
        <v>11</v>
      </c>
      <c r="N3077">
        <f>Таблица1[[#This Row],[Часов на заказчика  в работе]]+Таблица1[[#This Row],[Часов на заказчика  дежурство]]</f>
        <v>11</v>
      </c>
      <c r="O30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7" s="9">
        <v>88000</v>
      </c>
      <c r="R3077" s="9"/>
      <c r="S3077" s="5">
        <v>1</v>
      </c>
      <c r="T30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табеле]])*S3077,0)</f>
        <v>2933.3333333333335</v>
      </c>
      <c r="U3077" s="5">
        <f>IF(Таблица1[[#This Row],[ТТН]]&gt;0,Таблица1[[#This Row],[Ставка за ТТН]]*Таблица1[[#This Row],[ТТН]],0)</f>
        <v>0</v>
      </c>
    </row>
    <row r="3078" spans="1:21" x14ac:dyDescent="0.25">
      <c r="A3078" t="s">
        <v>84</v>
      </c>
      <c r="B3078" s="24">
        <v>4</v>
      </c>
      <c r="C3078" t="s">
        <v>191</v>
      </c>
      <c r="D3078" t="s">
        <v>28</v>
      </c>
      <c r="E3078" t="s">
        <v>216</v>
      </c>
      <c r="F3078" t="s">
        <v>28</v>
      </c>
      <c r="H3078" t="s">
        <v>10</v>
      </c>
      <c r="I3078" t="s">
        <v>220</v>
      </c>
      <c r="J3078">
        <v>11</v>
      </c>
      <c r="L3078">
        <v>11</v>
      </c>
      <c r="N3078">
        <f>Таблица1[[#This Row],[Часов на заказчика  в работе]]+Таблица1[[#This Row],[Часов на заказчика  дежурство]]</f>
        <v>11</v>
      </c>
      <c r="O30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8" s="9">
        <v>88000</v>
      </c>
      <c r="R3078" s="9"/>
      <c r="S3078" s="5">
        <v>1</v>
      </c>
      <c r="T30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табеле]])*S3078,0)</f>
        <v>2933.3333333333335</v>
      </c>
      <c r="U3078" s="5">
        <f>IF(Таблица1[[#This Row],[ТТН]]&gt;0,Таблица1[[#This Row],[Ставка за ТТН]]*Таблица1[[#This Row],[ТТН]],0)</f>
        <v>0</v>
      </c>
    </row>
    <row r="3079" spans="1:21" x14ac:dyDescent="0.25">
      <c r="A3079" t="s">
        <v>84</v>
      </c>
      <c r="B3079" s="24">
        <v>5</v>
      </c>
      <c r="C3079" t="s">
        <v>191</v>
      </c>
      <c r="D3079" t="s">
        <v>28</v>
      </c>
      <c r="E3079" t="s">
        <v>216</v>
      </c>
      <c r="F3079" t="s">
        <v>28</v>
      </c>
      <c r="H3079" t="s">
        <v>10</v>
      </c>
      <c r="I3079" t="s">
        <v>220</v>
      </c>
      <c r="J3079">
        <v>11</v>
      </c>
      <c r="L3079">
        <v>11</v>
      </c>
      <c r="N3079">
        <f>Таблица1[[#This Row],[Часов на заказчика  в работе]]+Таблица1[[#This Row],[Часов на заказчика  дежурство]]</f>
        <v>11</v>
      </c>
      <c r="O30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79" s="9">
        <v>88000</v>
      </c>
      <c r="R3079" s="9"/>
      <c r="S3079" s="5">
        <v>1</v>
      </c>
      <c r="T30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табеле]])*S3079,0)</f>
        <v>2933.3333333333335</v>
      </c>
      <c r="U3079" s="5">
        <f>IF(Таблица1[[#This Row],[ТТН]]&gt;0,Таблица1[[#This Row],[Ставка за ТТН]]*Таблица1[[#This Row],[ТТН]],0)</f>
        <v>0</v>
      </c>
    </row>
    <row r="3080" spans="1:21" x14ac:dyDescent="0.25">
      <c r="A3080" t="s">
        <v>84</v>
      </c>
      <c r="B3080" s="24">
        <v>6</v>
      </c>
      <c r="C3080" t="s">
        <v>191</v>
      </c>
      <c r="D3080" t="s">
        <v>28</v>
      </c>
      <c r="E3080" t="s">
        <v>216</v>
      </c>
      <c r="F3080" t="s">
        <v>28</v>
      </c>
      <c r="H3080" t="s">
        <v>10</v>
      </c>
      <c r="I3080" t="s">
        <v>220</v>
      </c>
      <c r="J3080">
        <v>11</v>
      </c>
      <c r="L3080">
        <v>11</v>
      </c>
      <c r="N3080">
        <f>Таблица1[[#This Row],[Часов на заказчика  в работе]]+Таблица1[[#This Row],[Часов на заказчика  дежурство]]</f>
        <v>11</v>
      </c>
      <c r="O30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0" s="9">
        <v>88000</v>
      </c>
      <c r="R3080" s="9"/>
      <c r="S3080" s="5">
        <v>1</v>
      </c>
      <c r="T30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табеле]])*S3080,0)</f>
        <v>2933.3333333333335</v>
      </c>
      <c r="U3080" s="5">
        <f>IF(Таблица1[[#This Row],[ТТН]]&gt;0,Таблица1[[#This Row],[Ставка за ТТН]]*Таблица1[[#This Row],[ТТН]],0)</f>
        <v>0</v>
      </c>
    </row>
    <row r="3081" spans="1:21" x14ac:dyDescent="0.25">
      <c r="A3081" t="s">
        <v>84</v>
      </c>
      <c r="B3081" s="24">
        <v>7</v>
      </c>
      <c r="C3081" t="s">
        <v>191</v>
      </c>
      <c r="D3081" t="s">
        <v>28</v>
      </c>
      <c r="E3081" t="s">
        <v>216</v>
      </c>
      <c r="F3081" t="s">
        <v>28</v>
      </c>
      <c r="H3081" t="s">
        <v>10</v>
      </c>
      <c r="I3081" t="s">
        <v>220</v>
      </c>
      <c r="J3081">
        <v>11</v>
      </c>
      <c r="L3081">
        <v>11</v>
      </c>
      <c r="N3081">
        <f>Таблица1[[#This Row],[Часов на заказчика  в работе]]+Таблица1[[#This Row],[Часов на заказчика  дежурство]]</f>
        <v>11</v>
      </c>
      <c r="O30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1" s="9">
        <v>88000</v>
      </c>
      <c r="R3081" s="9"/>
      <c r="S3081" s="5">
        <v>1</v>
      </c>
      <c r="T30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табеле]])*S3081,0)</f>
        <v>2933.3333333333335</v>
      </c>
      <c r="U3081" s="5">
        <f>IF(Таблица1[[#This Row],[ТТН]]&gt;0,Таблица1[[#This Row],[Ставка за ТТН]]*Таблица1[[#This Row],[ТТН]],0)</f>
        <v>0</v>
      </c>
    </row>
    <row r="3082" spans="1:21" x14ac:dyDescent="0.25">
      <c r="A3082" t="s">
        <v>84</v>
      </c>
      <c r="B3082" s="24">
        <v>8</v>
      </c>
      <c r="C3082" t="s">
        <v>191</v>
      </c>
      <c r="D3082" t="s">
        <v>28</v>
      </c>
      <c r="E3082" t="s">
        <v>216</v>
      </c>
      <c r="F3082" t="s">
        <v>28</v>
      </c>
      <c r="H3082" t="s">
        <v>10</v>
      </c>
      <c r="I3082" t="s">
        <v>220</v>
      </c>
      <c r="J3082">
        <v>11</v>
      </c>
      <c r="L3082">
        <v>11</v>
      </c>
      <c r="N3082">
        <f>Таблица1[[#This Row],[Часов на заказчика  в работе]]+Таблица1[[#This Row],[Часов на заказчика  дежурство]]</f>
        <v>11</v>
      </c>
      <c r="O30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2" s="9">
        <v>88000</v>
      </c>
      <c r="R3082" s="9"/>
      <c r="S3082" s="5">
        <v>1</v>
      </c>
      <c r="T30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табеле]])*S3082,0)</f>
        <v>2933.3333333333335</v>
      </c>
      <c r="U3082" s="5">
        <f>IF(Таблица1[[#This Row],[ТТН]]&gt;0,Таблица1[[#This Row],[Ставка за ТТН]]*Таблица1[[#This Row],[ТТН]],0)</f>
        <v>0</v>
      </c>
    </row>
    <row r="3083" spans="1:21" x14ac:dyDescent="0.25">
      <c r="A3083" t="s">
        <v>84</v>
      </c>
      <c r="B3083" s="24">
        <v>9</v>
      </c>
      <c r="C3083" t="s">
        <v>191</v>
      </c>
      <c r="D3083" t="s">
        <v>28</v>
      </c>
      <c r="E3083" t="s">
        <v>216</v>
      </c>
      <c r="F3083" t="s">
        <v>28</v>
      </c>
      <c r="H3083" t="s">
        <v>10</v>
      </c>
      <c r="I3083" t="s">
        <v>220</v>
      </c>
      <c r="J3083">
        <v>11</v>
      </c>
      <c r="L3083">
        <v>11</v>
      </c>
      <c r="N3083">
        <f>Таблица1[[#This Row],[Часов на заказчика  в работе]]+Таблица1[[#This Row],[Часов на заказчика  дежурство]]</f>
        <v>11</v>
      </c>
      <c r="O30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3" s="9">
        <v>88000</v>
      </c>
      <c r="R3083" s="9"/>
      <c r="S3083" s="5">
        <v>1</v>
      </c>
      <c r="T30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табеле]])*S3083,0)</f>
        <v>2933.3333333333335</v>
      </c>
      <c r="U3083" s="5">
        <f>IF(Таблица1[[#This Row],[ТТН]]&gt;0,Таблица1[[#This Row],[Ставка за ТТН]]*Таблица1[[#This Row],[ТТН]],0)</f>
        <v>0</v>
      </c>
    </row>
    <row r="3084" spans="1:21" x14ac:dyDescent="0.25">
      <c r="A3084" t="s">
        <v>84</v>
      </c>
      <c r="B3084" s="24">
        <v>10</v>
      </c>
      <c r="C3084" t="s">
        <v>191</v>
      </c>
      <c r="D3084" t="s">
        <v>28</v>
      </c>
      <c r="E3084" t="s">
        <v>216</v>
      </c>
      <c r="F3084" t="s">
        <v>28</v>
      </c>
      <c r="H3084" t="s">
        <v>10</v>
      </c>
      <c r="I3084" t="s">
        <v>220</v>
      </c>
      <c r="J3084">
        <v>11</v>
      </c>
      <c r="L3084">
        <v>11</v>
      </c>
      <c r="N3084">
        <f>Таблица1[[#This Row],[Часов на заказчика  в работе]]+Таблица1[[#This Row],[Часов на заказчика  дежурство]]</f>
        <v>11</v>
      </c>
      <c r="O30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4" s="9">
        <v>88000</v>
      </c>
      <c r="R3084" s="9"/>
      <c r="S3084" s="5">
        <v>1</v>
      </c>
      <c r="T30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табеле]])*S3084,0)</f>
        <v>2933.3333333333335</v>
      </c>
      <c r="U3084" s="5">
        <f>IF(Таблица1[[#This Row],[ТТН]]&gt;0,Таблица1[[#This Row],[Ставка за ТТН]]*Таблица1[[#This Row],[ТТН]],0)</f>
        <v>0</v>
      </c>
    </row>
    <row r="3085" spans="1:21" x14ac:dyDescent="0.25">
      <c r="A3085" t="s">
        <v>84</v>
      </c>
      <c r="B3085" s="24">
        <v>11</v>
      </c>
      <c r="C3085" t="s">
        <v>191</v>
      </c>
      <c r="D3085" t="s">
        <v>28</v>
      </c>
      <c r="E3085" t="s">
        <v>216</v>
      </c>
      <c r="F3085" t="s">
        <v>28</v>
      </c>
      <c r="H3085" t="s">
        <v>10</v>
      </c>
      <c r="I3085" t="s">
        <v>220</v>
      </c>
      <c r="J3085">
        <v>11</v>
      </c>
      <c r="L3085">
        <v>11</v>
      </c>
      <c r="N3085">
        <f>Таблица1[[#This Row],[Часов на заказчика  в работе]]+Таблица1[[#This Row],[Часов на заказчика  дежурство]]</f>
        <v>11</v>
      </c>
      <c r="O30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5" s="9">
        <v>88000</v>
      </c>
      <c r="R3085" s="9"/>
      <c r="S3085" s="5">
        <v>1</v>
      </c>
      <c r="T30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табеле]])*S3085,0)</f>
        <v>2933.3333333333335</v>
      </c>
      <c r="U3085" s="5">
        <f>IF(Таблица1[[#This Row],[ТТН]]&gt;0,Таблица1[[#This Row],[Ставка за ТТН]]*Таблица1[[#This Row],[ТТН]],0)</f>
        <v>0</v>
      </c>
    </row>
    <row r="3086" spans="1:21" x14ac:dyDescent="0.25">
      <c r="A3086" t="s">
        <v>84</v>
      </c>
      <c r="B3086" s="24">
        <v>12</v>
      </c>
      <c r="C3086" t="s">
        <v>191</v>
      </c>
      <c r="D3086" t="s">
        <v>28</v>
      </c>
      <c r="E3086" t="s">
        <v>216</v>
      </c>
      <c r="F3086" t="s">
        <v>28</v>
      </c>
      <c r="H3086" t="s">
        <v>10</v>
      </c>
      <c r="I3086" t="s">
        <v>220</v>
      </c>
      <c r="J3086">
        <v>11</v>
      </c>
      <c r="L3086">
        <v>11</v>
      </c>
      <c r="N3086">
        <f>Таблица1[[#This Row],[Часов на заказчика  в работе]]+Таблица1[[#This Row],[Часов на заказчика  дежурство]]</f>
        <v>11</v>
      </c>
      <c r="O30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6" s="9">
        <v>88000</v>
      </c>
      <c r="R3086" s="9"/>
      <c r="S3086" s="5">
        <v>1</v>
      </c>
      <c r="T30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табеле]])*S3086,0)</f>
        <v>2933.3333333333335</v>
      </c>
      <c r="U3086" s="5">
        <f>IF(Таблица1[[#This Row],[ТТН]]&gt;0,Таблица1[[#This Row],[Ставка за ТТН]]*Таблица1[[#This Row],[ТТН]],0)</f>
        <v>0</v>
      </c>
    </row>
    <row r="3087" spans="1:21" x14ac:dyDescent="0.25">
      <c r="A3087" t="s">
        <v>84</v>
      </c>
      <c r="B3087" s="24">
        <v>13</v>
      </c>
      <c r="C3087" t="s">
        <v>191</v>
      </c>
      <c r="D3087" t="s">
        <v>28</v>
      </c>
      <c r="E3087" t="s">
        <v>216</v>
      </c>
      <c r="F3087" t="s">
        <v>28</v>
      </c>
      <c r="H3087" t="s">
        <v>10</v>
      </c>
      <c r="I3087" t="s">
        <v>220</v>
      </c>
      <c r="J3087">
        <v>11</v>
      </c>
      <c r="L3087">
        <v>11</v>
      </c>
      <c r="N3087">
        <f>Таблица1[[#This Row],[Часов на заказчика  в работе]]+Таблица1[[#This Row],[Часов на заказчика  дежурство]]</f>
        <v>11</v>
      </c>
      <c r="O30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7" s="9">
        <v>88000</v>
      </c>
      <c r="R3087" s="9"/>
      <c r="S3087" s="5">
        <v>1</v>
      </c>
      <c r="T30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табеле]])*S3087,0)</f>
        <v>2933.3333333333335</v>
      </c>
      <c r="U3087" s="5">
        <f>IF(Таблица1[[#This Row],[ТТН]]&gt;0,Таблица1[[#This Row],[Ставка за ТТН]]*Таблица1[[#This Row],[ТТН]],0)</f>
        <v>0</v>
      </c>
    </row>
    <row r="3088" spans="1:21" x14ac:dyDescent="0.25">
      <c r="A3088" t="s">
        <v>84</v>
      </c>
      <c r="B3088" s="24">
        <v>14</v>
      </c>
      <c r="C3088" t="s">
        <v>191</v>
      </c>
      <c r="D3088" t="s">
        <v>28</v>
      </c>
      <c r="E3088" t="s">
        <v>216</v>
      </c>
      <c r="F3088" t="s">
        <v>28</v>
      </c>
      <c r="H3088" t="s">
        <v>10</v>
      </c>
      <c r="I3088" t="s">
        <v>220</v>
      </c>
      <c r="J3088">
        <v>11</v>
      </c>
      <c r="L3088">
        <v>11</v>
      </c>
      <c r="N3088">
        <f>Таблица1[[#This Row],[Часов на заказчика  в работе]]+Таблица1[[#This Row],[Часов на заказчика  дежурство]]</f>
        <v>11</v>
      </c>
      <c r="O30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8" s="9">
        <v>88000</v>
      </c>
      <c r="R3088" s="9"/>
      <c r="S3088" s="5">
        <v>1</v>
      </c>
      <c r="T30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табеле]])*S3088,0)</f>
        <v>2933.3333333333335</v>
      </c>
      <c r="U3088" s="5">
        <f>IF(Таблица1[[#This Row],[ТТН]]&gt;0,Таблица1[[#This Row],[Ставка за ТТН]]*Таблица1[[#This Row],[ТТН]],0)</f>
        <v>0</v>
      </c>
    </row>
    <row r="3089" spans="1:21" x14ac:dyDescent="0.25">
      <c r="A3089" t="s">
        <v>84</v>
      </c>
      <c r="B3089" s="24">
        <v>15</v>
      </c>
      <c r="C3089" t="s">
        <v>191</v>
      </c>
      <c r="D3089" t="s">
        <v>28</v>
      </c>
      <c r="E3089" t="s">
        <v>216</v>
      </c>
      <c r="F3089" t="s">
        <v>28</v>
      </c>
      <c r="H3089" t="s">
        <v>10</v>
      </c>
      <c r="I3089" t="s">
        <v>220</v>
      </c>
      <c r="J3089">
        <v>11</v>
      </c>
      <c r="L3089">
        <v>11</v>
      </c>
      <c r="N3089">
        <f>Таблица1[[#This Row],[Часов на заказчика  в работе]]+Таблица1[[#This Row],[Часов на заказчика  дежурство]]</f>
        <v>11</v>
      </c>
      <c r="O30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89" s="9">
        <v>88000</v>
      </c>
      <c r="R3089" s="9"/>
      <c r="S3089" s="5">
        <v>1</v>
      </c>
      <c r="T30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табеле]])*S3089,0)</f>
        <v>2933.3333333333335</v>
      </c>
      <c r="U3089" s="5">
        <f>IF(Таблица1[[#This Row],[ТТН]]&gt;0,Таблица1[[#This Row],[Ставка за ТТН]]*Таблица1[[#This Row],[ТТН]],0)</f>
        <v>0</v>
      </c>
    </row>
    <row r="3090" spans="1:21" x14ac:dyDescent="0.25">
      <c r="A3090" t="s">
        <v>84</v>
      </c>
      <c r="B3090" s="24">
        <v>16</v>
      </c>
      <c r="C3090" t="s">
        <v>191</v>
      </c>
      <c r="D3090" t="s">
        <v>28</v>
      </c>
      <c r="E3090" t="s">
        <v>216</v>
      </c>
      <c r="F3090" t="s">
        <v>28</v>
      </c>
      <c r="H3090" t="s">
        <v>10</v>
      </c>
      <c r="I3090" t="s">
        <v>220</v>
      </c>
      <c r="J3090">
        <v>11</v>
      </c>
      <c r="L3090">
        <v>11</v>
      </c>
      <c r="N3090">
        <f>Таблица1[[#This Row],[Часов на заказчика  в работе]]+Таблица1[[#This Row],[Часов на заказчика  дежурство]]</f>
        <v>11</v>
      </c>
      <c r="O30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0" s="9">
        <v>88000</v>
      </c>
      <c r="R3090" s="9"/>
      <c r="S3090" s="5">
        <v>1</v>
      </c>
      <c r="T30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табеле]])*S3090,0)</f>
        <v>2933.3333333333335</v>
      </c>
      <c r="U3090" s="5">
        <f>IF(Таблица1[[#This Row],[ТТН]]&gt;0,Таблица1[[#This Row],[Ставка за ТТН]]*Таблица1[[#This Row],[ТТН]],0)</f>
        <v>0</v>
      </c>
    </row>
    <row r="3091" spans="1:21" x14ac:dyDescent="0.25">
      <c r="A3091" t="s">
        <v>84</v>
      </c>
      <c r="B3091" s="24">
        <v>17</v>
      </c>
      <c r="C3091" t="s">
        <v>191</v>
      </c>
      <c r="D3091" t="s">
        <v>28</v>
      </c>
      <c r="E3091" t="s">
        <v>216</v>
      </c>
      <c r="F3091" t="s">
        <v>28</v>
      </c>
      <c r="H3091" t="s">
        <v>10</v>
      </c>
      <c r="I3091" t="s">
        <v>220</v>
      </c>
      <c r="J3091">
        <v>11</v>
      </c>
      <c r="L3091">
        <v>11</v>
      </c>
      <c r="N3091">
        <f>Таблица1[[#This Row],[Часов на заказчика  в работе]]+Таблица1[[#This Row],[Часов на заказчика  дежурство]]</f>
        <v>11</v>
      </c>
      <c r="O30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1" s="9">
        <v>88000</v>
      </c>
      <c r="R3091" s="9"/>
      <c r="S3091" s="5">
        <v>1</v>
      </c>
      <c r="T30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табеле]])*S3091,0)</f>
        <v>2933.3333333333335</v>
      </c>
      <c r="U3091" s="5">
        <f>IF(Таблица1[[#This Row],[ТТН]]&gt;0,Таблица1[[#This Row],[Ставка за ТТН]]*Таблица1[[#This Row],[ТТН]],0)</f>
        <v>0</v>
      </c>
    </row>
    <row r="3092" spans="1:21" x14ac:dyDescent="0.25">
      <c r="A3092" t="s">
        <v>84</v>
      </c>
      <c r="B3092" s="24">
        <v>18</v>
      </c>
      <c r="C3092" t="s">
        <v>191</v>
      </c>
      <c r="D3092" t="s">
        <v>28</v>
      </c>
      <c r="E3092" t="s">
        <v>216</v>
      </c>
      <c r="F3092" t="s">
        <v>28</v>
      </c>
      <c r="H3092" t="s">
        <v>10</v>
      </c>
      <c r="I3092" t="s">
        <v>220</v>
      </c>
      <c r="J3092">
        <v>11</v>
      </c>
      <c r="L3092">
        <v>11</v>
      </c>
      <c r="N3092">
        <f>Таблица1[[#This Row],[Часов на заказчика  в работе]]+Таблица1[[#This Row],[Часов на заказчика  дежурство]]</f>
        <v>11</v>
      </c>
      <c r="O30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2" s="9">
        <v>88000</v>
      </c>
      <c r="R3092" s="9"/>
      <c r="S3092" s="5">
        <v>1</v>
      </c>
      <c r="T30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табеле]])*S3092,0)</f>
        <v>2933.3333333333335</v>
      </c>
      <c r="U3092" s="5">
        <f>IF(Таблица1[[#This Row],[ТТН]]&gt;0,Таблица1[[#This Row],[Ставка за ТТН]]*Таблица1[[#This Row],[ТТН]],0)</f>
        <v>0</v>
      </c>
    </row>
    <row r="3093" spans="1:21" x14ac:dyDescent="0.25">
      <c r="A3093" t="s">
        <v>84</v>
      </c>
      <c r="B3093" s="24">
        <v>19</v>
      </c>
      <c r="C3093" t="s">
        <v>191</v>
      </c>
      <c r="D3093" t="s">
        <v>28</v>
      </c>
      <c r="E3093" t="s">
        <v>216</v>
      </c>
      <c r="F3093" t="s">
        <v>28</v>
      </c>
      <c r="H3093" t="s">
        <v>10</v>
      </c>
      <c r="I3093" t="s">
        <v>220</v>
      </c>
      <c r="J3093">
        <v>11</v>
      </c>
      <c r="L3093">
        <v>11</v>
      </c>
      <c r="N3093">
        <f>Таблица1[[#This Row],[Часов на заказчика  в работе]]+Таблица1[[#This Row],[Часов на заказчика  дежурство]]</f>
        <v>11</v>
      </c>
      <c r="O30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3" s="9">
        <v>88000</v>
      </c>
      <c r="R3093" s="9"/>
      <c r="S3093" s="5">
        <v>1</v>
      </c>
      <c r="T30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табеле]])*S3093,0)</f>
        <v>2933.3333333333335</v>
      </c>
      <c r="U3093" s="5">
        <f>IF(Таблица1[[#This Row],[ТТН]]&gt;0,Таблица1[[#This Row],[Ставка за ТТН]]*Таблица1[[#This Row],[ТТН]],0)</f>
        <v>0</v>
      </c>
    </row>
    <row r="3094" spans="1:21" x14ac:dyDescent="0.25">
      <c r="A3094" t="s">
        <v>84</v>
      </c>
      <c r="B3094" s="24">
        <v>20</v>
      </c>
      <c r="C3094" t="s">
        <v>191</v>
      </c>
      <c r="D3094" t="s">
        <v>28</v>
      </c>
      <c r="E3094" t="s">
        <v>216</v>
      </c>
      <c r="F3094" t="s">
        <v>28</v>
      </c>
      <c r="H3094" t="s">
        <v>24</v>
      </c>
      <c r="I3094" t="s">
        <v>217</v>
      </c>
      <c r="J3094">
        <v>8</v>
      </c>
      <c r="N3094">
        <f>Таблица1[[#This Row],[Часов на заказчика  в работе]]+Таблица1[[#This Row],[Часов на заказчика  дежурство]]</f>
        <v>0</v>
      </c>
      <c r="O30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4" s="9">
        <v>88000</v>
      </c>
      <c r="R3094" s="9"/>
      <c r="S3094" s="5">
        <v>1</v>
      </c>
      <c r="T30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табеле]])*S3094,0)</f>
        <v>0</v>
      </c>
      <c r="U3094" s="5">
        <f>IF(Таблица1[[#This Row],[ТТН]]&gt;0,Таблица1[[#This Row],[Ставка за ТТН]]*Таблица1[[#This Row],[ТТН]],0)</f>
        <v>0</v>
      </c>
    </row>
    <row r="3095" spans="1:21" x14ac:dyDescent="0.25">
      <c r="A3095" t="s">
        <v>84</v>
      </c>
      <c r="B3095" s="24">
        <v>21</v>
      </c>
      <c r="C3095" t="s">
        <v>191</v>
      </c>
      <c r="D3095" t="s">
        <v>28</v>
      </c>
      <c r="E3095" t="s">
        <v>216</v>
      </c>
      <c r="F3095" t="s">
        <v>28</v>
      </c>
      <c r="H3095" t="s">
        <v>24</v>
      </c>
      <c r="I3095" t="s">
        <v>217</v>
      </c>
      <c r="J3095">
        <v>8</v>
      </c>
      <c r="N3095">
        <f>Таблица1[[#This Row],[Часов на заказчика  в работе]]+Таблица1[[#This Row],[Часов на заказчика  дежурство]]</f>
        <v>0</v>
      </c>
      <c r="O30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5" s="9">
        <v>88000</v>
      </c>
      <c r="R3095" s="9"/>
      <c r="S3095" s="5">
        <v>1</v>
      </c>
      <c r="T30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табеле]])*S3095,0)</f>
        <v>0</v>
      </c>
      <c r="U3095" s="5">
        <f>IF(Таблица1[[#This Row],[ТТН]]&gt;0,Таблица1[[#This Row],[Ставка за ТТН]]*Таблица1[[#This Row],[ТТН]],0)</f>
        <v>0</v>
      </c>
    </row>
    <row r="3096" spans="1:21" x14ac:dyDescent="0.25">
      <c r="A3096" t="s">
        <v>84</v>
      </c>
      <c r="B3096" s="24">
        <v>22</v>
      </c>
      <c r="C3096" t="s">
        <v>191</v>
      </c>
      <c r="D3096" t="s">
        <v>28</v>
      </c>
      <c r="E3096" t="s">
        <v>216</v>
      </c>
      <c r="F3096" t="s">
        <v>28</v>
      </c>
      <c r="H3096" t="s">
        <v>24</v>
      </c>
      <c r="I3096" t="s">
        <v>217</v>
      </c>
      <c r="J3096">
        <v>8</v>
      </c>
      <c r="N3096">
        <f>Таблица1[[#This Row],[Часов на заказчика  в работе]]+Таблица1[[#This Row],[Часов на заказчика  дежурство]]</f>
        <v>0</v>
      </c>
      <c r="O30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6" s="9">
        <v>88000</v>
      </c>
      <c r="R3096" s="9"/>
      <c r="S3096" s="5">
        <v>1</v>
      </c>
      <c r="T30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табеле]])*S3096,0)</f>
        <v>0</v>
      </c>
      <c r="U3096" s="5">
        <f>IF(Таблица1[[#This Row],[ТТН]]&gt;0,Таблица1[[#This Row],[Ставка за ТТН]]*Таблица1[[#This Row],[ТТН]],0)</f>
        <v>0</v>
      </c>
    </row>
    <row r="3097" spans="1:21" x14ac:dyDescent="0.25">
      <c r="A3097" t="s">
        <v>84</v>
      </c>
      <c r="B3097" s="24">
        <v>23</v>
      </c>
      <c r="C3097" t="s">
        <v>191</v>
      </c>
      <c r="D3097" t="s">
        <v>28</v>
      </c>
      <c r="E3097" t="s">
        <v>216</v>
      </c>
      <c r="F3097" t="s">
        <v>28</v>
      </c>
      <c r="H3097" t="s">
        <v>29</v>
      </c>
      <c r="I3097" t="s">
        <v>217</v>
      </c>
      <c r="J3097">
        <v>8</v>
      </c>
      <c r="N3097">
        <f>Таблица1[[#This Row],[Часов на заказчика  в работе]]+Таблица1[[#This Row],[Часов на заказчика  дежурство]]</f>
        <v>0</v>
      </c>
      <c r="O30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7" s="9">
        <v>88000</v>
      </c>
      <c r="R3097" s="9"/>
      <c r="S3097" s="5">
        <v>1</v>
      </c>
      <c r="T30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табеле]])*S3097,0)</f>
        <v>0</v>
      </c>
      <c r="U3097" s="5">
        <f>IF(Таблица1[[#This Row],[ТТН]]&gt;0,Таблица1[[#This Row],[Ставка за ТТН]]*Таблица1[[#This Row],[ТТН]],0)</f>
        <v>0</v>
      </c>
    </row>
    <row r="3098" spans="1:21" x14ac:dyDescent="0.25">
      <c r="A3098" t="s">
        <v>84</v>
      </c>
      <c r="B3098" s="24">
        <v>24</v>
      </c>
      <c r="C3098" t="s">
        <v>191</v>
      </c>
      <c r="D3098" t="s">
        <v>28</v>
      </c>
      <c r="E3098" t="s">
        <v>216</v>
      </c>
      <c r="F3098" t="s">
        <v>28</v>
      </c>
      <c r="H3098" t="s">
        <v>29</v>
      </c>
      <c r="I3098" t="s">
        <v>217</v>
      </c>
      <c r="J3098">
        <v>8</v>
      </c>
      <c r="N3098">
        <f>Таблица1[[#This Row],[Часов на заказчика  в работе]]+Таблица1[[#This Row],[Часов на заказчика  дежурство]]</f>
        <v>0</v>
      </c>
      <c r="O30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8" s="9">
        <v>88000</v>
      </c>
      <c r="R3098" s="9"/>
      <c r="S3098" s="5">
        <v>1</v>
      </c>
      <c r="T30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табеле]])*S3098,0)</f>
        <v>0</v>
      </c>
      <c r="U3098" s="5">
        <f>IF(Таблица1[[#This Row],[ТТН]]&gt;0,Таблица1[[#This Row],[Ставка за ТТН]]*Таблица1[[#This Row],[ТТН]],0)</f>
        <v>0</v>
      </c>
    </row>
    <row r="3099" spans="1:21" x14ac:dyDescent="0.25">
      <c r="A3099" t="s">
        <v>84</v>
      </c>
      <c r="B3099" s="24">
        <v>25</v>
      </c>
      <c r="C3099" t="s">
        <v>191</v>
      </c>
      <c r="D3099" t="s">
        <v>28</v>
      </c>
      <c r="E3099" t="s">
        <v>216</v>
      </c>
      <c r="F3099" t="s">
        <v>28</v>
      </c>
      <c r="H3099" t="s">
        <v>29</v>
      </c>
      <c r="I3099" t="s">
        <v>217</v>
      </c>
      <c r="J3099">
        <v>8</v>
      </c>
      <c r="N3099">
        <f>Таблица1[[#This Row],[Часов на заказчика  в работе]]+Таблица1[[#This Row],[Часов на заказчика  дежурство]]</f>
        <v>0</v>
      </c>
      <c r="O30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099" s="9">
        <v>88000</v>
      </c>
      <c r="R3099" s="9"/>
      <c r="S3099" s="5">
        <v>1</v>
      </c>
      <c r="T30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табеле]])*S3099,0)</f>
        <v>0</v>
      </c>
      <c r="U3099" s="5">
        <f>IF(Таблица1[[#This Row],[ТТН]]&gt;0,Таблица1[[#This Row],[Ставка за ТТН]]*Таблица1[[#This Row],[ТТН]],0)</f>
        <v>0</v>
      </c>
    </row>
    <row r="3100" spans="1:21" x14ac:dyDescent="0.25">
      <c r="A3100" t="s">
        <v>84</v>
      </c>
      <c r="B3100" s="24">
        <v>26</v>
      </c>
      <c r="C3100" t="s">
        <v>191</v>
      </c>
      <c r="D3100" t="s">
        <v>28</v>
      </c>
      <c r="E3100" t="s">
        <v>216</v>
      </c>
      <c r="F3100" t="s">
        <v>28</v>
      </c>
      <c r="H3100" t="s">
        <v>29</v>
      </c>
      <c r="I3100" t="s">
        <v>217</v>
      </c>
      <c r="J3100">
        <v>8</v>
      </c>
      <c r="N3100">
        <f>Таблица1[[#This Row],[Часов на заказчика  в работе]]+Таблица1[[#This Row],[Часов на заказчика  дежурство]]</f>
        <v>0</v>
      </c>
      <c r="O31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0" s="9">
        <v>88000</v>
      </c>
      <c r="R3100" s="9"/>
      <c r="S3100" s="5">
        <v>1</v>
      </c>
      <c r="T31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табеле]])*S3100,0)</f>
        <v>0</v>
      </c>
      <c r="U3100" s="5">
        <f>IF(Таблица1[[#This Row],[ТТН]]&gt;0,Таблица1[[#This Row],[Ставка за ТТН]]*Таблица1[[#This Row],[ТТН]],0)</f>
        <v>0</v>
      </c>
    </row>
    <row r="3101" spans="1:21" x14ac:dyDescent="0.25">
      <c r="A3101" t="s">
        <v>84</v>
      </c>
      <c r="B3101" s="24">
        <v>27</v>
      </c>
      <c r="C3101" t="s">
        <v>191</v>
      </c>
      <c r="D3101" t="s">
        <v>28</v>
      </c>
      <c r="E3101" t="s">
        <v>216</v>
      </c>
      <c r="F3101" t="s">
        <v>28</v>
      </c>
      <c r="H3101" t="s">
        <v>30</v>
      </c>
      <c r="I3101" t="s">
        <v>217</v>
      </c>
      <c r="J3101">
        <v>1</v>
      </c>
      <c r="N3101">
        <f>Таблица1[[#This Row],[Часов на заказчика  в работе]]+Таблица1[[#This Row],[Часов на заказчика  дежурство]]</f>
        <v>0</v>
      </c>
      <c r="O31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1" s="9">
        <v>88000</v>
      </c>
      <c r="R3101" s="9"/>
      <c r="S3101" s="5">
        <v>1</v>
      </c>
      <c r="T31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табеле]])*S3101,0)</f>
        <v>0</v>
      </c>
      <c r="U3101" s="5">
        <f>IF(Таблица1[[#This Row],[ТТН]]&gt;0,Таблица1[[#This Row],[Ставка за ТТН]]*Таблица1[[#This Row],[ТТН]],0)</f>
        <v>0</v>
      </c>
    </row>
    <row r="3102" spans="1:21" x14ac:dyDescent="0.25">
      <c r="A3102" t="s">
        <v>84</v>
      </c>
      <c r="B3102" s="24">
        <v>28</v>
      </c>
      <c r="C3102" t="s">
        <v>191</v>
      </c>
      <c r="D3102" t="s">
        <v>28</v>
      </c>
      <c r="E3102" t="s">
        <v>216</v>
      </c>
      <c r="F3102" t="s">
        <v>28</v>
      </c>
      <c r="H3102" t="s">
        <v>30</v>
      </c>
      <c r="I3102" t="s">
        <v>217</v>
      </c>
      <c r="J3102">
        <v>1</v>
      </c>
      <c r="N3102">
        <f>Таблица1[[#This Row],[Часов на заказчика  в работе]]+Таблица1[[#This Row],[Часов на заказчика  дежурство]]</f>
        <v>0</v>
      </c>
      <c r="O31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2" s="9">
        <v>88000</v>
      </c>
      <c r="R3102" s="9"/>
      <c r="S3102" s="5">
        <v>1</v>
      </c>
      <c r="T31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табеле]])*S3102,0)</f>
        <v>0</v>
      </c>
      <c r="U3102" s="5">
        <f>IF(Таблица1[[#This Row],[ТТН]]&gt;0,Таблица1[[#This Row],[Ставка за ТТН]]*Таблица1[[#This Row],[ТТН]],0)</f>
        <v>0</v>
      </c>
    </row>
    <row r="3103" spans="1:21" x14ac:dyDescent="0.25">
      <c r="A3103" t="s">
        <v>84</v>
      </c>
      <c r="B3103" s="24">
        <v>29</v>
      </c>
      <c r="C3103" t="s">
        <v>191</v>
      </c>
      <c r="D3103" t="s">
        <v>28</v>
      </c>
      <c r="E3103" t="s">
        <v>216</v>
      </c>
      <c r="F3103" t="s">
        <v>28</v>
      </c>
      <c r="H3103" t="s">
        <v>29</v>
      </c>
      <c r="I3103" t="s">
        <v>217</v>
      </c>
      <c r="J3103">
        <v>8</v>
      </c>
      <c r="N3103">
        <f>Таблица1[[#This Row],[Часов на заказчика  в работе]]+Таблица1[[#This Row],[Часов на заказчика  дежурство]]</f>
        <v>0</v>
      </c>
      <c r="O31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3" s="9">
        <v>88000</v>
      </c>
      <c r="R3103" s="9"/>
      <c r="S3103" s="5">
        <v>1</v>
      </c>
      <c r="T31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табеле]])*S3103,0)</f>
        <v>0</v>
      </c>
      <c r="U3103" s="5">
        <f>IF(Таблица1[[#This Row],[ТТН]]&gt;0,Таблица1[[#This Row],[Ставка за ТТН]]*Таблица1[[#This Row],[ТТН]],0)</f>
        <v>0</v>
      </c>
    </row>
    <row r="3104" spans="1:21" x14ac:dyDescent="0.25">
      <c r="A3104" t="s">
        <v>84</v>
      </c>
      <c r="B3104" s="24">
        <v>30</v>
      </c>
      <c r="C3104" t="s">
        <v>145</v>
      </c>
      <c r="D3104" t="s">
        <v>28</v>
      </c>
      <c r="E3104" t="s">
        <v>216</v>
      </c>
      <c r="F3104" t="s">
        <v>28</v>
      </c>
      <c r="H3104" t="s">
        <v>29</v>
      </c>
      <c r="I3104" t="s">
        <v>217</v>
      </c>
      <c r="J3104">
        <v>8</v>
      </c>
      <c r="N3104">
        <f>Таблица1[[#This Row],[Часов на заказчика  в работе]]+Таблица1[[#This Row],[Часов на заказчика  дежурство]]</f>
        <v>0</v>
      </c>
      <c r="O31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4" s="9">
        <v>88000</v>
      </c>
      <c r="R3104" s="9"/>
      <c r="S3104" s="5">
        <v>1</v>
      </c>
      <c r="T31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табеле]])*S3104,0)</f>
        <v>0</v>
      </c>
      <c r="U3104" s="5">
        <f>IF(Таблица1[[#This Row],[ТТН]]&gt;0,Таблица1[[#This Row],[Ставка за ТТН]]*Таблица1[[#This Row],[ТТН]],0)</f>
        <v>0</v>
      </c>
    </row>
    <row r="3105" spans="1:21" x14ac:dyDescent="0.25">
      <c r="A3105" t="s">
        <v>84</v>
      </c>
      <c r="B3105" s="24">
        <v>1</v>
      </c>
      <c r="C3105" t="s">
        <v>145</v>
      </c>
      <c r="D3105" t="s">
        <v>28</v>
      </c>
      <c r="E3105" t="s">
        <v>216</v>
      </c>
      <c r="F3105" t="s">
        <v>28</v>
      </c>
      <c r="H3105" t="s">
        <v>10</v>
      </c>
      <c r="I3105" t="s">
        <v>220</v>
      </c>
      <c r="J3105">
        <v>11</v>
      </c>
      <c r="L3105">
        <v>11</v>
      </c>
      <c r="N3105">
        <f>Таблица1[[#This Row],[Часов на заказчика  в работе]]+Таблица1[[#This Row],[Часов на заказчика  дежурство]]</f>
        <v>11</v>
      </c>
      <c r="O31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5" s="9">
        <v>88000</v>
      </c>
      <c r="R3105" s="9"/>
      <c r="S3105" s="5">
        <v>1</v>
      </c>
      <c r="T31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табеле]])*S3105,0)</f>
        <v>2933.3333333333335</v>
      </c>
      <c r="U3105" s="5">
        <f>IF(Таблица1[[#This Row],[ТТН]]&gt;0,Таблица1[[#This Row],[Ставка за ТТН]]*Таблица1[[#This Row],[ТТН]],0)</f>
        <v>0</v>
      </c>
    </row>
    <row r="3106" spans="1:21" x14ac:dyDescent="0.25">
      <c r="A3106" t="s">
        <v>84</v>
      </c>
      <c r="B3106" s="24">
        <v>2</v>
      </c>
      <c r="C3106" t="s">
        <v>145</v>
      </c>
      <c r="D3106" t="s">
        <v>28</v>
      </c>
      <c r="E3106" t="s">
        <v>216</v>
      </c>
      <c r="F3106" t="s">
        <v>28</v>
      </c>
      <c r="H3106" t="s">
        <v>10</v>
      </c>
      <c r="I3106" t="s">
        <v>220</v>
      </c>
      <c r="J3106">
        <v>11</v>
      </c>
      <c r="L3106">
        <v>11</v>
      </c>
      <c r="N3106">
        <f>Таблица1[[#This Row],[Часов на заказчика  в работе]]+Таблица1[[#This Row],[Часов на заказчика  дежурство]]</f>
        <v>11</v>
      </c>
      <c r="O31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6" s="9">
        <v>88000</v>
      </c>
      <c r="R3106" s="9"/>
      <c r="S3106" s="5">
        <v>1</v>
      </c>
      <c r="T31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табеле]])*S3106,0)</f>
        <v>2933.3333333333335</v>
      </c>
      <c r="U3106" s="5">
        <f>IF(Таблица1[[#This Row],[ТТН]]&gt;0,Таблица1[[#This Row],[Ставка за ТТН]]*Таблица1[[#This Row],[ТТН]],0)</f>
        <v>0</v>
      </c>
    </row>
    <row r="3107" spans="1:21" x14ac:dyDescent="0.25">
      <c r="A3107" t="s">
        <v>84</v>
      </c>
      <c r="B3107" s="24">
        <v>3</v>
      </c>
      <c r="C3107" t="s">
        <v>145</v>
      </c>
      <c r="D3107" t="s">
        <v>28</v>
      </c>
      <c r="E3107" t="s">
        <v>216</v>
      </c>
      <c r="F3107" t="s">
        <v>28</v>
      </c>
      <c r="H3107" t="s">
        <v>10</v>
      </c>
      <c r="I3107" t="s">
        <v>220</v>
      </c>
      <c r="J3107">
        <v>11</v>
      </c>
      <c r="L3107">
        <v>11</v>
      </c>
      <c r="N3107">
        <f>Таблица1[[#This Row],[Часов на заказчика  в работе]]+Таблица1[[#This Row],[Часов на заказчика  дежурство]]</f>
        <v>11</v>
      </c>
      <c r="O31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7" s="9">
        <v>88000</v>
      </c>
      <c r="R3107" s="9"/>
      <c r="S3107" s="5">
        <v>1</v>
      </c>
      <c r="T31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табеле]])*S3107,0)</f>
        <v>2933.3333333333335</v>
      </c>
      <c r="U3107" s="5">
        <f>IF(Таблица1[[#This Row],[ТТН]]&gt;0,Таблица1[[#This Row],[Ставка за ТТН]]*Таблица1[[#This Row],[ТТН]],0)</f>
        <v>0</v>
      </c>
    </row>
    <row r="3108" spans="1:21" x14ac:dyDescent="0.25">
      <c r="A3108" t="s">
        <v>84</v>
      </c>
      <c r="B3108" s="24">
        <v>4</v>
      </c>
      <c r="C3108" t="s">
        <v>145</v>
      </c>
      <c r="D3108" t="s">
        <v>28</v>
      </c>
      <c r="E3108" t="s">
        <v>216</v>
      </c>
      <c r="F3108" t="s">
        <v>28</v>
      </c>
      <c r="H3108" t="s">
        <v>10</v>
      </c>
      <c r="I3108" t="s">
        <v>220</v>
      </c>
      <c r="J3108">
        <v>11</v>
      </c>
      <c r="L3108">
        <v>11</v>
      </c>
      <c r="N3108">
        <f>Таблица1[[#This Row],[Часов на заказчика  в работе]]+Таблица1[[#This Row],[Часов на заказчика  дежурство]]</f>
        <v>11</v>
      </c>
      <c r="O31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8" s="9">
        <v>88000</v>
      </c>
      <c r="R3108" s="9"/>
      <c r="S3108" s="5">
        <v>1</v>
      </c>
      <c r="T31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табеле]])*S3108,0)</f>
        <v>2933.3333333333335</v>
      </c>
      <c r="U3108" s="5">
        <f>IF(Таблица1[[#This Row],[ТТН]]&gt;0,Таблица1[[#This Row],[Ставка за ТТН]]*Таблица1[[#This Row],[ТТН]],0)</f>
        <v>0</v>
      </c>
    </row>
    <row r="3109" spans="1:21" x14ac:dyDescent="0.25">
      <c r="A3109" t="s">
        <v>84</v>
      </c>
      <c r="B3109" s="24">
        <v>5</v>
      </c>
      <c r="C3109" t="s">
        <v>145</v>
      </c>
      <c r="D3109" t="s">
        <v>28</v>
      </c>
      <c r="E3109" t="s">
        <v>216</v>
      </c>
      <c r="F3109" t="s">
        <v>28</v>
      </c>
      <c r="H3109" t="s">
        <v>10</v>
      </c>
      <c r="I3109" t="s">
        <v>220</v>
      </c>
      <c r="J3109">
        <v>11</v>
      </c>
      <c r="L3109">
        <v>11</v>
      </c>
      <c r="N3109">
        <f>Таблица1[[#This Row],[Часов на заказчика  в работе]]+Таблица1[[#This Row],[Часов на заказчика  дежурство]]</f>
        <v>11</v>
      </c>
      <c r="O31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09" s="9">
        <v>88000</v>
      </c>
      <c r="R3109" s="9"/>
      <c r="S3109" s="5">
        <v>1</v>
      </c>
      <c r="T31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табеле]])*S3109,0)</f>
        <v>2933.3333333333335</v>
      </c>
      <c r="U3109" s="5">
        <f>IF(Таблица1[[#This Row],[ТТН]]&gt;0,Таблица1[[#This Row],[Ставка за ТТН]]*Таблица1[[#This Row],[ТТН]],0)</f>
        <v>0</v>
      </c>
    </row>
    <row r="3110" spans="1:21" x14ac:dyDescent="0.25">
      <c r="A3110" t="s">
        <v>84</v>
      </c>
      <c r="B3110" s="24">
        <v>6</v>
      </c>
      <c r="C3110" t="s">
        <v>145</v>
      </c>
      <c r="D3110" t="s">
        <v>28</v>
      </c>
      <c r="E3110" t="s">
        <v>216</v>
      </c>
      <c r="F3110" t="s">
        <v>28</v>
      </c>
      <c r="H3110" t="s">
        <v>10</v>
      </c>
      <c r="I3110" t="s">
        <v>220</v>
      </c>
      <c r="J3110">
        <v>11</v>
      </c>
      <c r="L3110">
        <v>11</v>
      </c>
      <c r="N3110">
        <f>Таблица1[[#This Row],[Часов на заказчика  в работе]]+Таблица1[[#This Row],[Часов на заказчика  дежурство]]</f>
        <v>11</v>
      </c>
      <c r="O31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0" s="9">
        <v>88000</v>
      </c>
      <c r="R3110" s="9"/>
      <c r="S3110" s="5">
        <v>1</v>
      </c>
      <c r="T31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табеле]])*S3110,0)</f>
        <v>2933.3333333333335</v>
      </c>
      <c r="U3110" s="5">
        <f>IF(Таблица1[[#This Row],[ТТН]]&gt;0,Таблица1[[#This Row],[Ставка за ТТН]]*Таблица1[[#This Row],[ТТН]],0)</f>
        <v>0</v>
      </c>
    </row>
    <row r="3111" spans="1:21" x14ac:dyDescent="0.25">
      <c r="A3111" t="s">
        <v>84</v>
      </c>
      <c r="B3111" s="24">
        <v>7</v>
      </c>
      <c r="C3111" t="s">
        <v>145</v>
      </c>
      <c r="D3111" t="s">
        <v>28</v>
      </c>
      <c r="E3111" t="s">
        <v>216</v>
      </c>
      <c r="F3111" t="s">
        <v>28</v>
      </c>
      <c r="H3111" t="s">
        <v>10</v>
      </c>
      <c r="I3111" t="s">
        <v>220</v>
      </c>
      <c r="J3111">
        <v>11</v>
      </c>
      <c r="L3111">
        <v>11</v>
      </c>
      <c r="N3111">
        <f>Таблица1[[#This Row],[Часов на заказчика  в работе]]+Таблица1[[#This Row],[Часов на заказчика  дежурство]]</f>
        <v>11</v>
      </c>
      <c r="O31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1" s="9">
        <v>88000</v>
      </c>
      <c r="R3111" s="9"/>
      <c r="S3111" s="5">
        <v>1</v>
      </c>
      <c r="T31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табеле]])*S3111,0)</f>
        <v>2933.3333333333335</v>
      </c>
      <c r="U3111" s="5">
        <f>IF(Таблица1[[#This Row],[ТТН]]&gt;0,Таблица1[[#This Row],[Ставка за ТТН]]*Таблица1[[#This Row],[ТТН]],0)</f>
        <v>0</v>
      </c>
    </row>
    <row r="3112" spans="1:21" x14ac:dyDescent="0.25">
      <c r="A3112" t="s">
        <v>84</v>
      </c>
      <c r="B3112" s="24">
        <v>8</v>
      </c>
      <c r="C3112" t="s">
        <v>145</v>
      </c>
      <c r="D3112" t="s">
        <v>28</v>
      </c>
      <c r="E3112" t="s">
        <v>216</v>
      </c>
      <c r="F3112" t="s">
        <v>28</v>
      </c>
      <c r="H3112" t="s">
        <v>10</v>
      </c>
      <c r="I3112" t="s">
        <v>220</v>
      </c>
      <c r="J3112">
        <v>11</v>
      </c>
      <c r="L3112">
        <v>11</v>
      </c>
      <c r="N3112">
        <f>Таблица1[[#This Row],[Часов на заказчика  в работе]]+Таблица1[[#This Row],[Часов на заказчика  дежурство]]</f>
        <v>11</v>
      </c>
      <c r="O31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2" s="9">
        <v>88000</v>
      </c>
      <c r="R3112" s="9"/>
      <c r="S3112" s="5">
        <v>1</v>
      </c>
      <c r="T31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табеле]])*S3112,0)</f>
        <v>2933.3333333333335</v>
      </c>
      <c r="U3112" s="5">
        <f>IF(Таблица1[[#This Row],[ТТН]]&gt;0,Таблица1[[#This Row],[Ставка за ТТН]]*Таблица1[[#This Row],[ТТН]],0)</f>
        <v>0</v>
      </c>
    </row>
    <row r="3113" spans="1:21" x14ac:dyDescent="0.25">
      <c r="A3113" t="s">
        <v>84</v>
      </c>
      <c r="B3113" s="24">
        <v>9</v>
      </c>
      <c r="C3113" t="s">
        <v>145</v>
      </c>
      <c r="D3113" t="s">
        <v>28</v>
      </c>
      <c r="E3113" t="s">
        <v>216</v>
      </c>
      <c r="F3113" t="s">
        <v>28</v>
      </c>
      <c r="H3113" t="s">
        <v>10</v>
      </c>
      <c r="I3113" t="s">
        <v>220</v>
      </c>
      <c r="J3113">
        <v>11</v>
      </c>
      <c r="L3113">
        <v>11</v>
      </c>
      <c r="N3113">
        <f>Таблица1[[#This Row],[Часов на заказчика  в работе]]+Таблица1[[#This Row],[Часов на заказчика  дежурство]]</f>
        <v>11</v>
      </c>
      <c r="O31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3" s="9">
        <v>88000</v>
      </c>
      <c r="R3113" s="9"/>
      <c r="S3113" s="5">
        <v>1</v>
      </c>
      <c r="T31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табеле]])*S3113,0)</f>
        <v>2933.3333333333335</v>
      </c>
      <c r="U3113" s="5">
        <f>IF(Таблица1[[#This Row],[ТТН]]&gt;0,Таблица1[[#This Row],[Ставка за ТТН]]*Таблица1[[#This Row],[ТТН]],0)</f>
        <v>0</v>
      </c>
    </row>
    <row r="3114" spans="1:21" x14ac:dyDescent="0.25">
      <c r="A3114" t="s">
        <v>84</v>
      </c>
      <c r="B3114" s="24">
        <v>10</v>
      </c>
      <c r="C3114" t="s">
        <v>145</v>
      </c>
      <c r="D3114" t="s">
        <v>28</v>
      </c>
      <c r="E3114" t="s">
        <v>216</v>
      </c>
      <c r="F3114" t="s">
        <v>28</v>
      </c>
      <c r="H3114" t="s">
        <v>10</v>
      </c>
      <c r="I3114" t="s">
        <v>220</v>
      </c>
      <c r="J3114">
        <v>11</v>
      </c>
      <c r="L3114">
        <v>11</v>
      </c>
      <c r="N3114">
        <f>Таблица1[[#This Row],[Часов на заказчика  в работе]]+Таблица1[[#This Row],[Часов на заказчика  дежурство]]</f>
        <v>11</v>
      </c>
      <c r="O31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4" s="9">
        <v>88000</v>
      </c>
      <c r="R3114" s="9"/>
      <c r="S3114" s="5">
        <v>1</v>
      </c>
      <c r="T31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табеле]])*S3114,0)</f>
        <v>2933.3333333333335</v>
      </c>
      <c r="U3114" s="5">
        <f>IF(Таблица1[[#This Row],[ТТН]]&gt;0,Таблица1[[#This Row],[Ставка за ТТН]]*Таблица1[[#This Row],[ТТН]],0)</f>
        <v>0</v>
      </c>
    </row>
    <row r="3115" spans="1:21" x14ac:dyDescent="0.25">
      <c r="A3115" t="s">
        <v>84</v>
      </c>
      <c r="B3115" s="24">
        <v>11</v>
      </c>
      <c r="C3115" t="s">
        <v>145</v>
      </c>
      <c r="D3115" t="s">
        <v>28</v>
      </c>
      <c r="E3115" t="s">
        <v>216</v>
      </c>
      <c r="F3115" t="s">
        <v>28</v>
      </c>
      <c r="H3115" t="s">
        <v>24</v>
      </c>
      <c r="I3115" t="s">
        <v>217</v>
      </c>
      <c r="J3115">
        <v>8</v>
      </c>
      <c r="N3115">
        <f>Таблица1[[#This Row],[Часов на заказчика  в работе]]+Таблица1[[#This Row],[Часов на заказчика  дежурство]]</f>
        <v>0</v>
      </c>
      <c r="O31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5" s="9">
        <v>88000</v>
      </c>
      <c r="R3115" s="9"/>
      <c r="S3115" s="5">
        <v>1</v>
      </c>
      <c r="T31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табеле]])*S3115,0)</f>
        <v>0</v>
      </c>
      <c r="U3115" s="5">
        <f>IF(Таблица1[[#This Row],[ТТН]]&gt;0,Таблица1[[#This Row],[Ставка за ТТН]]*Таблица1[[#This Row],[ТТН]],0)</f>
        <v>0</v>
      </c>
    </row>
    <row r="3116" spans="1:21" x14ac:dyDescent="0.25">
      <c r="A3116" t="s">
        <v>84</v>
      </c>
      <c r="B3116" s="24">
        <v>12</v>
      </c>
      <c r="C3116" t="s">
        <v>145</v>
      </c>
      <c r="D3116" t="s">
        <v>28</v>
      </c>
      <c r="E3116" t="s">
        <v>216</v>
      </c>
      <c r="F3116" t="s">
        <v>28</v>
      </c>
      <c r="H3116" t="s">
        <v>24</v>
      </c>
      <c r="I3116" t="s">
        <v>217</v>
      </c>
      <c r="J3116">
        <v>8</v>
      </c>
      <c r="N3116">
        <f>Таблица1[[#This Row],[Часов на заказчика  в работе]]+Таблица1[[#This Row],[Часов на заказчика  дежурство]]</f>
        <v>0</v>
      </c>
      <c r="O31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6" s="9">
        <v>88000</v>
      </c>
      <c r="R3116" s="9"/>
      <c r="S3116" s="5">
        <v>1</v>
      </c>
      <c r="T31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табеле]])*S3116,0)</f>
        <v>0</v>
      </c>
      <c r="U3116" s="5">
        <f>IF(Таблица1[[#This Row],[ТТН]]&gt;0,Таблица1[[#This Row],[Ставка за ТТН]]*Таблица1[[#This Row],[ТТН]],0)</f>
        <v>0</v>
      </c>
    </row>
    <row r="3117" spans="1:21" x14ac:dyDescent="0.25">
      <c r="A3117" t="s">
        <v>84</v>
      </c>
      <c r="B3117" s="24">
        <v>13</v>
      </c>
      <c r="C3117" t="s">
        <v>145</v>
      </c>
      <c r="D3117" t="s">
        <v>28</v>
      </c>
      <c r="E3117" t="s">
        <v>216</v>
      </c>
      <c r="F3117" t="s">
        <v>28</v>
      </c>
      <c r="H3117" t="s">
        <v>24</v>
      </c>
      <c r="I3117" t="s">
        <v>217</v>
      </c>
      <c r="J3117">
        <v>8</v>
      </c>
      <c r="N3117">
        <f>Таблица1[[#This Row],[Часов на заказчика  в работе]]+Таблица1[[#This Row],[Часов на заказчика  дежурство]]</f>
        <v>0</v>
      </c>
      <c r="O31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7" s="9">
        <v>88000</v>
      </c>
      <c r="R3117" s="9"/>
      <c r="S3117" s="5">
        <v>1</v>
      </c>
      <c r="T31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табеле]])*S3117,0)</f>
        <v>0</v>
      </c>
      <c r="U3117" s="5">
        <f>IF(Таблица1[[#This Row],[ТТН]]&gt;0,Таблица1[[#This Row],[Ставка за ТТН]]*Таблица1[[#This Row],[ТТН]],0)</f>
        <v>0</v>
      </c>
    </row>
    <row r="3118" spans="1:21" x14ac:dyDescent="0.25">
      <c r="A3118" t="s">
        <v>84</v>
      </c>
      <c r="B3118" s="24">
        <v>14</v>
      </c>
      <c r="C3118" t="s">
        <v>145</v>
      </c>
      <c r="D3118" t="s">
        <v>28</v>
      </c>
      <c r="E3118" t="s">
        <v>216</v>
      </c>
      <c r="F3118" t="s">
        <v>28</v>
      </c>
      <c r="H3118" t="s">
        <v>30</v>
      </c>
      <c r="I3118" t="s">
        <v>217</v>
      </c>
      <c r="J3118">
        <v>1</v>
      </c>
      <c r="N3118">
        <f>Таблица1[[#This Row],[Часов на заказчика  в работе]]+Таблица1[[#This Row],[Часов на заказчика  дежурство]]</f>
        <v>0</v>
      </c>
      <c r="O31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8" s="9">
        <v>88000</v>
      </c>
      <c r="R3118" s="9"/>
      <c r="S3118" s="5">
        <v>1</v>
      </c>
      <c r="T31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табеле]])*S3118,0)</f>
        <v>0</v>
      </c>
      <c r="U3118" s="5">
        <f>IF(Таблица1[[#This Row],[ТТН]]&gt;0,Таблица1[[#This Row],[Ставка за ТТН]]*Таблица1[[#This Row],[ТТН]],0)</f>
        <v>0</v>
      </c>
    </row>
    <row r="3119" spans="1:21" x14ac:dyDescent="0.25">
      <c r="A3119" t="s">
        <v>84</v>
      </c>
      <c r="B3119" s="24">
        <v>15</v>
      </c>
      <c r="C3119" t="s">
        <v>145</v>
      </c>
      <c r="D3119" t="s">
        <v>28</v>
      </c>
      <c r="E3119" t="s">
        <v>216</v>
      </c>
      <c r="F3119" t="s">
        <v>28</v>
      </c>
      <c r="H3119" t="s">
        <v>29</v>
      </c>
      <c r="I3119" t="s">
        <v>217</v>
      </c>
      <c r="J3119">
        <v>8</v>
      </c>
      <c r="N3119">
        <f>Таблица1[[#This Row],[Часов на заказчика  в работе]]+Таблица1[[#This Row],[Часов на заказчика  дежурство]]</f>
        <v>0</v>
      </c>
      <c r="O31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19" s="9">
        <v>88000</v>
      </c>
      <c r="R3119" s="9"/>
      <c r="S3119" s="5">
        <v>1</v>
      </c>
      <c r="T31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табеле]])*S3119,0)</f>
        <v>0</v>
      </c>
      <c r="U3119" s="5">
        <f>IF(Таблица1[[#This Row],[ТТН]]&gt;0,Таблица1[[#This Row],[Ставка за ТТН]]*Таблица1[[#This Row],[ТТН]],0)</f>
        <v>0</v>
      </c>
    </row>
    <row r="3120" spans="1:21" x14ac:dyDescent="0.25">
      <c r="A3120" t="s">
        <v>84</v>
      </c>
      <c r="B3120" s="24">
        <v>16</v>
      </c>
      <c r="C3120" t="s">
        <v>145</v>
      </c>
      <c r="D3120" t="s">
        <v>28</v>
      </c>
      <c r="E3120" t="s">
        <v>216</v>
      </c>
      <c r="F3120" t="s">
        <v>28</v>
      </c>
      <c r="H3120" t="s">
        <v>29</v>
      </c>
      <c r="I3120" t="s">
        <v>217</v>
      </c>
      <c r="J3120">
        <v>8</v>
      </c>
      <c r="N3120">
        <f>Таблица1[[#This Row],[Часов на заказчика  в работе]]+Таблица1[[#This Row],[Часов на заказчика  дежурство]]</f>
        <v>0</v>
      </c>
      <c r="O31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0" s="9">
        <v>88000</v>
      </c>
      <c r="R3120" s="9"/>
      <c r="S3120" s="5">
        <v>1</v>
      </c>
      <c r="T31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табеле]])*S3120,0)</f>
        <v>0</v>
      </c>
      <c r="U3120" s="5">
        <f>IF(Таблица1[[#This Row],[ТТН]]&gt;0,Таблица1[[#This Row],[Ставка за ТТН]]*Таблица1[[#This Row],[ТТН]],0)</f>
        <v>0</v>
      </c>
    </row>
    <row r="3121" spans="1:21" x14ac:dyDescent="0.25">
      <c r="A3121" t="s">
        <v>84</v>
      </c>
      <c r="B3121" s="24">
        <v>17</v>
      </c>
      <c r="C3121" t="s">
        <v>145</v>
      </c>
      <c r="D3121" t="s">
        <v>28</v>
      </c>
      <c r="E3121" t="s">
        <v>216</v>
      </c>
      <c r="F3121" t="s">
        <v>28</v>
      </c>
      <c r="H3121" t="s">
        <v>29</v>
      </c>
      <c r="I3121" t="s">
        <v>217</v>
      </c>
      <c r="J3121">
        <v>8</v>
      </c>
      <c r="N3121">
        <f>Таблица1[[#This Row],[Часов на заказчика  в работе]]+Таблица1[[#This Row],[Часов на заказчика  дежурство]]</f>
        <v>0</v>
      </c>
      <c r="O31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1" s="9">
        <v>88000</v>
      </c>
      <c r="R3121" s="9"/>
      <c r="S3121" s="5">
        <v>1</v>
      </c>
      <c r="T31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табеле]])*S3121,0)</f>
        <v>0</v>
      </c>
      <c r="U3121" s="5">
        <f>IF(Таблица1[[#This Row],[ТТН]]&gt;0,Таблица1[[#This Row],[Ставка за ТТН]]*Таблица1[[#This Row],[ТТН]],0)</f>
        <v>0</v>
      </c>
    </row>
    <row r="3122" spans="1:21" x14ac:dyDescent="0.25">
      <c r="A3122" t="s">
        <v>84</v>
      </c>
      <c r="B3122" s="24">
        <v>18</v>
      </c>
      <c r="C3122" t="s">
        <v>145</v>
      </c>
      <c r="D3122" t="s">
        <v>28</v>
      </c>
      <c r="E3122" t="s">
        <v>216</v>
      </c>
      <c r="F3122" t="s">
        <v>28</v>
      </c>
      <c r="H3122" t="s">
        <v>29</v>
      </c>
      <c r="I3122" t="s">
        <v>217</v>
      </c>
      <c r="J3122">
        <v>8</v>
      </c>
      <c r="N3122">
        <f>Таблица1[[#This Row],[Часов на заказчика  в работе]]+Таблица1[[#This Row],[Часов на заказчика  дежурство]]</f>
        <v>0</v>
      </c>
      <c r="O31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2" s="9">
        <v>88000</v>
      </c>
      <c r="R3122" s="9"/>
      <c r="S3122" s="5">
        <v>1</v>
      </c>
      <c r="T31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табеле]])*S3122,0)</f>
        <v>0</v>
      </c>
      <c r="U3122" s="5">
        <f>IF(Таблица1[[#This Row],[ТТН]]&gt;0,Таблица1[[#This Row],[Ставка за ТТН]]*Таблица1[[#This Row],[ТТН]],0)</f>
        <v>0</v>
      </c>
    </row>
    <row r="3123" spans="1:21" x14ac:dyDescent="0.25">
      <c r="A3123" t="s">
        <v>84</v>
      </c>
      <c r="B3123" s="24">
        <v>19</v>
      </c>
      <c r="C3123" t="s">
        <v>145</v>
      </c>
      <c r="D3123" t="s">
        <v>28</v>
      </c>
      <c r="E3123" t="s">
        <v>216</v>
      </c>
      <c r="F3123" t="s">
        <v>28</v>
      </c>
      <c r="H3123" t="s">
        <v>29</v>
      </c>
      <c r="I3123" t="s">
        <v>217</v>
      </c>
      <c r="J3123">
        <v>8</v>
      </c>
      <c r="N3123">
        <f>Таблица1[[#This Row],[Часов на заказчика  в работе]]+Таблица1[[#This Row],[Часов на заказчика  дежурство]]</f>
        <v>0</v>
      </c>
      <c r="O31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3" s="9">
        <v>88000</v>
      </c>
      <c r="R3123" s="9"/>
      <c r="S3123" s="5">
        <v>1</v>
      </c>
      <c r="T31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табеле]])*S3123,0)</f>
        <v>0</v>
      </c>
      <c r="U3123" s="5">
        <f>IF(Таблица1[[#This Row],[ТТН]]&gt;0,Таблица1[[#This Row],[Ставка за ТТН]]*Таблица1[[#This Row],[ТТН]],0)</f>
        <v>0</v>
      </c>
    </row>
    <row r="3124" spans="1:21" x14ac:dyDescent="0.25">
      <c r="A3124" t="s">
        <v>84</v>
      </c>
      <c r="B3124" s="24">
        <v>20</v>
      </c>
      <c r="C3124" t="s">
        <v>145</v>
      </c>
      <c r="D3124" t="s">
        <v>28</v>
      </c>
      <c r="E3124" t="s">
        <v>216</v>
      </c>
      <c r="F3124" t="s">
        <v>28</v>
      </c>
      <c r="H3124" t="s">
        <v>30</v>
      </c>
      <c r="I3124" t="s">
        <v>217</v>
      </c>
      <c r="J3124">
        <v>1</v>
      </c>
      <c r="N3124">
        <f>Таблица1[[#This Row],[Часов на заказчика  в работе]]+Таблица1[[#This Row],[Часов на заказчика  дежурство]]</f>
        <v>0</v>
      </c>
      <c r="O31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4" s="9">
        <v>88000</v>
      </c>
      <c r="R3124" s="9"/>
      <c r="S3124" s="5">
        <v>1</v>
      </c>
      <c r="T31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табеле]])*S3124,0)</f>
        <v>0</v>
      </c>
      <c r="U3124" s="5">
        <f>IF(Таблица1[[#This Row],[ТТН]]&gt;0,Таблица1[[#This Row],[Ставка за ТТН]]*Таблица1[[#This Row],[ТТН]],0)</f>
        <v>0</v>
      </c>
    </row>
    <row r="3125" spans="1:21" x14ac:dyDescent="0.25">
      <c r="A3125" t="s">
        <v>84</v>
      </c>
      <c r="B3125" s="24">
        <v>21</v>
      </c>
      <c r="C3125" t="s">
        <v>145</v>
      </c>
      <c r="D3125" t="s">
        <v>28</v>
      </c>
      <c r="E3125" t="s">
        <v>216</v>
      </c>
      <c r="F3125" t="s">
        <v>28</v>
      </c>
      <c r="H3125" t="s">
        <v>30</v>
      </c>
      <c r="I3125" t="s">
        <v>217</v>
      </c>
      <c r="J3125">
        <v>1</v>
      </c>
      <c r="N3125">
        <f>Таблица1[[#This Row],[Часов на заказчика  в работе]]+Таблица1[[#This Row],[Часов на заказчика  дежурство]]</f>
        <v>0</v>
      </c>
      <c r="O31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5" s="9">
        <v>88000</v>
      </c>
      <c r="R3125" s="9"/>
      <c r="S3125" s="5">
        <v>1</v>
      </c>
      <c r="T31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табеле]])*S3125,0)</f>
        <v>0</v>
      </c>
      <c r="U3125" s="5">
        <f>IF(Таблица1[[#This Row],[ТТН]]&gt;0,Таблица1[[#This Row],[Ставка за ТТН]]*Таблица1[[#This Row],[ТТН]],0)</f>
        <v>0</v>
      </c>
    </row>
    <row r="3126" spans="1:21" x14ac:dyDescent="0.25">
      <c r="A3126" t="s">
        <v>84</v>
      </c>
      <c r="B3126" s="24">
        <v>22</v>
      </c>
      <c r="C3126" t="s">
        <v>145</v>
      </c>
      <c r="D3126" t="s">
        <v>28</v>
      </c>
      <c r="E3126" t="s">
        <v>216</v>
      </c>
      <c r="F3126" t="s">
        <v>28</v>
      </c>
      <c r="H3126" t="s">
        <v>29</v>
      </c>
      <c r="I3126" t="s">
        <v>217</v>
      </c>
      <c r="J3126">
        <v>8</v>
      </c>
      <c r="N3126">
        <f>Таблица1[[#This Row],[Часов на заказчика  в работе]]+Таблица1[[#This Row],[Часов на заказчика  дежурство]]</f>
        <v>0</v>
      </c>
      <c r="O31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6" s="9">
        <v>88000</v>
      </c>
      <c r="R3126" s="9"/>
      <c r="S3126" s="5">
        <v>1</v>
      </c>
      <c r="T31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табеле]])*S3126,0)</f>
        <v>0</v>
      </c>
      <c r="U3126" s="5">
        <f>IF(Таблица1[[#This Row],[ТТН]]&gt;0,Таблица1[[#This Row],[Ставка за ТТН]]*Таблица1[[#This Row],[ТТН]],0)</f>
        <v>0</v>
      </c>
    </row>
    <row r="3127" spans="1:21" x14ac:dyDescent="0.25">
      <c r="A3127" t="s">
        <v>84</v>
      </c>
      <c r="B3127" s="24">
        <v>23</v>
      </c>
      <c r="C3127" t="s">
        <v>145</v>
      </c>
      <c r="D3127" t="s">
        <v>28</v>
      </c>
      <c r="E3127" t="s">
        <v>216</v>
      </c>
      <c r="F3127" t="s">
        <v>28</v>
      </c>
      <c r="H3127" t="s">
        <v>29</v>
      </c>
      <c r="I3127" t="s">
        <v>217</v>
      </c>
      <c r="J3127">
        <v>8</v>
      </c>
      <c r="N3127">
        <f>Таблица1[[#This Row],[Часов на заказчика  в работе]]+Таблица1[[#This Row],[Часов на заказчика  дежурство]]</f>
        <v>0</v>
      </c>
      <c r="O31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7" s="9">
        <v>88000</v>
      </c>
      <c r="R3127" s="9"/>
      <c r="S3127" s="5">
        <v>1</v>
      </c>
      <c r="T31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табеле]])*S3127,0)</f>
        <v>0</v>
      </c>
      <c r="U3127" s="5">
        <f>IF(Таблица1[[#This Row],[ТТН]]&gt;0,Таблица1[[#This Row],[Ставка за ТТН]]*Таблица1[[#This Row],[ТТН]],0)</f>
        <v>0</v>
      </c>
    </row>
    <row r="3128" spans="1:21" x14ac:dyDescent="0.25">
      <c r="A3128" t="s">
        <v>84</v>
      </c>
      <c r="B3128" s="24">
        <v>24</v>
      </c>
      <c r="C3128" t="s">
        <v>145</v>
      </c>
      <c r="D3128" t="s">
        <v>28</v>
      </c>
      <c r="E3128" t="s">
        <v>216</v>
      </c>
      <c r="F3128" t="s">
        <v>28</v>
      </c>
      <c r="H3128" t="s">
        <v>29</v>
      </c>
      <c r="I3128" t="s">
        <v>217</v>
      </c>
      <c r="J3128">
        <v>8</v>
      </c>
      <c r="N3128">
        <f>Таблица1[[#This Row],[Часов на заказчика  в работе]]+Таблица1[[#This Row],[Часов на заказчика  дежурство]]</f>
        <v>0</v>
      </c>
      <c r="O31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8" s="9">
        <v>88000</v>
      </c>
      <c r="R3128" s="9"/>
      <c r="S3128" s="5">
        <v>1</v>
      </c>
      <c r="T31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табеле]])*S3128,0)</f>
        <v>0</v>
      </c>
      <c r="U3128" s="5">
        <f>IF(Таблица1[[#This Row],[ТТН]]&gt;0,Таблица1[[#This Row],[Ставка за ТТН]]*Таблица1[[#This Row],[ТТН]],0)</f>
        <v>0</v>
      </c>
    </row>
    <row r="3129" spans="1:21" x14ac:dyDescent="0.25">
      <c r="A3129" t="s">
        <v>84</v>
      </c>
      <c r="B3129" s="24">
        <v>25</v>
      </c>
      <c r="C3129" t="s">
        <v>145</v>
      </c>
      <c r="D3129" t="s">
        <v>28</v>
      </c>
      <c r="E3129" t="s">
        <v>216</v>
      </c>
      <c r="F3129" t="s">
        <v>28</v>
      </c>
      <c r="H3129" t="s">
        <v>29</v>
      </c>
      <c r="I3129" t="s">
        <v>217</v>
      </c>
      <c r="J3129">
        <v>8</v>
      </c>
      <c r="N3129">
        <f>Таблица1[[#This Row],[Часов на заказчика  в работе]]+Таблица1[[#This Row],[Часов на заказчика  дежурство]]</f>
        <v>0</v>
      </c>
      <c r="O31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29" s="9">
        <v>88000</v>
      </c>
      <c r="R3129" s="9"/>
      <c r="S3129" s="5">
        <v>1</v>
      </c>
      <c r="T31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табеле]])*S3129,0)</f>
        <v>0</v>
      </c>
      <c r="U3129" s="5">
        <f>IF(Таблица1[[#This Row],[ТТН]]&gt;0,Таблица1[[#This Row],[Ставка за ТТН]]*Таблица1[[#This Row],[ТТН]],0)</f>
        <v>0</v>
      </c>
    </row>
    <row r="3130" spans="1:21" x14ac:dyDescent="0.25">
      <c r="A3130" t="s">
        <v>84</v>
      </c>
      <c r="B3130" s="24">
        <v>26</v>
      </c>
      <c r="C3130" t="s">
        <v>145</v>
      </c>
      <c r="D3130" t="s">
        <v>28</v>
      </c>
      <c r="E3130" t="s">
        <v>216</v>
      </c>
      <c r="F3130" t="s">
        <v>28</v>
      </c>
      <c r="H3130" t="s">
        <v>29</v>
      </c>
      <c r="I3130" t="s">
        <v>217</v>
      </c>
      <c r="J3130">
        <v>8</v>
      </c>
      <c r="N3130">
        <f>Таблица1[[#This Row],[Часов на заказчика  в работе]]+Таблица1[[#This Row],[Часов на заказчика  дежурство]]</f>
        <v>0</v>
      </c>
      <c r="O31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0" s="9">
        <v>88000</v>
      </c>
      <c r="R3130" s="9"/>
      <c r="S3130" s="5">
        <v>1</v>
      </c>
      <c r="T31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табеле]])*S3130,0)</f>
        <v>0</v>
      </c>
      <c r="U3130" s="5">
        <f>IF(Таблица1[[#This Row],[ТТН]]&gt;0,Таблица1[[#This Row],[Ставка за ТТН]]*Таблица1[[#This Row],[ТТН]],0)</f>
        <v>0</v>
      </c>
    </row>
    <row r="3131" spans="1:21" x14ac:dyDescent="0.25">
      <c r="A3131" t="s">
        <v>84</v>
      </c>
      <c r="B3131" s="24">
        <v>27</v>
      </c>
      <c r="C3131" t="s">
        <v>145</v>
      </c>
      <c r="D3131" t="s">
        <v>28</v>
      </c>
      <c r="E3131" t="s">
        <v>216</v>
      </c>
      <c r="F3131" t="s">
        <v>28</v>
      </c>
      <c r="H3131" t="s">
        <v>30</v>
      </c>
      <c r="I3131" t="s">
        <v>217</v>
      </c>
      <c r="J3131">
        <v>1</v>
      </c>
      <c r="N3131">
        <f>Таблица1[[#This Row],[Часов на заказчика  в работе]]+Таблица1[[#This Row],[Часов на заказчика  дежурство]]</f>
        <v>0</v>
      </c>
      <c r="O31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1" s="9">
        <v>88000</v>
      </c>
      <c r="R3131" s="9"/>
      <c r="S3131" s="5">
        <v>1</v>
      </c>
      <c r="T31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табеле]])*S3131,0)</f>
        <v>0</v>
      </c>
      <c r="U3131" s="5">
        <f>IF(Таблица1[[#This Row],[ТТН]]&gt;0,Таблица1[[#This Row],[Ставка за ТТН]]*Таблица1[[#This Row],[ТТН]],0)</f>
        <v>0</v>
      </c>
    </row>
    <row r="3132" spans="1:21" x14ac:dyDescent="0.25">
      <c r="A3132" t="s">
        <v>84</v>
      </c>
      <c r="B3132" s="24">
        <v>28</v>
      </c>
      <c r="C3132" t="s">
        <v>145</v>
      </c>
      <c r="D3132" t="s">
        <v>28</v>
      </c>
      <c r="E3132" t="s">
        <v>216</v>
      </c>
      <c r="F3132" t="s">
        <v>28</v>
      </c>
      <c r="H3132" t="s">
        <v>30</v>
      </c>
      <c r="I3132" t="s">
        <v>217</v>
      </c>
      <c r="J3132">
        <v>1</v>
      </c>
      <c r="N3132">
        <f>Таблица1[[#This Row],[Часов на заказчика  в работе]]+Таблица1[[#This Row],[Часов на заказчика  дежурство]]</f>
        <v>0</v>
      </c>
      <c r="O31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2" s="9">
        <v>88000</v>
      </c>
      <c r="R3132" s="9"/>
      <c r="S3132" s="5">
        <v>1</v>
      </c>
      <c r="T31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табеле]])*S3132,0)</f>
        <v>0</v>
      </c>
      <c r="U3132" s="5">
        <f>IF(Таблица1[[#This Row],[ТТН]]&gt;0,Таблица1[[#This Row],[Ставка за ТТН]]*Таблица1[[#This Row],[ТТН]],0)</f>
        <v>0</v>
      </c>
    </row>
    <row r="3133" spans="1:21" x14ac:dyDescent="0.25">
      <c r="A3133" t="s">
        <v>84</v>
      </c>
      <c r="B3133" s="24">
        <v>29</v>
      </c>
      <c r="C3133" t="s">
        <v>145</v>
      </c>
      <c r="D3133" t="s">
        <v>28</v>
      </c>
      <c r="E3133" t="s">
        <v>216</v>
      </c>
      <c r="F3133" t="s">
        <v>28</v>
      </c>
      <c r="H3133" t="s">
        <v>29</v>
      </c>
      <c r="I3133" t="s">
        <v>217</v>
      </c>
      <c r="J3133">
        <v>8</v>
      </c>
      <c r="N3133">
        <f>Таблица1[[#This Row],[Часов на заказчика  в работе]]+Таблица1[[#This Row],[Часов на заказчика  дежурство]]</f>
        <v>0</v>
      </c>
      <c r="O31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3" s="9">
        <v>88000</v>
      </c>
      <c r="R3133" s="9"/>
      <c r="S3133" s="5">
        <v>1</v>
      </c>
      <c r="T31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табеле]])*S3133,0)</f>
        <v>0</v>
      </c>
      <c r="U3133" s="5">
        <f>IF(Таблица1[[#This Row],[ТТН]]&gt;0,Таблица1[[#This Row],[Ставка за ТТН]]*Таблица1[[#This Row],[ТТН]],0)</f>
        <v>0</v>
      </c>
    </row>
    <row r="3134" spans="1:21" x14ac:dyDescent="0.25">
      <c r="A3134" t="s">
        <v>84</v>
      </c>
      <c r="B3134" s="24">
        <v>30</v>
      </c>
      <c r="C3134" t="s">
        <v>135</v>
      </c>
      <c r="D3134" t="s">
        <v>28</v>
      </c>
      <c r="E3134" t="s">
        <v>216</v>
      </c>
      <c r="F3134" t="s">
        <v>28</v>
      </c>
      <c r="H3134" t="s">
        <v>29</v>
      </c>
      <c r="I3134" t="s">
        <v>217</v>
      </c>
      <c r="J3134">
        <v>8</v>
      </c>
      <c r="N3134">
        <f>Таблица1[[#This Row],[Часов на заказчика  в работе]]+Таблица1[[#This Row],[Часов на заказчика  дежурство]]</f>
        <v>0</v>
      </c>
      <c r="O31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4" s="9">
        <v>88000</v>
      </c>
      <c r="R3134" s="9"/>
      <c r="S3134" s="5">
        <v>1</v>
      </c>
      <c r="T31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табеле]])*S3134,0)</f>
        <v>0</v>
      </c>
      <c r="U3134" s="5">
        <f>IF(Таблица1[[#This Row],[ТТН]]&gt;0,Таблица1[[#This Row],[Ставка за ТТН]]*Таблица1[[#This Row],[ТТН]],0)</f>
        <v>0</v>
      </c>
    </row>
    <row r="3135" spans="1:21" x14ac:dyDescent="0.25">
      <c r="A3135" t="s">
        <v>84</v>
      </c>
      <c r="B3135" s="24">
        <v>1</v>
      </c>
      <c r="C3135" t="s">
        <v>135</v>
      </c>
      <c r="D3135" t="s">
        <v>28</v>
      </c>
      <c r="E3135" t="s">
        <v>216</v>
      </c>
      <c r="F3135" t="s">
        <v>28</v>
      </c>
      <c r="H3135" t="s">
        <v>10</v>
      </c>
      <c r="I3135" t="s">
        <v>220</v>
      </c>
      <c r="J3135">
        <v>11</v>
      </c>
      <c r="L3135">
        <v>11</v>
      </c>
      <c r="N3135">
        <f>Таблица1[[#This Row],[Часов на заказчика  в работе]]+Таблица1[[#This Row],[Часов на заказчика  дежурство]]</f>
        <v>11</v>
      </c>
      <c r="O31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5" s="9"/>
      <c r="R3135" s="9"/>
      <c r="S3135" s="5">
        <v>1</v>
      </c>
      <c r="T31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табеле]])*S3135,0)</f>
        <v>0</v>
      </c>
      <c r="U3135" s="5">
        <f>IF(Таблица1[[#This Row],[ТТН]]&gt;0,Таблица1[[#This Row],[Ставка за ТТН]]*Таблица1[[#This Row],[ТТН]],0)</f>
        <v>0</v>
      </c>
    </row>
    <row r="3136" spans="1:21" x14ac:dyDescent="0.25">
      <c r="A3136" t="s">
        <v>84</v>
      </c>
      <c r="B3136" s="24">
        <v>2</v>
      </c>
      <c r="C3136" t="s">
        <v>135</v>
      </c>
      <c r="D3136" t="s">
        <v>28</v>
      </c>
      <c r="E3136" t="s">
        <v>216</v>
      </c>
      <c r="F3136" t="s">
        <v>28</v>
      </c>
      <c r="H3136" t="s">
        <v>10</v>
      </c>
      <c r="I3136" t="s">
        <v>220</v>
      </c>
      <c r="J3136">
        <v>11</v>
      </c>
      <c r="L3136">
        <v>11</v>
      </c>
      <c r="N3136">
        <f>Таблица1[[#This Row],[Часов на заказчика  в работе]]+Таблица1[[#This Row],[Часов на заказчика  дежурство]]</f>
        <v>11</v>
      </c>
      <c r="O31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6" s="9"/>
      <c r="R3136" s="9"/>
      <c r="S3136" s="5">
        <v>1</v>
      </c>
      <c r="T31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табеле]])*S3136,0)</f>
        <v>0</v>
      </c>
      <c r="U3136" s="5">
        <f>IF(Таблица1[[#This Row],[ТТН]]&gt;0,Таблица1[[#This Row],[Ставка за ТТН]]*Таблица1[[#This Row],[ТТН]],0)</f>
        <v>0</v>
      </c>
    </row>
    <row r="3137" spans="1:21" x14ac:dyDescent="0.25">
      <c r="A3137" t="s">
        <v>84</v>
      </c>
      <c r="B3137" s="24">
        <v>3</v>
      </c>
      <c r="C3137" t="s">
        <v>135</v>
      </c>
      <c r="D3137" t="s">
        <v>28</v>
      </c>
      <c r="E3137" t="s">
        <v>216</v>
      </c>
      <c r="F3137" t="s">
        <v>28</v>
      </c>
      <c r="H3137" t="s">
        <v>10</v>
      </c>
      <c r="I3137" t="s">
        <v>220</v>
      </c>
      <c r="J3137">
        <v>11</v>
      </c>
      <c r="L3137">
        <v>11</v>
      </c>
      <c r="N3137">
        <f>Таблица1[[#This Row],[Часов на заказчика  в работе]]+Таблица1[[#This Row],[Часов на заказчика  дежурство]]</f>
        <v>11</v>
      </c>
      <c r="O31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7" s="9"/>
      <c r="R3137" s="9"/>
      <c r="S3137" s="5">
        <v>1</v>
      </c>
      <c r="T31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табеле]])*S3137,0)</f>
        <v>0</v>
      </c>
      <c r="U3137" s="5">
        <f>IF(Таблица1[[#This Row],[ТТН]]&gt;0,Таблица1[[#This Row],[Ставка за ТТН]]*Таблица1[[#This Row],[ТТН]],0)</f>
        <v>0</v>
      </c>
    </row>
    <row r="3138" spans="1:21" x14ac:dyDescent="0.25">
      <c r="A3138" t="s">
        <v>84</v>
      </c>
      <c r="B3138" s="24">
        <v>4</v>
      </c>
      <c r="C3138" t="s">
        <v>135</v>
      </c>
      <c r="D3138" t="s">
        <v>28</v>
      </c>
      <c r="E3138" t="s">
        <v>216</v>
      </c>
      <c r="F3138" t="s">
        <v>28</v>
      </c>
      <c r="H3138" t="s">
        <v>10</v>
      </c>
      <c r="I3138" t="s">
        <v>220</v>
      </c>
      <c r="J3138">
        <v>11</v>
      </c>
      <c r="L3138">
        <v>11</v>
      </c>
      <c r="N3138">
        <f>Таблица1[[#This Row],[Часов на заказчика  в работе]]+Таблица1[[#This Row],[Часов на заказчика  дежурство]]</f>
        <v>11</v>
      </c>
      <c r="O31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8" s="9"/>
      <c r="R3138" s="9"/>
      <c r="S3138" s="5">
        <v>1</v>
      </c>
      <c r="T31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табеле]])*S3138,0)</f>
        <v>0</v>
      </c>
      <c r="U3138" s="5">
        <f>IF(Таблица1[[#This Row],[ТТН]]&gt;0,Таблица1[[#This Row],[Ставка за ТТН]]*Таблица1[[#This Row],[ТТН]],0)</f>
        <v>0</v>
      </c>
    </row>
    <row r="3139" spans="1:21" x14ac:dyDescent="0.25">
      <c r="A3139" t="s">
        <v>84</v>
      </c>
      <c r="B3139" s="24">
        <v>5</v>
      </c>
      <c r="C3139" t="s">
        <v>135</v>
      </c>
      <c r="D3139" t="s">
        <v>28</v>
      </c>
      <c r="E3139" t="s">
        <v>216</v>
      </c>
      <c r="F3139" t="s">
        <v>28</v>
      </c>
      <c r="H3139" t="s">
        <v>10</v>
      </c>
      <c r="I3139" t="s">
        <v>220</v>
      </c>
      <c r="J3139">
        <v>11</v>
      </c>
      <c r="L3139">
        <v>11</v>
      </c>
      <c r="N3139">
        <f>Таблица1[[#This Row],[Часов на заказчика  в работе]]+Таблица1[[#This Row],[Часов на заказчика  дежурство]]</f>
        <v>11</v>
      </c>
      <c r="O31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39" s="9"/>
      <c r="R3139" s="9"/>
      <c r="S3139" s="5">
        <v>1</v>
      </c>
      <c r="T31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табеле]])*S3139,0)</f>
        <v>0</v>
      </c>
      <c r="U3139" s="5">
        <f>IF(Таблица1[[#This Row],[ТТН]]&gt;0,Таблица1[[#This Row],[Ставка за ТТН]]*Таблица1[[#This Row],[ТТН]],0)</f>
        <v>0</v>
      </c>
    </row>
    <row r="3140" spans="1:21" x14ac:dyDescent="0.25">
      <c r="A3140" t="s">
        <v>84</v>
      </c>
      <c r="B3140" s="24">
        <v>6</v>
      </c>
      <c r="C3140" t="s">
        <v>135</v>
      </c>
      <c r="D3140" t="s">
        <v>28</v>
      </c>
      <c r="E3140" t="s">
        <v>216</v>
      </c>
      <c r="F3140" t="s">
        <v>28</v>
      </c>
      <c r="H3140" t="s">
        <v>10</v>
      </c>
      <c r="I3140" t="s">
        <v>220</v>
      </c>
      <c r="J3140">
        <v>11</v>
      </c>
      <c r="L3140">
        <v>11</v>
      </c>
      <c r="N3140">
        <f>Таблица1[[#This Row],[Часов на заказчика  в работе]]+Таблица1[[#This Row],[Часов на заказчика  дежурство]]</f>
        <v>11</v>
      </c>
      <c r="O31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0" s="9"/>
      <c r="R3140" s="9"/>
      <c r="S3140" s="5">
        <v>1</v>
      </c>
      <c r="T31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табеле]])*S3140,0)</f>
        <v>0</v>
      </c>
      <c r="U3140" s="5">
        <f>IF(Таблица1[[#This Row],[ТТН]]&gt;0,Таблица1[[#This Row],[Ставка за ТТН]]*Таблица1[[#This Row],[ТТН]],0)</f>
        <v>0</v>
      </c>
    </row>
    <row r="3141" spans="1:21" x14ac:dyDescent="0.25">
      <c r="A3141" t="s">
        <v>84</v>
      </c>
      <c r="B3141" s="24">
        <v>7</v>
      </c>
      <c r="C3141" t="s">
        <v>135</v>
      </c>
      <c r="D3141" t="s">
        <v>28</v>
      </c>
      <c r="E3141" t="s">
        <v>216</v>
      </c>
      <c r="F3141" t="s">
        <v>28</v>
      </c>
      <c r="H3141" t="s">
        <v>10</v>
      </c>
      <c r="I3141" t="s">
        <v>220</v>
      </c>
      <c r="J3141">
        <v>11</v>
      </c>
      <c r="L3141">
        <v>11</v>
      </c>
      <c r="N3141">
        <f>Таблица1[[#This Row],[Часов на заказчика  в работе]]+Таблица1[[#This Row],[Часов на заказчика  дежурство]]</f>
        <v>11</v>
      </c>
      <c r="O31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1" s="9"/>
      <c r="R3141" s="9"/>
      <c r="S3141" s="5">
        <v>1</v>
      </c>
      <c r="T31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табеле]])*S3141,0)</f>
        <v>0</v>
      </c>
      <c r="U3141" s="5">
        <f>IF(Таблица1[[#This Row],[ТТН]]&gt;0,Таблица1[[#This Row],[Ставка за ТТН]]*Таблица1[[#This Row],[ТТН]],0)</f>
        <v>0</v>
      </c>
    </row>
    <row r="3142" spans="1:21" x14ac:dyDescent="0.25">
      <c r="A3142" t="s">
        <v>84</v>
      </c>
      <c r="B3142" s="24">
        <v>8</v>
      </c>
      <c r="C3142" t="s">
        <v>135</v>
      </c>
      <c r="D3142" t="s">
        <v>28</v>
      </c>
      <c r="E3142" t="s">
        <v>216</v>
      </c>
      <c r="F3142" t="s">
        <v>28</v>
      </c>
      <c r="H3142" t="s">
        <v>10</v>
      </c>
      <c r="I3142" t="s">
        <v>220</v>
      </c>
      <c r="J3142">
        <v>11</v>
      </c>
      <c r="L3142">
        <v>11</v>
      </c>
      <c r="N3142">
        <f>Таблица1[[#This Row],[Часов на заказчика  в работе]]+Таблица1[[#This Row],[Часов на заказчика  дежурство]]</f>
        <v>11</v>
      </c>
      <c r="O31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2" s="9"/>
      <c r="R3142" s="9"/>
      <c r="S3142" s="5">
        <v>1</v>
      </c>
      <c r="T31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табеле]])*S3142,0)</f>
        <v>0</v>
      </c>
      <c r="U3142" s="5">
        <f>IF(Таблица1[[#This Row],[ТТН]]&gt;0,Таблица1[[#This Row],[Ставка за ТТН]]*Таблица1[[#This Row],[ТТН]],0)</f>
        <v>0</v>
      </c>
    </row>
    <row r="3143" spans="1:21" x14ac:dyDescent="0.25">
      <c r="A3143" t="s">
        <v>84</v>
      </c>
      <c r="B3143" s="24">
        <v>9</v>
      </c>
      <c r="C3143" t="s">
        <v>135</v>
      </c>
      <c r="D3143" t="s">
        <v>28</v>
      </c>
      <c r="E3143" t="s">
        <v>216</v>
      </c>
      <c r="F3143" t="s">
        <v>28</v>
      </c>
      <c r="H3143" t="s">
        <v>10</v>
      </c>
      <c r="I3143" t="s">
        <v>220</v>
      </c>
      <c r="J3143">
        <v>11</v>
      </c>
      <c r="L3143">
        <v>11</v>
      </c>
      <c r="N3143">
        <f>Таблица1[[#This Row],[Часов на заказчика  в работе]]+Таблица1[[#This Row],[Часов на заказчика  дежурство]]</f>
        <v>11</v>
      </c>
      <c r="O31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3" s="9"/>
      <c r="R3143" s="9"/>
      <c r="S3143" s="5">
        <v>1</v>
      </c>
      <c r="T31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табеле]])*S3143,0)</f>
        <v>0</v>
      </c>
      <c r="U3143" s="5">
        <f>IF(Таблица1[[#This Row],[ТТН]]&gt;0,Таблица1[[#This Row],[Ставка за ТТН]]*Таблица1[[#This Row],[ТТН]],0)</f>
        <v>0</v>
      </c>
    </row>
    <row r="3144" spans="1:21" x14ac:dyDescent="0.25">
      <c r="A3144" t="s">
        <v>84</v>
      </c>
      <c r="B3144" s="24">
        <v>10</v>
      </c>
      <c r="C3144" t="s">
        <v>135</v>
      </c>
      <c r="D3144" t="s">
        <v>28</v>
      </c>
      <c r="E3144" t="s">
        <v>216</v>
      </c>
      <c r="F3144" t="s">
        <v>28</v>
      </c>
      <c r="H3144" t="s">
        <v>10</v>
      </c>
      <c r="I3144" t="s">
        <v>220</v>
      </c>
      <c r="J3144">
        <v>11</v>
      </c>
      <c r="L3144">
        <v>11</v>
      </c>
      <c r="N3144">
        <f>Таблица1[[#This Row],[Часов на заказчика  в работе]]+Таблица1[[#This Row],[Часов на заказчика  дежурство]]</f>
        <v>11</v>
      </c>
      <c r="O31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4" s="9"/>
      <c r="R3144" s="9"/>
      <c r="S3144" s="5">
        <v>1</v>
      </c>
      <c r="T31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табеле]])*S3144,0)</f>
        <v>0</v>
      </c>
      <c r="U3144" s="5">
        <f>IF(Таблица1[[#This Row],[ТТН]]&gt;0,Таблица1[[#This Row],[Ставка за ТТН]]*Таблица1[[#This Row],[ТТН]],0)</f>
        <v>0</v>
      </c>
    </row>
    <row r="3145" spans="1:21" x14ac:dyDescent="0.25">
      <c r="A3145" t="s">
        <v>84</v>
      </c>
      <c r="B3145" s="24">
        <v>11</v>
      </c>
      <c r="C3145" t="s">
        <v>135</v>
      </c>
      <c r="D3145" t="s">
        <v>28</v>
      </c>
      <c r="E3145" t="s">
        <v>216</v>
      </c>
      <c r="F3145" t="s">
        <v>28</v>
      </c>
      <c r="H3145" t="s">
        <v>24</v>
      </c>
      <c r="I3145" t="s">
        <v>217</v>
      </c>
      <c r="J3145">
        <v>8</v>
      </c>
      <c r="N3145">
        <f>Таблица1[[#This Row],[Часов на заказчика  в работе]]+Таблица1[[#This Row],[Часов на заказчика  дежурство]]</f>
        <v>0</v>
      </c>
      <c r="O31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5" s="9"/>
      <c r="R3145" s="9"/>
      <c r="S3145" s="5">
        <v>1</v>
      </c>
      <c r="T31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табеле]])*S3145,0)</f>
        <v>0</v>
      </c>
      <c r="U3145" s="5">
        <f>IF(Таблица1[[#This Row],[ТТН]]&gt;0,Таблица1[[#This Row],[Ставка за ТТН]]*Таблица1[[#This Row],[ТТН]],0)</f>
        <v>0</v>
      </c>
    </row>
    <row r="3146" spans="1:21" x14ac:dyDescent="0.25">
      <c r="A3146" t="s">
        <v>84</v>
      </c>
      <c r="B3146" s="24">
        <v>12</v>
      </c>
      <c r="C3146" t="s">
        <v>135</v>
      </c>
      <c r="D3146" t="s">
        <v>28</v>
      </c>
      <c r="E3146" t="s">
        <v>216</v>
      </c>
      <c r="F3146" t="s">
        <v>28</v>
      </c>
      <c r="H3146" t="s">
        <v>24</v>
      </c>
      <c r="I3146" t="s">
        <v>217</v>
      </c>
      <c r="J3146">
        <v>8</v>
      </c>
      <c r="N3146">
        <f>Таблица1[[#This Row],[Часов на заказчика  в работе]]+Таблица1[[#This Row],[Часов на заказчика  дежурство]]</f>
        <v>0</v>
      </c>
      <c r="O31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6" s="9"/>
      <c r="R3146" s="9"/>
      <c r="S3146" s="5">
        <v>1</v>
      </c>
      <c r="T31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табеле]])*S3146,0)</f>
        <v>0</v>
      </c>
      <c r="U3146" s="5">
        <f>IF(Таблица1[[#This Row],[ТТН]]&gt;0,Таблица1[[#This Row],[Ставка за ТТН]]*Таблица1[[#This Row],[ТТН]],0)</f>
        <v>0</v>
      </c>
    </row>
    <row r="3147" spans="1:21" x14ac:dyDescent="0.25">
      <c r="A3147" t="s">
        <v>84</v>
      </c>
      <c r="B3147" s="24">
        <v>13</v>
      </c>
      <c r="C3147" t="s">
        <v>135</v>
      </c>
      <c r="D3147" t="s">
        <v>28</v>
      </c>
      <c r="E3147" t="s">
        <v>216</v>
      </c>
      <c r="F3147" t="s">
        <v>28</v>
      </c>
      <c r="H3147" t="s">
        <v>30</v>
      </c>
      <c r="I3147" t="s">
        <v>217</v>
      </c>
      <c r="J3147">
        <v>1</v>
      </c>
      <c r="N3147">
        <f>Таблица1[[#This Row],[Часов на заказчика  в работе]]+Таблица1[[#This Row],[Часов на заказчика  дежурство]]</f>
        <v>0</v>
      </c>
      <c r="O31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7" s="9"/>
      <c r="R3147" s="9"/>
      <c r="S3147" s="5">
        <v>1</v>
      </c>
      <c r="T31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табеле]])*S3147,0)</f>
        <v>0</v>
      </c>
      <c r="U3147" s="5">
        <f>IF(Таблица1[[#This Row],[ТТН]]&gt;0,Таблица1[[#This Row],[Ставка за ТТН]]*Таблица1[[#This Row],[ТТН]],0)</f>
        <v>0</v>
      </c>
    </row>
    <row r="3148" spans="1:21" x14ac:dyDescent="0.25">
      <c r="A3148" t="s">
        <v>84</v>
      </c>
      <c r="B3148" s="24">
        <v>14</v>
      </c>
      <c r="C3148" t="s">
        <v>135</v>
      </c>
      <c r="D3148" t="s">
        <v>28</v>
      </c>
      <c r="E3148" t="s">
        <v>216</v>
      </c>
      <c r="F3148" t="s">
        <v>28</v>
      </c>
      <c r="H3148" t="s">
        <v>30</v>
      </c>
      <c r="I3148" t="s">
        <v>217</v>
      </c>
      <c r="J3148">
        <v>1</v>
      </c>
      <c r="N3148">
        <f>Таблица1[[#This Row],[Часов на заказчика  в работе]]+Таблица1[[#This Row],[Часов на заказчика  дежурство]]</f>
        <v>0</v>
      </c>
      <c r="O31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8" s="9"/>
      <c r="R3148" s="9"/>
      <c r="S3148" s="5">
        <v>1</v>
      </c>
      <c r="T31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табеле]])*S3148,0)</f>
        <v>0</v>
      </c>
      <c r="U3148" s="5">
        <f>IF(Таблица1[[#This Row],[ТТН]]&gt;0,Таблица1[[#This Row],[Ставка за ТТН]]*Таблица1[[#This Row],[ТТН]],0)</f>
        <v>0</v>
      </c>
    </row>
    <row r="3149" spans="1:21" x14ac:dyDescent="0.25">
      <c r="A3149" t="s">
        <v>84</v>
      </c>
      <c r="B3149" s="24">
        <v>15</v>
      </c>
      <c r="C3149" t="s">
        <v>135</v>
      </c>
      <c r="D3149" t="s">
        <v>28</v>
      </c>
      <c r="E3149" t="s">
        <v>216</v>
      </c>
      <c r="F3149" t="s">
        <v>28</v>
      </c>
      <c r="H3149" t="s">
        <v>29</v>
      </c>
      <c r="I3149" t="s">
        <v>217</v>
      </c>
      <c r="J3149">
        <v>8</v>
      </c>
      <c r="N3149">
        <f>Таблица1[[#This Row],[Часов на заказчика  в работе]]+Таблица1[[#This Row],[Часов на заказчика  дежурство]]</f>
        <v>0</v>
      </c>
      <c r="O31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49" s="9"/>
      <c r="R3149" s="9"/>
      <c r="S3149" s="5">
        <v>1</v>
      </c>
      <c r="T31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табеле]])*S3149,0)</f>
        <v>0</v>
      </c>
      <c r="U3149" s="5">
        <f>IF(Таблица1[[#This Row],[ТТН]]&gt;0,Таблица1[[#This Row],[Ставка за ТТН]]*Таблица1[[#This Row],[ТТН]],0)</f>
        <v>0</v>
      </c>
    </row>
    <row r="3150" spans="1:21" x14ac:dyDescent="0.25">
      <c r="A3150" t="s">
        <v>84</v>
      </c>
      <c r="B3150" s="24">
        <v>16</v>
      </c>
      <c r="C3150" t="s">
        <v>135</v>
      </c>
      <c r="D3150" t="s">
        <v>28</v>
      </c>
      <c r="E3150" t="s">
        <v>216</v>
      </c>
      <c r="F3150" t="s">
        <v>28</v>
      </c>
      <c r="H3150" t="s">
        <v>29</v>
      </c>
      <c r="I3150" t="s">
        <v>217</v>
      </c>
      <c r="J3150">
        <v>8</v>
      </c>
      <c r="N3150">
        <f>Таблица1[[#This Row],[Часов на заказчика  в работе]]+Таблица1[[#This Row],[Часов на заказчика  дежурство]]</f>
        <v>0</v>
      </c>
      <c r="O31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0" s="9"/>
      <c r="R3150" s="9"/>
      <c r="S3150" s="5">
        <v>1</v>
      </c>
      <c r="T31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табеле]])*S3150,0)</f>
        <v>0</v>
      </c>
      <c r="U3150" s="5">
        <f>IF(Таблица1[[#This Row],[ТТН]]&gt;0,Таблица1[[#This Row],[Ставка за ТТН]]*Таблица1[[#This Row],[ТТН]],0)</f>
        <v>0</v>
      </c>
    </row>
    <row r="3151" spans="1:21" x14ac:dyDescent="0.25">
      <c r="A3151" t="s">
        <v>84</v>
      </c>
      <c r="B3151" s="24">
        <v>17</v>
      </c>
      <c r="C3151" t="s">
        <v>135</v>
      </c>
      <c r="D3151" t="s">
        <v>28</v>
      </c>
      <c r="E3151" t="s">
        <v>216</v>
      </c>
      <c r="F3151" t="s">
        <v>28</v>
      </c>
      <c r="H3151" t="s">
        <v>29</v>
      </c>
      <c r="I3151" t="s">
        <v>217</v>
      </c>
      <c r="J3151">
        <v>8</v>
      </c>
      <c r="N3151">
        <f>Таблица1[[#This Row],[Часов на заказчика  в работе]]+Таблица1[[#This Row],[Часов на заказчика  дежурство]]</f>
        <v>0</v>
      </c>
      <c r="O31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1" s="9"/>
      <c r="R3151" s="9"/>
      <c r="S3151" s="5">
        <v>1</v>
      </c>
      <c r="T31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табеле]])*S3151,0)</f>
        <v>0</v>
      </c>
      <c r="U3151" s="5">
        <f>IF(Таблица1[[#This Row],[ТТН]]&gt;0,Таблица1[[#This Row],[Ставка за ТТН]]*Таблица1[[#This Row],[ТТН]],0)</f>
        <v>0</v>
      </c>
    </row>
    <row r="3152" spans="1:21" x14ac:dyDescent="0.25">
      <c r="A3152" t="s">
        <v>84</v>
      </c>
      <c r="B3152" s="24">
        <v>18</v>
      </c>
      <c r="C3152" t="s">
        <v>135</v>
      </c>
      <c r="D3152" t="s">
        <v>28</v>
      </c>
      <c r="E3152" t="s">
        <v>216</v>
      </c>
      <c r="F3152" t="s">
        <v>28</v>
      </c>
      <c r="H3152" t="s">
        <v>29</v>
      </c>
      <c r="I3152" t="s">
        <v>217</v>
      </c>
      <c r="J3152">
        <v>8</v>
      </c>
      <c r="N3152">
        <f>Таблица1[[#This Row],[Часов на заказчика  в работе]]+Таблица1[[#This Row],[Часов на заказчика  дежурство]]</f>
        <v>0</v>
      </c>
      <c r="O31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2" s="9"/>
      <c r="R3152" s="9"/>
      <c r="S3152" s="5">
        <v>1</v>
      </c>
      <c r="T31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табеле]])*S3152,0)</f>
        <v>0</v>
      </c>
      <c r="U3152" s="5">
        <f>IF(Таблица1[[#This Row],[ТТН]]&gt;0,Таблица1[[#This Row],[Ставка за ТТН]]*Таблица1[[#This Row],[ТТН]],0)</f>
        <v>0</v>
      </c>
    </row>
    <row r="3153" spans="1:21" x14ac:dyDescent="0.25">
      <c r="A3153" t="s">
        <v>84</v>
      </c>
      <c r="B3153" s="24">
        <v>19</v>
      </c>
      <c r="C3153" t="s">
        <v>135</v>
      </c>
      <c r="D3153" t="s">
        <v>28</v>
      </c>
      <c r="E3153" t="s">
        <v>216</v>
      </c>
      <c r="F3153" t="s">
        <v>28</v>
      </c>
      <c r="H3153" t="s">
        <v>29</v>
      </c>
      <c r="I3153" t="s">
        <v>217</v>
      </c>
      <c r="J3153">
        <v>8</v>
      </c>
      <c r="N3153">
        <f>Таблица1[[#This Row],[Часов на заказчика  в работе]]+Таблица1[[#This Row],[Часов на заказчика  дежурство]]</f>
        <v>0</v>
      </c>
      <c r="O31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3" s="9"/>
      <c r="R3153" s="9"/>
      <c r="S3153" s="5">
        <v>1</v>
      </c>
      <c r="T31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табеле]])*S3153,0)</f>
        <v>0</v>
      </c>
      <c r="U3153" s="5">
        <f>IF(Таблица1[[#This Row],[ТТН]]&gt;0,Таблица1[[#This Row],[Ставка за ТТН]]*Таблица1[[#This Row],[ТТН]],0)</f>
        <v>0</v>
      </c>
    </row>
    <row r="3154" spans="1:21" x14ac:dyDescent="0.25">
      <c r="A3154" t="s">
        <v>84</v>
      </c>
      <c r="B3154" s="24">
        <v>20</v>
      </c>
      <c r="C3154" t="s">
        <v>135</v>
      </c>
      <c r="D3154" t="s">
        <v>28</v>
      </c>
      <c r="E3154" t="s">
        <v>216</v>
      </c>
      <c r="F3154" t="s">
        <v>28</v>
      </c>
      <c r="H3154" t="s">
        <v>30</v>
      </c>
      <c r="I3154" t="s">
        <v>217</v>
      </c>
      <c r="J3154">
        <v>1</v>
      </c>
      <c r="N3154">
        <f>Таблица1[[#This Row],[Часов на заказчика  в работе]]+Таблица1[[#This Row],[Часов на заказчика  дежурство]]</f>
        <v>0</v>
      </c>
      <c r="O31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4" s="9"/>
      <c r="R3154" s="9"/>
      <c r="S3154" s="5">
        <v>1</v>
      </c>
      <c r="T31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табеле]])*S3154,0)</f>
        <v>0</v>
      </c>
      <c r="U3154" s="5">
        <f>IF(Таблица1[[#This Row],[ТТН]]&gt;0,Таблица1[[#This Row],[Ставка за ТТН]]*Таблица1[[#This Row],[ТТН]],0)</f>
        <v>0</v>
      </c>
    </row>
    <row r="3155" spans="1:21" x14ac:dyDescent="0.25">
      <c r="A3155" t="s">
        <v>84</v>
      </c>
      <c r="B3155" s="24">
        <v>21</v>
      </c>
      <c r="C3155" t="s">
        <v>135</v>
      </c>
      <c r="D3155" t="s">
        <v>28</v>
      </c>
      <c r="E3155" t="s">
        <v>216</v>
      </c>
      <c r="F3155" t="s">
        <v>28</v>
      </c>
      <c r="H3155" t="s">
        <v>30</v>
      </c>
      <c r="I3155" t="s">
        <v>217</v>
      </c>
      <c r="J3155">
        <v>1</v>
      </c>
      <c r="N3155">
        <f>Таблица1[[#This Row],[Часов на заказчика  в работе]]+Таблица1[[#This Row],[Часов на заказчика  дежурство]]</f>
        <v>0</v>
      </c>
      <c r="O31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5" s="9"/>
      <c r="R3155" s="9"/>
      <c r="S3155" s="5">
        <v>1</v>
      </c>
      <c r="T31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табеле]])*S3155,0)</f>
        <v>0</v>
      </c>
      <c r="U3155" s="5">
        <f>IF(Таблица1[[#This Row],[ТТН]]&gt;0,Таблица1[[#This Row],[Ставка за ТТН]]*Таблица1[[#This Row],[ТТН]],0)</f>
        <v>0</v>
      </c>
    </row>
    <row r="3156" spans="1:21" x14ac:dyDescent="0.25">
      <c r="A3156" t="s">
        <v>84</v>
      </c>
      <c r="B3156" s="24">
        <v>22</v>
      </c>
      <c r="C3156" t="s">
        <v>135</v>
      </c>
      <c r="D3156" t="s">
        <v>28</v>
      </c>
      <c r="E3156" t="s">
        <v>216</v>
      </c>
      <c r="F3156" t="s">
        <v>28</v>
      </c>
      <c r="H3156" t="s">
        <v>29</v>
      </c>
      <c r="I3156" t="s">
        <v>217</v>
      </c>
      <c r="J3156">
        <v>8</v>
      </c>
      <c r="N3156">
        <f>Таблица1[[#This Row],[Часов на заказчика  в работе]]+Таблица1[[#This Row],[Часов на заказчика  дежурство]]</f>
        <v>0</v>
      </c>
      <c r="O31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6" s="9"/>
      <c r="R3156" s="9"/>
      <c r="S3156" s="5">
        <v>1</v>
      </c>
      <c r="T31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табеле]])*S3156,0)</f>
        <v>0</v>
      </c>
      <c r="U3156" s="5">
        <f>IF(Таблица1[[#This Row],[ТТН]]&gt;0,Таблица1[[#This Row],[Ставка за ТТН]]*Таблица1[[#This Row],[ТТН]],0)</f>
        <v>0</v>
      </c>
    </row>
    <row r="3157" spans="1:21" x14ac:dyDescent="0.25">
      <c r="A3157" t="s">
        <v>84</v>
      </c>
      <c r="B3157" s="24">
        <v>23</v>
      </c>
      <c r="C3157" t="s">
        <v>135</v>
      </c>
      <c r="D3157" t="s">
        <v>28</v>
      </c>
      <c r="E3157" t="s">
        <v>216</v>
      </c>
      <c r="F3157" t="s">
        <v>28</v>
      </c>
      <c r="H3157" t="s">
        <v>29</v>
      </c>
      <c r="I3157" t="s">
        <v>217</v>
      </c>
      <c r="J3157">
        <v>8</v>
      </c>
      <c r="N3157">
        <f>Таблица1[[#This Row],[Часов на заказчика  в работе]]+Таблица1[[#This Row],[Часов на заказчика  дежурство]]</f>
        <v>0</v>
      </c>
      <c r="O31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7" s="9"/>
      <c r="R3157" s="9"/>
      <c r="S3157" s="5">
        <v>1</v>
      </c>
      <c r="T31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табеле]])*S3157,0)</f>
        <v>0</v>
      </c>
      <c r="U3157" s="5">
        <f>IF(Таблица1[[#This Row],[ТТН]]&gt;0,Таблица1[[#This Row],[Ставка за ТТН]]*Таблица1[[#This Row],[ТТН]],0)</f>
        <v>0</v>
      </c>
    </row>
    <row r="3158" spans="1:21" x14ac:dyDescent="0.25">
      <c r="A3158" t="s">
        <v>84</v>
      </c>
      <c r="B3158" s="24">
        <v>24</v>
      </c>
      <c r="C3158" t="s">
        <v>135</v>
      </c>
      <c r="D3158" t="s">
        <v>28</v>
      </c>
      <c r="E3158" t="s">
        <v>216</v>
      </c>
      <c r="F3158" t="s">
        <v>28</v>
      </c>
      <c r="H3158" t="s">
        <v>29</v>
      </c>
      <c r="I3158" t="s">
        <v>217</v>
      </c>
      <c r="J3158">
        <v>8</v>
      </c>
      <c r="N3158">
        <f>Таблица1[[#This Row],[Часов на заказчика  в работе]]+Таблица1[[#This Row],[Часов на заказчика  дежурство]]</f>
        <v>0</v>
      </c>
      <c r="O31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8" s="9"/>
      <c r="R3158" s="9"/>
      <c r="S3158" s="5">
        <v>1</v>
      </c>
      <c r="T31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табеле]])*S3158,0)</f>
        <v>0</v>
      </c>
      <c r="U3158" s="5">
        <f>IF(Таблица1[[#This Row],[ТТН]]&gt;0,Таблица1[[#This Row],[Ставка за ТТН]]*Таблица1[[#This Row],[ТТН]],0)</f>
        <v>0</v>
      </c>
    </row>
    <row r="3159" spans="1:21" x14ac:dyDescent="0.25">
      <c r="A3159" t="s">
        <v>84</v>
      </c>
      <c r="B3159" s="24">
        <v>25</v>
      </c>
      <c r="C3159" t="s">
        <v>135</v>
      </c>
      <c r="D3159" t="s">
        <v>28</v>
      </c>
      <c r="E3159" t="s">
        <v>216</v>
      </c>
      <c r="F3159" t="s">
        <v>28</v>
      </c>
      <c r="H3159" t="s">
        <v>29</v>
      </c>
      <c r="I3159" t="s">
        <v>217</v>
      </c>
      <c r="J3159">
        <v>8</v>
      </c>
      <c r="N3159">
        <f>Таблица1[[#This Row],[Часов на заказчика  в работе]]+Таблица1[[#This Row],[Часов на заказчика  дежурство]]</f>
        <v>0</v>
      </c>
      <c r="O31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59" s="9"/>
      <c r="R3159" s="9"/>
      <c r="S3159" s="5">
        <v>1</v>
      </c>
      <c r="T31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табеле]])*S3159,0)</f>
        <v>0</v>
      </c>
      <c r="U3159" s="5">
        <f>IF(Таблица1[[#This Row],[ТТН]]&gt;0,Таблица1[[#This Row],[Ставка за ТТН]]*Таблица1[[#This Row],[ТТН]],0)</f>
        <v>0</v>
      </c>
    </row>
    <row r="3160" spans="1:21" x14ac:dyDescent="0.25">
      <c r="A3160" t="s">
        <v>84</v>
      </c>
      <c r="B3160" s="24">
        <v>26</v>
      </c>
      <c r="C3160" t="s">
        <v>135</v>
      </c>
      <c r="D3160" t="s">
        <v>28</v>
      </c>
      <c r="E3160" t="s">
        <v>216</v>
      </c>
      <c r="F3160" t="s">
        <v>28</v>
      </c>
      <c r="H3160" t="s">
        <v>29</v>
      </c>
      <c r="I3160" t="s">
        <v>217</v>
      </c>
      <c r="J3160">
        <v>8</v>
      </c>
      <c r="N3160">
        <f>Таблица1[[#This Row],[Часов на заказчика  в работе]]+Таблица1[[#This Row],[Часов на заказчика  дежурство]]</f>
        <v>0</v>
      </c>
      <c r="O31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0" s="9"/>
      <c r="R3160" s="9"/>
      <c r="S3160" s="5">
        <v>1</v>
      </c>
      <c r="T31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табеле]])*S3160,0)</f>
        <v>0</v>
      </c>
      <c r="U3160" s="5">
        <f>IF(Таблица1[[#This Row],[ТТН]]&gt;0,Таблица1[[#This Row],[Ставка за ТТН]]*Таблица1[[#This Row],[ТТН]],0)</f>
        <v>0</v>
      </c>
    </row>
    <row r="3161" spans="1:21" x14ac:dyDescent="0.25">
      <c r="A3161" t="s">
        <v>84</v>
      </c>
      <c r="B3161" s="24">
        <v>27</v>
      </c>
      <c r="C3161" t="s">
        <v>135</v>
      </c>
      <c r="D3161" t="s">
        <v>28</v>
      </c>
      <c r="E3161" t="s">
        <v>216</v>
      </c>
      <c r="F3161" t="s">
        <v>28</v>
      </c>
      <c r="H3161" t="s">
        <v>30</v>
      </c>
      <c r="I3161" t="s">
        <v>217</v>
      </c>
      <c r="J3161">
        <v>1</v>
      </c>
      <c r="N3161">
        <f>Таблица1[[#This Row],[Часов на заказчика  в работе]]+Таблица1[[#This Row],[Часов на заказчика  дежурство]]</f>
        <v>0</v>
      </c>
      <c r="O31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1" s="9"/>
      <c r="R3161" s="9"/>
      <c r="S3161" s="5">
        <v>1</v>
      </c>
      <c r="T31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табеле]])*S3161,0)</f>
        <v>0</v>
      </c>
      <c r="U3161" s="5">
        <f>IF(Таблица1[[#This Row],[ТТН]]&gt;0,Таблица1[[#This Row],[Ставка за ТТН]]*Таблица1[[#This Row],[ТТН]],0)</f>
        <v>0</v>
      </c>
    </row>
    <row r="3162" spans="1:21" x14ac:dyDescent="0.25">
      <c r="A3162" t="s">
        <v>84</v>
      </c>
      <c r="B3162" s="24">
        <v>28</v>
      </c>
      <c r="C3162" t="s">
        <v>135</v>
      </c>
      <c r="D3162" t="s">
        <v>28</v>
      </c>
      <c r="E3162" t="s">
        <v>216</v>
      </c>
      <c r="F3162" t="s">
        <v>28</v>
      </c>
      <c r="H3162" t="s">
        <v>30</v>
      </c>
      <c r="I3162" t="s">
        <v>217</v>
      </c>
      <c r="J3162">
        <v>1</v>
      </c>
      <c r="N3162">
        <f>Таблица1[[#This Row],[Часов на заказчика  в работе]]+Таблица1[[#This Row],[Часов на заказчика  дежурство]]</f>
        <v>0</v>
      </c>
      <c r="O31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2" s="9"/>
      <c r="R3162" s="9"/>
      <c r="S3162" s="5">
        <v>1</v>
      </c>
      <c r="T31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табеле]])*S3162,0)</f>
        <v>0</v>
      </c>
      <c r="U3162" s="5">
        <f>IF(Таблица1[[#This Row],[ТТН]]&gt;0,Таблица1[[#This Row],[Ставка за ТТН]]*Таблица1[[#This Row],[ТТН]],0)</f>
        <v>0</v>
      </c>
    </row>
    <row r="3163" spans="1:21" x14ac:dyDescent="0.25">
      <c r="A3163" t="s">
        <v>84</v>
      </c>
      <c r="B3163" s="24">
        <v>29</v>
      </c>
      <c r="C3163" t="s">
        <v>135</v>
      </c>
      <c r="D3163" t="s">
        <v>28</v>
      </c>
      <c r="E3163" t="s">
        <v>216</v>
      </c>
      <c r="F3163" t="s">
        <v>28</v>
      </c>
      <c r="H3163" t="s">
        <v>29</v>
      </c>
      <c r="I3163" t="s">
        <v>217</v>
      </c>
      <c r="J3163">
        <v>8</v>
      </c>
      <c r="N3163">
        <f>Таблица1[[#This Row],[Часов на заказчика  в работе]]+Таблица1[[#This Row],[Часов на заказчика  дежурство]]</f>
        <v>0</v>
      </c>
      <c r="O31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3" s="9"/>
      <c r="R3163" s="9"/>
      <c r="S3163" s="5">
        <v>1</v>
      </c>
      <c r="T31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табеле]])*S3163,0)</f>
        <v>0</v>
      </c>
      <c r="U3163" s="5">
        <f>IF(Таблица1[[#This Row],[ТТН]]&gt;0,Таблица1[[#This Row],[Ставка за ТТН]]*Таблица1[[#This Row],[ТТН]],0)</f>
        <v>0</v>
      </c>
    </row>
    <row r="3164" spans="1:21" x14ac:dyDescent="0.25">
      <c r="A3164" t="s">
        <v>84</v>
      </c>
      <c r="B3164" s="24">
        <v>30</v>
      </c>
      <c r="C3164" t="s">
        <v>192</v>
      </c>
      <c r="D3164" t="s">
        <v>28</v>
      </c>
      <c r="E3164" t="s">
        <v>216</v>
      </c>
      <c r="F3164" t="s">
        <v>28</v>
      </c>
      <c r="H3164" t="s">
        <v>29</v>
      </c>
      <c r="I3164" t="s">
        <v>217</v>
      </c>
      <c r="J3164">
        <v>8</v>
      </c>
      <c r="N3164">
        <f>Таблица1[[#This Row],[Часов на заказчика  в работе]]+Таблица1[[#This Row],[Часов на заказчика  дежурство]]</f>
        <v>0</v>
      </c>
      <c r="O31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4" s="9"/>
      <c r="R3164" s="9"/>
      <c r="S3164" s="5">
        <v>1</v>
      </c>
      <c r="T31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табеле]])*S3164,0)</f>
        <v>0</v>
      </c>
      <c r="U3164" s="5">
        <f>IF(Таблица1[[#This Row],[ТТН]]&gt;0,Таблица1[[#This Row],[Ставка за ТТН]]*Таблица1[[#This Row],[ТТН]],0)</f>
        <v>0</v>
      </c>
    </row>
    <row r="3165" spans="1:21" x14ac:dyDescent="0.25">
      <c r="A3165" t="s">
        <v>84</v>
      </c>
      <c r="B3165" s="24">
        <v>1</v>
      </c>
      <c r="C3165" t="s">
        <v>192</v>
      </c>
      <c r="D3165" t="s">
        <v>69</v>
      </c>
      <c r="E3165" t="s">
        <v>216</v>
      </c>
      <c r="F3165" t="s">
        <v>69</v>
      </c>
      <c r="H3165" t="s">
        <v>10</v>
      </c>
      <c r="I3165" t="s">
        <v>217</v>
      </c>
      <c r="J3165">
        <v>11</v>
      </c>
      <c r="N3165">
        <f>Таблица1[[#This Row],[Часов на заказчика  в работе]]+Таблица1[[#This Row],[Часов на заказчика  дежурство]]</f>
        <v>0</v>
      </c>
      <c r="O31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5" s="9"/>
      <c r="R3165" s="9"/>
      <c r="S3165" s="5">
        <v>1</v>
      </c>
      <c r="T31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табеле]])*S3165,0)</f>
        <v>0</v>
      </c>
      <c r="U3165" s="5">
        <f>IF(Таблица1[[#This Row],[ТТН]]&gt;0,Таблица1[[#This Row],[Ставка за ТТН]]*Таблица1[[#This Row],[ТТН]],0)</f>
        <v>0</v>
      </c>
    </row>
    <row r="3166" spans="1:21" x14ac:dyDescent="0.25">
      <c r="A3166" t="s">
        <v>84</v>
      </c>
      <c r="B3166" s="24">
        <v>2</v>
      </c>
      <c r="C3166" t="s">
        <v>192</v>
      </c>
      <c r="D3166" t="s">
        <v>69</v>
      </c>
      <c r="E3166" t="s">
        <v>216</v>
      </c>
      <c r="F3166" t="s">
        <v>69</v>
      </c>
      <c r="H3166" t="s">
        <v>10</v>
      </c>
      <c r="I3166" t="s">
        <v>217</v>
      </c>
      <c r="J3166">
        <v>11</v>
      </c>
      <c r="N3166">
        <f>Таблица1[[#This Row],[Часов на заказчика  в работе]]+Таблица1[[#This Row],[Часов на заказчика  дежурство]]</f>
        <v>0</v>
      </c>
      <c r="O31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6" s="9"/>
      <c r="R3166" s="9"/>
      <c r="S3166" s="5">
        <v>1</v>
      </c>
      <c r="T31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табеле]])*S3166,0)</f>
        <v>0</v>
      </c>
      <c r="U3166" s="5">
        <f>IF(Таблица1[[#This Row],[ТТН]]&gt;0,Таблица1[[#This Row],[Ставка за ТТН]]*Таблица1[[#This Row],[ТТН]],0)</f>
        <v>0</v>
      </c>
    </row>
    <row r="3167" spans="1:21" x14ac:dyDescent="0.25">
      <c r="A3167" t="s">
        <v>84</v>
      </c>
      <c r="B3167" s="24">
        <v>3</v>
      </c>
      <c r="C3167" t="s">
        <v>192</v>
      </c>
      <c r="D3167" t="s">
        <v>69</v>
      </c>
      <c r="E3167" t="s">
        <v>216</v>
      </c>
      <c r="F3167" t="s">
        <v>69</v>
      </c>
      <c r="H3167" t="s">
        <v>10</v>
      </c>
      <c r="I3167" t="s">
        <v>217</v>
      </c>
      <c r="J3167">
        <v>11</v>
      </c>
      <c r="N3167">
        <f>Таблица1[[#This Row],[Часов на заказчика  в работе]]+Таблица1[[#This Row],[Часов на заказчика  дежурство]]</f>
        <v>0</v>
      </c>
      <c r="O31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7" s="9"/>
      <c r="R3167" s="9"/>
      <c r="S3167" s="5">
        <v>1</v>
      </c>
      <c r="T31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табеле]])*S3167,0)</f>
        <v>0</v>
      </c>
      <c r="U3167" s="5">
        <f>IF(Таблица1[[#This Row],[ТТН]]&gt;0,Таблица1[[#This Row],[Ставка за ТТН]]*Таблица1[[#This Row],[ТТН]],0)</f>
        <v>0</v>
      </c>
    </row>
    <row r="3168" spans="1:21" x14ac:dyDescent="0.25">
      <c r="A3168" t="s">
        <v>84</v>
      </c>
      <c r="B3168" s="24">
        <v>4</v>
      </c>
      <c r="C3168" t="s">
        <v>192</v>
      </c>
      <c r="D3168" t="s">
        <v>69</v>
      </c>
      <c r="E3168" t="s">
        <v>216</v>
      </c>
      <c r="F3168" t="s">
        <v>69</v>
      </c>
      <c r="H3168" t="s">
        <v>10</v>
      </c>
      <c r="I3168" t="s">
        <v>217</v>
      </c>
      <c r="J3168">
        <v>11</v>
      </c>
      <c r="N3168">
        <f>Таблица1[[#This Row],[Часов на заказчика  в работе]]+Таблица1[[#This Row],[Часов на заказчика  дежурство]]</f>
        <v>0</v>
      </c>
      <c r="O31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8" s="9"/>
      <c r="R3168" s="9"/>
      <c r="S3168" s="5">
        <v>1</v>
      </c>
      <c r="T31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табеле]])*S3168,0)</f>
        <v>0</v>
      </c>
      <c r="U3168" s="5">
        <f>IF(Таблица1[[#This Row],[ТТН]]&gt;0,Таблица1[[#This Row],[Ставка за ТТН]]*Таблица1[[#This Row],[ТТН]],0)</f>
        <v>0</v>
      </c>
    </row>
    <row r="3169" spans="1:21" x14ac:dyDescent="0.25">
      <c r="A3169" t="s">
        <v>84</v>
      </c>
      <c r="B3169" s="24">
        <v>5</v>
      </c>
      <c r="C3169" t="s">
        <v>192</v>
      </c>
      <c r="D3169" t="s">
        <v>69</v>
      </c>
      <c r="E3169" t="s">
        <v>216</v>
      </c>
      <c r="F3169" t="s">
        <v>69</v>
      </c>
      <c r="H3169" t="s">
        <v>10</v>
      </c>
      <c r="I3169" t="s">
        <v>217</v>
      </c>
      <c r="J3169">
        <v>11</v>
      </c>
      <c r="N3169">
        <f>Таблица1[[#This Row],[Часов на заказчика  в работе]]+Таблица1[[#This Row],[Часов на заказчика  дежурство]]</f>
        <v>0</v>
      </c>
      <c r="O31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69" s="9"/>
      <c r="R3169" s="9"/>
      <c r="S3169" s="5">
        <v>1</v>
      </c>
      <c r="T31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табеле]])*S3169,0)</f>
        <v>0</v>
      </c>
      <c r="U3169" s="5">
        <f>IF(Таблица1[[#This Row],[ТТН]]&gt;0,Таблица1[[#This Row],[Ставка за ТТН]]*Таблица1[[#This Row],[ТТН]],0)</f>
        <v>0</v>
      </c>
    </row>
    <row r="3170" spans="1:21" x14ac:dyDescent="0.25">
      <c r="A3170" t="s">
        <v>84</v>
      </c>
      <c r="B3170" s="24">
        <v>6</v>
      </c>
      <c r="C3170" t="s">
        <v>192</v>
      </c>
      <c r="D3170" t="s">
        <v>69</v>
      </c>
      <c r="E3170" t="s">
        <v>216</v>
      </c>
      <c r="F3170" t="s">
        <v>69</v>
      </c>
      <c r="H3170" t="s">
        <v>10</v>
      </c>
      <c r="I3170" t="s">
        <v>217</v>
      </c>
      <c r="J3170">
        <v>11</v>
      </c>
      <c r="N3170">
        <f>Таблица1[[#This Row],[Часов на заказчика  в работе]]+Таблица1[[#This Row],[Часов на заказчика  дежурство]]</f>
        <v>0</v>
      </c>
      <c r="O31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0" s="9"/>
      <c r="R3170" s="9"/>
      <c r="S3170" s="5">
        <v>1</v>
      </c>
      <c r="T31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табеле]])*S3170,0)</f>
        <v>0</v>
      </c>
      <c r="U3170" s="5">
        <f>IF(Таблица1[[#This Row],[ТТН]]&gt;0,Таблица1[[#This Row],[Ставка за ТТН]]*Таблица1[[#This Row],[ТТН]],0)</f>
        <v>0</v>
      </c>
    </row>
    <row r="3171" spans="1:21" x14ac:dyDescent="0.25">
      <c r="A3171" t="s">
        <v>84</v>
      </c>
      <c r="B3171" s="24">
        <v>7</v>
      </c>
      <c r="C3171" t="s">
        <v>192</v>
      </c>
      <c r="D3171" t="s">
        <v>69</v>
      </c>
      <c r="E3171" t="s">
        <v>216</v>
      </c>
      <c r="F3171" t="s">
        <v>69</v>
      </c>
      <c r="H3171" t="s">
        <v>10</v>
      </c>
      <c r="I3171" t="s">
        <v>217</v>
      </c>
      <c r="J3171">
        <v>11</v>
      </c>
      <c r="N3171">
        <f>Таблица1[[#This Row],[Часов на заказчика  в работе]]+Таблица1[[#This Row],[Часов на заказчика  дежурство]]</f>
        <v>0</v>
      </c>
      <c r="O31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1" s="9"/>
      <c r="R3171" s="9"/>
      <c r="S3171" s="5">
        <v>1</v>
      </c>
      <c r="T31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табеле]])*S3171,0)</f>
        <v>0</v>
      </c>
      <c r="U3171" s="5">
        <f>IF(Таблица1[[#This Row],[ТТН]]&gt;0,Таблица1[[#This Row],[Ставка за ТТН]]*Таблица1[[#This Row],[ТТН]],0)</f>
        <v>0</v>
      </c>
    </row>
    <row r="3172" spans="1:21" x14ac:dyDescent="0.25">
      <c r="A3172" t="s">
        <v>84</v>
      </c>
      <c r="B3172" s="24">
        <v>8</v>
      </c>
      <c r="C3172" t="s">
        <v>192</v>
      </c>
      <c r="D3172" t="s">
        <v>69</v>
      </c>
      <c r="E3172" t="s">
        <v>216</v>
      </c>
      <c r="F3172" t="s">
        <v>69</v>
      </c>
      <c r="H3172" t="s">
        <v>10</v>
      </c>
      <c r="I3172" t="s">
        <v>217</v>
      </c>
      <c r="J3172">
        <v>11</v>
      </c>
      <c r="N3172">
        <f>Таблица1[[#This Row],[Часов на заказчика  в работе]]+Таблица1[[#This Row],[Часов на заказчика  дежурство]]</f>
        <v>0</v>
      </c>
      <c r="O31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2" s="9"/>
      <c r="R3172" s="9"/>
      <c r="S3172" s="5">
        <v>1</v>
      </c>
      <c r="T31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табеле]])*S3172,0)</f>
        <v>0</v>
      </c>
      <c r="U3172" s="5">
        <f>IF(Таблица1[[#This Row],[ТТН]]&gt;0,Таблица1[[#This Row],[Ставка за ТТН]]*Таблица1[[#This Row],[ТТН]],0)</f>
        <v>0</v>
      </c>
    </row>
    <row r="3173" spans="1:21" x14ac:dyDescent="0.25">
      <c r="A3173" t="s">
        <v>84</v>
      </c>
      <c r="B3173" s="24">
        <v>9</v>
      </c>
      <c r="C3173" t="s">
        <v>192</v>
      </c>
      <c r="D3173" t="s">
        <v>69</v>
      </c>
      <c r="E3173" t="s">
        <v>216</v>
      </c>
      <c r="F3173" t="s">
        <v>69</v>
      </c>
      <c r="H3173" t="s">
        <v>10</v>
      </c>
      <c r="I3173" t="s">
        <v>217</v>
      </c>
      <c r="J3173">
        <v>11</v>
      </c>
      <c r="N3173">
        <f>Таблица1[[#This Row],[Часов на заказчика  в работе]]+Таблица1[[#This Row],[Часов на заказчика  дежурство]]</f>
        <v>0</v>
      </c>
      <c r="O31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3" s="9"/>
      <c r="R3173" s="9"/>
      <c r="S3173" s="5">
        <v>1</v>
      </c>
      <c r="T31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табеле]])*S3173,0)</f>
        <v>0</v>
      </c>
      <c r="U3173" s="5">
        <f>IF(Таблица1[[#This Row],[ТТН]]&gt;0,Таблица1[[#This Row],[Ставка за ТТН]]*Таблица1[[#This Row],[ТТН]],0)</f>
        <v>0</v>
      </c>
    </row>
    <row r="3174" spans="1:21" x14ac:dyDescent="0.25">
      <c r="A3174" t="s">
        <v>84</v>
      </c>
      <c r="B3174" s="24">
        <v>10</v>
      </c>
      <c r="C3174" t="s">
        <v>192</v>
      </c>
      <c r="D3174" t="s">
        <v>69</v>
      </c>
      <c r="E3174" t="s">
        <v>216</v>
      </c>
      <c r="F3174" t="s">
        <v>69</v>
      </c>
      <c r="H3174" t="s">
        <v>10</v>
      </c>
      <c r="I3174" t="s">
        <v>217</v>
      </c>
      <c r="J3174">
        <v>11</v>
      </c>
      <c r="N3174">
        <f>Таблица1[[#This Row],[Часов на заказчика  в работе]]+Таблица1[[#This Row],[Часов на заказчика  дежурство]]</f>
        <v>0</v>
      </c>
      <c r="O31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4" s="9"/>
      <c r="R3174" s="9"/>
      <c r="S3174" s="5">
        <v>1</v>
      </c>
      <c r="T31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табеле]])*S3174,0)</f>
        <v>0</v>
      </c>
      <c r="U3174" s="5">
        <f>IF(Таблица1[[#This Row],[ТТН]]&gt;0,Таблица1[[#This Row],[Ставка за ТТН]]*Таблица1[[#This Row],[ТТН]],0)</f>
        <v>0</v>
      </c>
    </row>
    <row r="3175" spans="1:21" x14ac:dyDescent="0.25">
      <c r="A3175" t="s">
        <v>84</v>
      </c>
      <c r="B3175" s="24">
        <v>11</v>
      </c>
      <c r="C3175" t="s">
        <v>192</v>
      </c>
      <c r="D3175" t="s">
        <v>69</v>
      </c>
      <c r="E3175" t="s">
        <v>216</v>
      </c>
      <c r="F3175" t="s">
        <v>69</v>
      </c>
      <c r="H3175" t="s">
        <v>10</v>
      </c>
      <c r="I3175" t="s">
        <v>217</v>
      </c>
      <c r="J3175">
        <v>11</v>
      </c>
      <c r="N3175">
        <f>Таблица1[[#This Row],[Часов на заказчика  в работе]]+Таблица1[[#This Row],[Часов на заказчика  дежурство]]</f>
        <v>0</v>
      </c>
      <c r="O31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5" s="9"/>
      <c r="R3175" s="9"/>
      <c r="S3175" s="5">
        <v>1</v>
      </c>
      <c r="T31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табеле]])*S3175,0)</f>
        <v>0</v>
      </c>
      <c r="U3175" s="5">
        <f>IF(Таблица1[[#This Row],[ТТН]]&gt;0,Таблица1[[#This Row],[Ставка за ТТН]]*Таблица1[[#This Row],[ТТН]],0)</f>
        <v>0</v>
      </c>
    </row>
    <row r="3176" spans="1:21" x14ac:dyDescent="0.25">
      <c r="A3176" t="s">
        <v>84</v>
      </c>
      <c r="B3176" s="24">
        <v>12</v>
      </c>
      <c r="C3176" t="s">
        <v>192</v>
      </c>
      <c r="D3176" t="s">
        <v>69</v>
      </c>
      <c r="E3176" t="s">
        <v>216</v>
      </c>
      <c r="F3176" t="s">
        <v>69</v>
      </c>
      <c r="H3176" t="s">
        <v>10</v>
      </c>
      <c r="I3176" t="s">
        <v>217</v>
      </c>
      <c r="J3176">
        <v>11</v>
      </c>
      <c r="N3176">
        <f>Таблица1[[#This Row],[Часов на заказчика  в работе]]+Таблица1[[#This Row],[Часов на заказчика  дежурство]]</f>
        <v>0</v>
      </c>
      <c r="O31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6" s="9"/>
      <c r="R3176" s="9"/>
      <c r="S3176" s="5">
        <v>1</v>
      </c>
      <c r="T31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табеле]])*S3176,0)</f>
        <v>0</v>
      </c>
      <c r="U3176" s="5">
        <f>IF(Таблица1[[#This Row],[ТТН]]&gt;0,Таблица1[[#This Row],[Ставка за ТТН]]*Таблица1[[#This Row],[ТТН]],0)</f>
        <v>0</v>
      </c>
    </row>
    <row r="3177" spans="1:21" x14ac:dyDescent="0.25">
      <c r="A3177" t="s">
        <v>84</v>
      </c>
      <c r="B3177" s="24">
        <v>13</v>
      </c>
      <c r="C3177" t="s">
        <v>192</v>
      </c>
      <c r="D3177" t="s">
        <v>69</v>
      </c>
      <c r="E3177" t="s">
        <v>216</v>
      </c>
      <c r="F3177" t="s">
        <v>69</v>
      </c>
      <c r="H3177" t="s">
        <v>10</v>
      </c>
      <c r="I3177" t="s">
        <v>217</v>
      </c>
      <c r="J3177">
        <v>11</v>
      </c>
      <c r="N3177">
        <f>Таблица1[[#This Row],[Часов на заказчика  в работе]]+Таблица1[[#This Row],[Часов на заказчика  дежурство]]</f>
        <v>0</v>
      </c>
      <c r="O31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7" s="9"/>
      <c r="R3177" s="9"/>
      <c r="S3177" s="5">
        <v>1</v>
      </c>
      <c r="T31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табеле]])*S3177,0)</f>
        <v>0</v>
      </c>
      <c r="U3177" s="5">
        <f>IF(Таблица1[[#This Row],[ТТН]]&gt;0,Таблица1[[#This Row],[Ставка за ТТН]]*Таблица1[[#This Row],[ТТН]],0)</f>
        <v>0</v>
      </c>
    </row>
    <row r="3178" spans="1:21" x14ac:dyDescent="0.25">
      <c r="A3178" t="s">
        <v>84</v>
      </c>
      <c r="B3178" s="24">
        <v>14</v>
      </c>
      <c r="C3178" t="s">
        <v>192</v>
      </c>
      <c r="D3178" t="s">
        <v>69</v>
      </c>
      <c r="E3178" t="s">
        <v>216</v>
      </c>
      <c r="F3178" t="s">
        <v>69</v>
      </c>
      <c r="H3178" t="s">
        <v>10</v>
      </c>
      <c r="I3178" t="s">
        <v>217</v>
      </c>
      <c r="J3178">
        <v>11</v>
      </c>
      <c r="N3178">
        <f>Таблица1[[#This Row],[Часов на заказчика  в работе]]+Таблица1[[#This Row],[Часов на заказчика  дежурство]]</f>
        <v>0</v>
      </c>
      <c r="O31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8" s="9"/>
      <c r="R3178" s="9"/>
      <c r="S3178" s="5">
        <v>1</v>
      </c>
      <c r="T31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табеле]])*S3178,0)</f>
        <v>0</v>
      </c>
      <c r="U3178" s="5">
        <f>IF(Таблица1[[#This Row],[ТТН]]&gt;0,Таблица1[[#This Row],[Ставка за ТТН]]*Таблица1[[#This Row],[ТТН]],0)</f>
        <v>0</v>
      </c>
    </row>
    <row r="3179" spans="1:21" x14ac:dyDescent="0.25">
      <c r="A3179" t="s">
        <v>84</v>
      </c>
      <c r="B3179" s="24">
        <v>15</v>
      </c>
      <c r="C3179" t="s">
        <v>192</v>
      </c>
      <c r="D3179" t="s">
        <v>69</v>
      </c>
      <c r="E3179" t="s">
        <v>216</v>
      </c>
      <c r="F3179" t="s">
        <v>69</v>
      </c>
      <c r="H3179" t="s">
        <v>10</v>
      </c>
      <c r="I3179" t="s">
        <v>217</v>
      </c>
      <c r="J3179">
        <v>11</v>
      </c>
      <c r="N3179">
        <f>Таблица1[[#This Row],[Часов на заказчика  в работе]]+Таблица1[[#This Row],[Часов на заказчика  дежурство]]</f>
        <v>0</v>
      </c>
      <c r="O31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79" s="9"/>
      <c r="R3179" s="9"/>
      <c r="S3179" s="5">
        <v>1</v>
      </c>
      <c r="T31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табеле]])*S3179,0)</f>
        <v>0</v>
      </c>
      <c r="U3179" s="5">
        <f>IF(Таблица1[[#This Row],[ТТН]]&gt;0,Таблица1[[#This Row],[Ставка за ТТН]]*Таблица1[[#This Row],[ТТН]],0)</f>
        <v>0</v>
      </c>
    </row>
    <row r="3180" spans="1:21" x14ac:dyDescent="0.25">
      <c r="A3180" t="s">
        <v>84</v>
      </c>
      <c r="B3180" s="24">
        <v>16</v>
      </c>
      <c r="C3180" t="s">
        <v>192</v>
      </c>
      <c r="D3180" t="s">
        <v>69</v>
      </c>
      <c r="E3180" t="s">
        <v>216</v>
      </c>
      <c r="F3180" t="s">
        <v>69</v>
      </c>
      <c r="H3180" t="s">
        <v>10</v>
      </c>
      <c r="I3180" t="s">
        <v>217</v>
      </c>
      <c r="J3180">
        <v>11</v>
      </c>
      <c r="N3180">
        <f>Таблица1[[#This Row],[Часов на заказчика  в работе]]+Таблица1[[#This Row],[Часов на заказчика  дежурство]]</f>
        <v>0</v>
      </c>
      <c r="O31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0" s="9"/>
      <c r="R3180" s="9"/>
      <c r="S3180" s="5">
        <v>1</v>
      </c>
      <c r="T31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табеле]])*S3180,0)</f>
        <v>0</v>
      </c>
      <c r="U3180" s="5">
        <f>IF(Таблица1[[#This Row],[ТТН]]&gt;0,Таблица1[[#This Row],[Ставка за ТТН]]*Таблица1[[#This Row],[ТТН]],0)</f>
        <v>0</v>
      </c>
    </row>
    <row r="3181" spans="1:21" x14ac:dyDescent="0.25">
      <c r="A3181" t="s">
        <v>84</v>
      </c>
      <c r="B3181" s="24">
        <v>17</v>
      </c>
      <c r="C3181" t="s">
        <v>192</v>
      </c>
      <c r="D3181" t="s">
        <v>69</v>
      </c>
      <c r="E3181" t="s">
        <v>216</v>
      </c>
      <c r="F3181" t="s">
        <v>69</v>
      </c>
      <c r="H3181" t="s">
        <v>10</v>
      </c>
      <c r="I3181" t="s">
        <v>217</v>
      </c>
      <c r="J3181">
        <v>11</v>
      </c>
      <c r="N3181">
        <f>Таблица1[[#This Row],[Часов на заказчика  в работе]]+Таблица1[[#This Row],[Часов на заказчика  дежурство]]</f>
        <v>0</v>
      </c>
      <c r="O31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1" s="9"/>
      <c r="R3181" s="9"/>
      <c r="S3181" s="5">
        <v>1</v>
      </c>
      <c r="T31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табеле]])*S3181,0)</f>
        <v>0</v>
      </c>
      <c r="U3181" s="5">
        <f>IF(Таблица1[[#This Row],[ТТН]]&gt;0,Таблица1[[#This Row],[Ставка за ТТН]]*Таблица1[[#This Row],[ТТН]],0)</f>
        <v>0</v>
      </c>
    </row>
    <row r="3182" spans="1:21" x14ac:dyDescent="0.25">
      <c r="A3182" t="s">
        <v>84</v>
      </c>
      <c r="B3182" s="24">
        <v>18</v>
      </c>
      <c r="C3182" t="s">
        <v>192</v>
      </c>
      <c r="D3182" t="s">
        <v>69</v>
      </c>
      <c r="E3182" t="s">
        <v>216</v>
      </c>
      <c r="F3182" t="s">
        <v>69</v>
      </c>
      <c r="H3182" t="s">
        <v>10</v>
      </c>
      <c r="I3182" t="s">
        <v>217</v>
      </c>
      <c r="J3182">
        <v>11</v>
      </c>
      <c r="N3182">
        <f>Таблица1[[#This Row],[Часов на заказчика  в работе]]+Таблица1[[#This Row],[Часов на заказчика  дежурство]]</f>
        <v>0</v>
      </c>
      <c r="O31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2" s="9"/>
      <c r="R3182" s="9"/>
      <c r="S3182" s="5">
        <v>1</v>
      </c>
      <c r="T31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табеле]])*S3182,0)</f>
        <v>0</v>
      </c>
      <c r="U3182" s="5">
        <f>IF(Таблица1[[#This Row],[ТТН]]&gt;0,Таблица1[[#This Row],[Ставка за ТТН]]*Таблица1[[#This Row],[ТТН]],0)</f>
        <v>0</v>
      </c>
    </row>
    <row r="3183" spans="1:21" x14ac:dyDescent="0.25">
      <c r="A3183" t="s">
        <v>84</v>
      </c>
      <c r="B3183" s="24">
        <v>19</v>
      </c>
      <c r="C3183" t="s">
        <v>192</v>
      </c>
      <c r="D3183" t="s">
        <v>69</v>
      </c>
      <c r="E3183" t="s">
        <v>216</v>
      </c>
      <c r="F3183" t="s">
        <v>69</v>
      </c>
      <c r="H3183" t="s">
        <v>10</v>
      </c>
      <c r="I3183" t="s">
        <v>217</v>
      </c>
      <c r="J3183">
        <v>11</v>
      </c>
      <c r="N3183">
        <f>Таблица1[[#This Row],[Часов на заказчика  в работе]]+Таблица1[[#This Row],[Часов на заказчика  дежурство]]</f>
        <v>0</v>
      </c>
      <c r="O31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3" s="9"/>
      <c r="R3183" s="9"/>
      <c r="S3183" s="5">
        <v>1</v>
      </c>
      <c r="T31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табеле]])*S3183,0)</f>
        <v>0</v>
      </c>
      <c r="U3183" s="5">
        <f>IF(Таблица1[[#This Row],[ТТН]]&gt;0,Таблица1[[#This Row],[Ставка за ТТН]]*Таблица1[[#This Row],[ТТН]],0)</f>
        <v>0</v>
      </c>
    </row>
    <row r="3184" spans="1:21" x14ac:dyDescent="0.25">
      <c r="A3184" t="s">
        <v>84</v>
      </c>
      <c r="B3184" s="24">
        <v>20</v>
      </c>
      <c r="C3184" t="s">
        <v>192</v>
      </c>
      <c r="D3184" t="s">
        <v>69</v>
      </c>
      <c r="E3184" t="s">
        <v>216</v>
      </c>
      <c r="F3184" t="s">
        <v>69</v>
      </c>
      <c r="H3184" t="s">
        <v>10</v>
      </c>
      <c r="I3184" t="s">
        <v>217</v>
      </c>
      <c r="J3184">
        <v>11</v>
      </c>
      <c r="N3184">
        <f>Таблица1[[#This Row],[Часов на заказчика  в работе]]+Таблица1[[#This Row],[Часов на заказчика  дежурство]]</f>
        <v>0</v>
      </c>
      <c r="O31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4" s="9"/>
      <c r="R3184" s="9"/>
      <c r="S3184" s="5">
        <v>1</v>
      </c>
      <c r="T31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табеле]])*S3184,0)</f>
        <v>0</v>
      </c>
      <c r="U3184" s="5">
        <f>IF(Таблица1[[#This Row],[ТТН]]&gt;0,Таблица1[[#This Row],[Ставка за ТТН]]*Таблица1[[#This Row],[ТТН]],0)</f>
        <v>0</v>
      </c>
    </row>
    <row r="3185" spans="1:21" x14ac:dyDescent="0.25">
      <c r="A3185" t="s">
        <v>84</v>
      </c>
      <c r="B3185" s="24">
        <v>21</v>
      </c>
      <c r="C3185" t="s">
        <v>192</v>
      </c>
      <c r="D3185" t="s">
        <v>69</v>
      </c>
      <c r="E3185" t="s">
        <v>216</v>
      </c>
      <c r="F3185" t="s">
        <v>69</v>
      </c>
      <c r="H3185" t="s">
        <v>10</v>
      </c>
      <c r="I3185" t="s">
        <v>217</v>
      </c>
      <c r="J3185">
        <v>11</v>
      </c>
      <c r="N3185">
        <f>Таблица1[[#This Row],[Часов на заказчика  в работе]]+Таблица1[[#This Row],[Часов на заказчика  дежурство]]</f>
        <v>0</v>
      </c>
      <c r="O31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5" s="9"/>
      <c r="R3185" s="9"/>
      <c r="S3185" s="5">
        <v>1</v>
      </c>
      <c r="T31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табеле]])*S3185,0)</f>
        <v>0</v>
      </c>
      <c r="U3185" s="5">
        <f>IF(Таблица1[[#This Row],[ТТН]]&gt;0,Таблица1[[#This Row],[Ставка за ТТН]]*Таблица1[[#This Row],[ТТН]],0)</f>
        <v>0</v>
      </c>
    </row>
    <row r="3186" spans="1:21" x14ac:dyDescent="0.25">
      <c r="A3186" t="s">
        <v>84</v>
      </c>
      <c r="B3186" s="24">
        <v>22</v>
      </c>
      <c r="C3186" t="s">
        <v>192</v>
      </c>
      <c r="D3186" t="s">
        <v>69</v>
      </c>
      <c r="E3186" t="s">
        <v>216</v>
      </c>
      <c r="F3186" t="s">
        <v>69</v>
      </c>
      <c r="H3186" t="s">
        <v>10</v>
      </c>
      <c r="I3186" t="s">
        <v>217</v>
      </c>
      <c r="J3186">
        <v>11</v>
      </c>
      <c r="N3186">
        <f>Таблица1[[#This Row],[Часов на заказчика  в работе]]+Таблица1[[#This Row],[Часов на заказчика  дежурство]]</f>
        <v>0</v>
      </c>
      <c r="O31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6" s="9"/>
      <c r="R3186" s="9"/>
      <c r="S3186" s="5">
        <v>1</v>
      </c>
      <c r="T31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табеле]])*S3186,0)</f>
        <v>0</v>
      </c>
      <c r="U3186" s="5">
        <f>IF(Таблица1[[#This Row],[ТТН]]&gt;0,Таблица1[[#This Row],[Ставка за ТТН]]*Таблица1[[#This Row],[ТТН]],0)</f>
        <v>0</v>
      </c>
    </row>
    <row r="3187" spans="1:21" x14ac:dyDescent="0.25">
      <c r="A3187" t="s">
        <v>84</v>
      </c>
      <c r="B3187" s="24">
        <v>23</v>
      </c>
      <c r="C3187" t="s">
        <v>192</v>
      </c>
      <c r="D3187" t="s">
        <v>69</v>
      </c>
      <c r="E3187" t="s">
        <v>216</v>
      </c>
      <c r="F3187" t="s">
        <v>69</v>
      </c>
      <c r="H3187" t="s">
        <v>10</v>
      </c>
      <c r="I3187" t="s">
        <v>217</v>
      </c>
      <c r="J3187">
        <v>11</v>
      </c>
      <c r="N3187">
        <f>Таблица1[[#This Row],[Часов на заказчика  в работе]]+Таблица1[[#This Row],[Часов на заказчика  дежурство]]</f>
        <v>0</v>
      </c>
      <c r="O31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7" s="9"/>
      <c r="R3187" s="9"/>
      <c r="S3187" s="5">
        <v>1</v>
      </c>
      <c r="T31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табеле]])*S3187,0)</f>
        <v>0</v>
      </c>
      <c r="U3187" s="5">
        <f>IF(Таблица1[[#This Row],[ТТН]]&gt;0,Таблица1[[#This Row],[Ставка за ТТН]]*Таблица1[[#This Row],[ТТН]],0)</f>
        <v>0</v>
      </c>
    </row>
    <row r="3188" spans="1:21" x14ac:dyDescent="0.25">
      <c r="A3188" t="s">
        <v>84</v>
      </c>
      <c r="B3188" s="24">
        <v>24</v>
      </c>
      <c r="C3188" t="s">
        <v>192</v>
      </c>
      <c r="D3188" t="s">
        <v>69</v>
      </c>
      <c r="E3188" t="s">
        <v>216</v>
      </c>
      <c r="F3188" t="s">
        <v>69</v>
      </c>
      <c r="H3188" t="s">
        <v>10</v>
      </c>
      <c r="I3188" t="s">
        <v>217</v>
      </c>
      <c r="J3188">
        <v>11</v>
      </c>
      <c r="N3188">
        <f>Таблица1[[#This Row],[Часов на заказчика  в работе]]+Таблица1[[#This Row],[Часов на заказчика  дежурство]]</f>
        <v>0</v>
      </c>
      <c r="O31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8" s="9"/>
      <c r="R3188" s="9"/>
      <c r="S3188" s="5">
        <v>1</v>
      </c>
      <c r="T31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табеле]])*S3188,0)</f>
        <v>0</v>
      </c>
      <c r="U3188" s="5">
        <f>IF(Таблица1[[#This Row],[ТТН]]&gt;0,Таблица1[[#This Row],[Ставка за ТТН]]*Таблица1[[#This Row],[ТТН]],0)</f>
        <v>0</v>
      </c>
    </row>
    <row r="3189" spans="1:21" x14ac:dyDescent="0.25">
      <c r="A3189" t="s">
        <v>84</v>
      </c>
      <c r="B3189" s="24">
        <v>25</v>
      </c>
      <c r="C3189" t="s">
        <v>192</v>
      </c>
      <c r="D3189" t="s">
        <v>69</v>
      </c>
      <c r="E3189" t="s">
        <v>216</v>
      </c>
      <c r="F3189" t="s">
        <v>69</v>
      </c>
      <c r="H3189" t="s">
        <v>10</v>
      </c>
      <c r="I3189" t="s">
        <v>217</v>
      </c>
      <c r="J3189">
        <v>11</v>
      </c>
      <c r="N3189">
        <f>Таблица1[[#This Row],[Часов на заказчика  в работе]]+Таблица1[[#This Row],[Часов на заказчика  дежурство]]</f>
        <v>0</v>
      </c>
      <c r="O31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89" s="9"/>
      <c r="R3189" s="9"/>
      <c r="S3189" s="5">
        <v>1</v>
      </c>
      <c r="T31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табеле]])*S3189,0)</f>
        <v>0</v>
      </c>
      <c r="U3189" s="5">
        <f>IF(Таблица1[[#This Row],[ТТН]]&gt;0,Таблица1[[#This Row],[Ставка за ТТН]]*Таблица1[[#This Row],[ТТН]],0)</f>
        <v>0</v>
      </c>
    </row>
    <row r="3190" spans="1:21" x14ac:dyDescent="0.25">
      <c r="A3190" t="s">
        <v>84</v>
      </c>
      <c r="B3190" s="24">
        <v>26</v>
      </c>
      <c r="C3190" t="s">
        <v>192</v>
      </c>
      <c r="D3190" t="s">
        <v>69</v>
      </c>
      <c r="E3190" t="s">
        <v>216</v>
      </c>
      <c r="F3190" t="s">
        <v>69</v>
      </c>
      <c r="H3190" t="s">
        <v>10</v>
      </c>
      <c r="I3190" t="s">
        <v>217</v>
      </c>
      <c r="J3190">
        <v>11</v>
      </c>
      <c r="N3190">
        <f>Таблица1[[#This Row],[Часов на заказчика  в работе]]+Таблица1[[#This Row],[Часов на заказчика  дежурство]]</f>
        <v>0</v>
      </c>
      <c r="O31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0" s="9"/>
      <c r="R3190" s="9"/>
      <c r="S3190" s="5">
        <v>1</v>
      </c>
      <c r="T31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табеле]])*S3190,0)</f>
        <v>0</v>
      </c>
      <c r="U3190" s="5">
        <f>IF(Таблица1[[#This Row],[ТТН]]&gt;0,Таблица1[[#This Row],[Ставка за ТТН]]*Таблица1[[#This Row],[ТТН]],0)</f>
        <v>0</v>
      </c>
    </row>
    <row r="3191" spans="1:21" x14ac:dyDescent="0.25">
      <c r="A3191" t="s">
        <v>84</v>
      </c>
      <c r="B3191" s="24">
        <v>27</v>
      </c>
      <c r="C3191" t="s">
        <v>192</v>
      </c>
      <c r="D3191" t="s">
        <v>69</v>
      </c>
      <c r="E3191" t="s">
        <v>216</v>
      </c>
      <c r="F3191" t="s">
        <v>69</v>
      </c>
      <c r="H3191" t="s">
        <v>10</v>
      </c>
      <c r="I3191" t="s">
        <v>217</v>
      </c>
      <c r="J3191">
        <v>11</v>
      </c>
      <c r="N3191">
        <f>Таблица1[[#This Row],[Часов на заказчика  в работе]]+Таблица1[[#This Row],[Часов на заказчика  дежурство]]</f>
        <v>0</v>
      </c>
      <c r="O31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1" s="9"/>
      <c r="R3191" s="9"/>
      <c r="S3191" s="5">
        <v>1</v>
      </c>
      <c r="T31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табеле]])*S3191,0)</f>
        <v>0</v>
      </c>
      <c r="U3191" s="5">
        <f>IF(Таблица1[[#This Row],[ТТН]]&gt;0,Таблица1[[#This Row],[Ставка за ТТН]]*Таблица1[[#This Row],[ТТН]],0)</f>
        <v>0</v>
      </c>
    </row>
    <row r="3192" spans="1:21" x14ac:dyDescent="0.25">
      <c r="A3192" t="s">
        <v>84</v>
      </c>
      <c r="B3192" s="24">
        <v>28</v>
      </c>
      <c r="C3192" t="s">
        <v>192</v>
      </c>
      <c r="D3192" t="s">
        <v>69</v>
      </c>
      <c r="E3192" t="s">
        <v>216</v>
      </c>
      <c r="F3192" t="s">
        <v>69</v>
      </c>
      <c r="H3192" t="s">
        <v>10</v>
      </c>
      <c r="I3192" t="s">
        <v>217</v>
      </c>
      <c r="J3192">
        <v>11</v>
      </c>
      <c r="N3192">
        <f>Таблица1[[#This Row],[Часов на заказчика  в работе]]+Таблица1[[#This Row],[Часов на заказчика  дежурство]]</f>
        <v>0</v>
      </c>
      <c r="O31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2" s="9"/>
      <c r="R3192" s="9"/>
      <c r="S3192" s="5">
        <v>1</v>
      </c>
      <c r="T31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табеле]])*S3192,0)</f>
        <v>0</v>
      </c>
      <c r="U3192" s="5">
        <f>IF(Таблица1[[#This Row],[ТТН]]&gt;0,Таблица1[[#This Row],[Ставка за ТТН]]*Таблица1[[#This Row],[ТТН]],0)</f>
        <v>0</v>
      </c>
    </row>
    <row r="3193" spans="1:21" x14ac:dyDescent="0.25">
      <c r="A3193" t="s">
        <v>84</v>
      </c>
      <c r="B3193" s="24">
        <v>29</v>
      </c>
      <c r="C3193" t="s">
        <v>192</v>
      </c>
      <c r="D3193" t="s">
        <v>69</v>
      </c>
      <c r="E3193" t="s">
        <v>216</v>
      </c>
      <c r="F3193" t="s">
        <v>69</v>
      </c>
      <c r="H3193" t="s">
        <v>10</v>
      </c>
      <c r="I3193" t="s">
        <v>217</v>
      </c>
      <c r="J3193">
        <v>11</v>
      </c>
      <c r="N3193">
        <f>Таблица1[[#This Row],[Часов на заказчика  в работе]]+Таблица1[[#This Row],[Часов на заказчика  дежурство]]</f>
        <v>0</v>
      </c>
      <c r="O31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3" s="9"/>
      <c r="R3193" s="9"/>
      <c r="S3193" s="5">
        <v>1</v>
      </c>
      <c r="T31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табеле]])*S3193,0)</f>
        <v>0</v>
      </c>
      <c r="U3193" s="5">
        <f>IF(Таблица1[[#This Row],[ТТН]]&gt;0,Таблица1[[#This Row],[Ставка за ТТН]]*Таблица1[[#This Row],[ТТН]],0)</f>
        <v>0</v>
      </c>
    </row>
    <row r="3194" spans="1:21" x14ac:dyDescent="0.25">
      <c r="A3194" t="s">
        <v>84</v>
      </c>
      <c r="B3194" s="24">
        <v>30</v>
      </c>
      <c r="C3194" t="s">
        <v>193</v>
      </c>
      <c r="D3194" t="s">
        <v>69</v>
      </c>
      <c r="E3194" t="s">
        <v>216</v>
      </c>
      <c r="F3194" t="s">
        <v>69</v>
      </c>
      <c r="H3194" t="s">
        <v>10</v>
      </c>
      <c r="I3194" t="s">
        <v>217</v>
      </c>
      <c r="J3194">
        <v>11</v>
      </c>
      <c r="N3194">
        <f>Таблица1[[#This Row],[Часов на заказчика  в работе]]+Таблица1[[#This Row],[Часов на заказчика  дежурство]]</f>
        <v>0</v>
      </c>
      <c r="O31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4" s="9"/>
      <c r="R3194" s="9"/>
      <c r="S3194" s="5">
        <v>1</v>
      </c>
      <c r="T31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табеле]])*S3194,0)</f>
        <v>0</v>
      </c>
      <c r="U3194" s="5">
        <f>IF(Таблица1[[#This Row],[ТТН]]&gt;0,Таблица1[[#This Row],[Ставка за ТТН]]*Таблица1[[#This Row],[ТТН]],0)</f>
        <v>0</v>
      </c>
    </row>
    <row r="3195" spans="1:21" x14ac:dyDescent="0.25">
      <c r="A3195" t="s">
        <v>84</v>
      </c>
      <c r="B3195" s="24">
        <v>1</v>
      </c>
      <c r="C3195" t="s">
        <v>193</v>
      </c>
      <c r="D3195" t="s">
        <v>12</v>
      </c>
      <c r="E3195" t="s">
        <v>215</v>
      </c>
      <c r="F3195" t="s">
        <v>66</v>
      </c>
      <c r="H3195" t="s">
        <v>29</v>
      </c>
      <c r="I3195" t="s">
        <v>217</v>
      </c>
      <c r="J3195">
        <v>8</v>
      </c>
      <c r="N3195">
        <f>Таблица1[[#This Row],[Часов на заказчика  в работе]]+Таблица1[[#This Row],[Часов на заказчика  дежурство]]</f>
        <v>0</v>
      </c>
      <c r="O31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5" s="9">
        <v>162000</v>
      </c>
      <c r="R3195" s="9"/>
      <c r="S3195" s="5">
        <v>1</v>
      </c>
      <c r="T31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табеле]])*S3195,0)</f>
        <v>0</v>
      </c>
      <c r="U3195" s="5">
        <f>IF(Таблица1[[#This Row],[ТТН]]&gt;0,Таблица1[[#This Row],[Ставка за ТТН]]*Таблица1[[#This Row],[ТТН]],0)</f>
        <v>0</v>
      </c>
    </row>
    <row r="3196" spans="1:21" x14ac:dyDescent="0.25">
      <c r="A3196" t="s">
        <v>84</v>
      </c>
      <c r="B3196" s="24">
        <v>2</v>
      </c>
      <c r="C3196" t="s">
        <v>193</v>
      </c>
      <c r="D3196" t="s">
        <v>12</v>
      </c>
      <c r="E3196" t="s">
        <v>215</v>
      </c>
      <c r="F3196" t="s">
        <v>66</v>
      </c>
      <c r="H3196" t="s">
        <v>29</v>
      </c>
      <c r="I3196" t="s">
        <v>217</v>
      </c>
      <c r="J3196">
        <v>8</v>
      </c>
      <c r="N3196">
        <f>Таблица1[[#This Row],[Часов на заказчика  в работе]]+Таблица1[[#This Row],[Часов на заказчика  дежурство]]</f>
        <v>0</v>
      </c>
      <c r="O31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6" s="9">
        <v>162000</v>
      </c>
      <c r="R3196" s="9"/>
      <c r="S3196" s="5">
        <v>1</v>
      </c>
      <c r="T31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табеле]])*S3196,0)</f>
        <v>0</v>
      </c>
      <c r="U3196" s="5">
        <f>IF(Таблица1[[#This Row],[ТТН]]&gt;0,Таблица1[[#This Row],[Ставка за ТТН]]*Таблица1[[#This Row],[ТТН]],0)</f>
        <v>0</v>
      </c>
    </row>
    <row r="3197" spans="1:21" x14ac:dyDescent="0.25">
      <c r="A3197" t="s">
        <v>84</v>
      </c>
      <c r="B3197" s="24">
        <v>3</v>
      </c>
      <c r="C3197" t="s">
        <v>193</v>
      </c>
      <c r="D3197" t="s">
        <v>12</v>
      </c>
      <c r="E3197" t="s">
        <v>215</v>
      </c>
      <c r="F3197" t="s">
        <v>66</v>
      </c>
      <c r="H3197" t="s">
        <v>29</v>
      </c>
      <c r="I3197" t="s">
        <v>217</v>
      </c>
      <c r="J3197">
        <v>8</v>
      </c>
      <c r="N3197">
        <f>Таблица1[[#This Row],[Часов на заказчика  в работе]]+Таблица1[[#This Row],[Часов на заказчика  дежурство]]</f>
        <v>0</v>
      </c>
      <c r="O31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7" s="9">
        <v>162000</v>
      </c>
      <c r="R3197" s="9"/>
      <c r="S3197" s="5">
        <v>1</v>
      </c>
      <c r="T31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табеле]])*S3197,0)</f>
        <v>0</v>
      </c>
      <c r="U3197" s="5">
        <f>IF(Таблица1[[#This Row],[ТТН]]&gt;0,Таблица1[[#This Row],[Ставка за ТТН]]*Таблица1[[#This Row],[ТТН]],0)</f>
        <v>0</v>
      </c>
    </row>
    <row r="3198" spans="1:21" x14ac:dyDescent="0.25">
      <c r="A3198" t="s">
        <v>84</v>
      </c>
      <c r="B3198" s="24">
        <v>4</v>
      </c>
      <c r="C3198" t="s">
        <v>193</v>
      </c>
      <c r="D3198" t="s">
        <v>12</v>
      </c>
      <c r="E3198" t="s">
        <v>215</v>
      </c>
      <c r="F3198" t="s">
        <v>66</v>
      </c>
      <c r="H3198" t="s">
        <v>29</v>
      </c>
      <c r="I3198" t="s">
        <v>217</v>
      </c>
      <c r="J3198">
        <v>8</v>
      </c>
      <c r="N3198">
        <f>Таблица1[[#This Row],[Часов на заказчика  в работе]]+Таблица1[[#This Row],[Часов на заказчика  дежурство]]</f>
        <v>0</v>
      </c>
      <c r="O31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8" s="9">
        <v>162000</v>
      </c>
      <c r="R3198" s="9"/>
      <c r="S3198" s="5">
        <v>1</v>
      </c>
      <c r="T31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табеле]])*S3198,0)</f>
        <v>0</v>
      </c>
      <c r="U3198" s="5">
        <f>IF(Таблица1[[#This Row],[ТТН]]&gt;0,Таблица1[[#This Row],[Ставка за ТТН]]*Таблица1[[#This Row],[ТТН]],0)</f>
        <v>0</v>
      </c>
    </row>
    <row r="3199" spans="1:21" x14ac:dyDescent="0.25">
      <c r="A3199" t="s">
        <v>84</v>
      </c>
      <c r="B3199" s="24">
        <v>5</v>
      </c>
      <c r="C3199" t="s">
        <v>193</v>
      </c>
      <c r="D3199" t="s">
        <v>12</v>
      </c>
      <c r="E3199" t="s">
        <v>215</v>
      </c>
      <c r="F3199" t="s">
        <v>66</v>
      </c>
      <c r="H3199" t="s">
        <v>29</v>
      </c>
      <c r="I3199" t="s">
        <v>217</v>
      </c>
      <c r="J3199">
        <v>8</v>
      </c>
      <c r="N3199">
        <f>Таблица1[[#This Row],[Часов на заказчика  в работе]]+Таблица1[[#This Row],[Часов на заказчика  дежурство]]</f>
        <v>0</v>
      </c>
      <c r="O31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199" s="9">
        <v>162000</v>
      </c>
      <c r="R3199" s="9"/>
      <c r="S3199" s="5">
        <v>1</v>
      </c>
      <c r="T31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табеле]])*S3199,0)</f>
        <v>0</v>
      </c>
      <c r="U3199" s="5">
        <f>IF(Таблица1[[#This Row],[ТТН]]&gt;0,Таблица1[[#This Row],[Ставка за ТТН]]*Таблица1[[#This Row],[ТТН]],0)</f>
        <v>0</v>
      </c>
    </row>
    <row r="3200" spans="1:21" x14ac:dyDescent="0.25">
      <c r="A3200" t="s">
        <v>84</v>
      </c>
      <c r="B3200" s="24">
        <v>6</v>
      </c>
      <c r="C3200" t="s">
        <v>193</v>
      </c>
      <c r="D3200" t="s">
        <v>12</v>
      </c>
      <c r="E3200" t="s">
        <v>215</v>
      </c>
      <c r="F3200" t="s">
        <v>66</v>
      </c>
      <c r="H3200" t="s">
        <v>30</v>
      </c>
      <c r="I3200" t="s">
        <v>217</v>
      </c>
      <c r="J3200">
        <v>1</v>
      </c>
      <c r="N3200">
        <f>Таблица1[[#This Row],[Часов на заказчика  в работе]]+Таблица1[[#This Row],[Часов на заказчика  дежурство]]</f>
        <v>0</v>
      </c>
      <c r="O32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0" s="9">
        <v>162000</v>
      </c>
      <c r="R3200" s="9"/>
      <c r="S3200" s="5">
        <v>1</v>
      </c>
      <c r="T32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табеле]])*S3200,0)</f>
        <v>0</v>
      </c>
      <c r="U3200" s="5">
        <f>IF(Таблица1[[#This Row],[ТТН]]&gt;0,Таблица1[[#This Row],[Ставка за ТТН]]*Таблица1[[#This Row],[ТТН]],0)</f>
        <v>0</v>
      </c>
    </row>
    <row r="3201" spans="1:21" x14ac:dyDescent="0.25">
      <c r="A3201" t="s">
        <v>84</v>
      </c>
      <c r="B3201" s="24">
        <v>7</v>
      </c>
      <c r="C3201" t="s">
        <v>193</v>
      </c>
      <c r="D3201" t="s">
        <v>12</v>
      </c>
      <c r="E3201" t="s">
        <v>215</v>
      </c>
      <c r="F3201" t="s">
        <v>66</v>
      </c>
      <c r="H3201" t="s">
        <v>30</v>
      </c>
      <c r="I3201" t="s">
        <v>217</v>
      </c>
      <c r="J3201">
        <v>1</v>
      </c>
      <c r="N3201">
        <f>Таблица1[[#This Row],[Часов на заказчика  в работе]]+Таблица1[[#This Row],[Часов на заказчика  дежурство]]</f>
        <v>0</v>
      </c>
      <c r="O32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1" s="9">
        <v>162000</v>
      </c>
      <c r="R3201" s="9"/>
      <c r="S3201" s="5">
        <v>1</v>
      </c>
      <c r="T32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табеле]])*S3201,0)</f>
        <v>0</v>
      </c>
      <c r="U3201" s="5">
        <f>IF(Таблица1[[#This Row],[ТТН]]&gt;0,Таблица1[[#This Row],[Ставка за ТТН]]*Таблица1[[#This Row],[ТТН]],0)</f>
        <v>0</v>
      </c>
    </row>
    <row r="3202" spans="1:21" x14ac:dyDescent="0.25">
      <c r="A3202" t="s">
        <v>84</v>
      </c>
      <c r="B3202" s="24">
        <v>8</v>
      </c>
      <c r="C3202" t="s">
        <v>193</v>
      </c>
      <c r="D3202" t="s">
        <v>12</v>
      </c>
      <c r="E3202" t="s">
        <v>215</v>
      </c>
      <c r="F3202" t="s">
        <v>66</v>
      </c>
      <c r="H3202" t="s">
        <v>29</v>
      </c>
      <c r="I3202" t="s">
        <v>217</v>
      </c>
      <c r="J3202">
        <v>8</v>
      </c>
      <c r="N3202">
        <f>Таблица1[[#This Row],[Часов на заказчика  в работе]]+Таблица1[[#This Row],[Часов на заказчика  дежурство]]</f>
        <v>0</v>
      </c>
      <c r="O32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2" s="9">
        <v>162000</v>
      </c>
      <c r="R3202" s="9"/>
      <c r="S3202" s="5">
        <v>1</v>
      </c>
      <c r="T32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табеле]])*S3202,0)</f>
        <v>0</v>
      </c>
      <c r="U3202" s="5">
        <f>IF(Таблица1[[#This Row],[ТТН]]&gt;0,Таблица1[[#This Row],[Ставка за ТТН]]*Таблица1[[#This Row],[ТТН]],0)</f>
        <v>0</v>
      </c>
    </row>
    <row r="3203" spans="1:21" x14ac:dyDescent="0.25">
      <c r="A3203" t="s">
        <v>84</v>
      </c>
      <c r="B3203" s="24">
        <v>9</v>
      </c>
      <c r="C3203" t="s">
        <v>193</v>
      </c>
      <c r="D3203" t="s">
        <v>12</v>
      </c>
      <c r="E3203" t="s">
        <v>215</v>
      </c>
      <c r="F3203" t="s">
        <v>66</v>
      </c>
      <c r="H3203" t="s">
        <v>29</v>
      </c>
      <c r="I3203" t="s">
        <v>217</v>
      </c>
      <c r="J3203">
        <v>8</v>
      </c>
      <c r="N3203">
        <f>Таблица1[[#This Row],[Часов на заказчика  в работе]]+Таблица1[[#This Row],[Часов на заказчика  дежурство]]</f>
        <v>0</v>
      </c>
      <c r="O32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3" s="9">
        <v>162000</v>
      </c>
      <c r="R3203" s="9"/>
      <c r="S3203" s="5">
        <v>1</v>
      </c>
      <c r="T32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табеле]])*S3203,0)</f>
        <v>0</v>
      </c>
      <c r="U3203" s="5">
        <f>IF(Таблица1[[#This Row],[ТТН]]&gt;0,Таблица1[[#This Row],[Ставка за ТТН]]*Таблица1[[#This Row],[ТТН]],0)</f>
        <v>0</v>
      </c>
    </row>
    <row r="3204" spans="1:21" x14ac:dyDescent="0.25">
      <c r="A3204" t="s">
        <v>84</v>
      </c>
      <c r="B3204" s="24">
        <v>10</v>
      </c>
      <c r="C3204" t="s">
        <v>193</v>
      </c>
      <c r="D3204" t="s">
        <v>12</v>
      </c>
      <c r="E3204" t="s">
        <v>215</v>
      </c>
      <c r="F3204" t="s">
        <v>66</v>
      </c>
      <c r="H3204" t="s">
        <v>29</v>
      </c>
      <c r="I3204" t="s">
        <v>217</v>
      </c>
      <c r="J3204">
        <v>8</v>
      </c>
      <c r="N3204">
        <f>Таблица1[[#This Row],[Часов на заказчика  в работе]]+Таблица1[[#This Row],[Часов на заказчика  дежурство]]</f>
        <v>0</v>
      </c>
      <c r="O32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4" s="9">
        <v>162000</v>
      </c>
      <c r="R3204" s="9"/>
      <c r="S3204" s="5">
        <v>1</v>
      </c>
      <c r="T32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табеле]])*S3204,0)</f>
        <v>0</v>
      </c>
      <c r="U3204" s="5">
        <f>IF(Таблица1[[#This Row],[ТТН]]&gt;0,Таблица1[[#This Row],[Ставка за ТТН]]*Таблица1[[#This Row],[ТТН]],0)</f>
        <v>0</v>
      </c>
    </row>
    <row r="3205" spans="1:21" x14ac:dyDescent="0.25">
      <c r="A3205" t="s">
        <v>84</v>
      </c>
      <c r="B3205" s="24">
        <v>11</v>
      </c>
      <c r="C3205" t="s">
        <v>193</v>
      </c>
      <c r="D3205" t="s">
        <v>12</v>
      </c>
      <c r="E3205" t="s">
        <v>215</v>
      </c>
      <c r="F3205" t="s">
        <v>66</v>
      </c>
      <c r="H3205" t="s">
        <v>29</v>
      </c>
      <c r="I3205" t="s">
        <v>217</v>
      </c>
      <c r="J3205">
        <v>8</v>
      </c>
      <c r="N3205">
        <f>Таблица1[[#This Row],[Часов на заказчика  в работе]]+Таблица1[[#This Row],[Часов на заказчика  дежурство]]</f>
        <v>0</v>
      </c>
      <c r="O32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5" s="9">
        <v>162000</v>
      </c>
      <c r="R3205" s="9"/>
      <c r="S3205" s="5">
        <v>1</v>
      </c>
      <c r="T32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табеле]])*S3205,0)</f>
        <v>0</v>
      </c>
      <c r="U3205" s="5">
        <f>IF(Таблица1[[#This Row],[ТТН]]&gt;0,Таблица1[[#This Row],[Ставка за ТТН]]*Таблица1[[#This Row],[ТТН]],0)</f>
        <v>0</v>
      </c>
    </row>
    <row r="3206" spans="1:21" x14ac:dyDescent="0.25">
      <c r="A3206" t="s">
        <v>84</v>
      </c>
      <c r="B3206" s="24">
        <v>12</v>
      </c>
      <c r="C3206" t="s">
        <v>193</v>
      </c>
      <c r="D3206" t="s">
        <v>12</v>
      </c>
      <c r="E3206" t="s">
        <v>215</v>
      </c>
      <c r="F3206" t="s">
        <v>66</v>
      </c>
      <c r="H3206" t="s">
        <v>29</v>
      </c>
      <c r="I3206" t="s">
        <v>217</v>
      </c>
      <c r="J3206">
        <v>8</v>
      </c>
      <c r="N3206">
        <f>Таблица1[[#This Row],[Часов на заказчика  в работе]]+Таблица1[[#This Row],[Часов на заказчика  дежурство]]</f>
        <v>0</v>
      </c>
      <c r="O32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6" s="9">
        <v>162000</v>
      </c>
      <c r="R3206" s="9"/>
      <c r="S3206" s="5">
        <v>1</v>
      </c>
      <c r="T32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табеле]])*S3206,0)</f>
        <v>0</v>
      </c>
      <c r="U3206" s="5">
        <f>IF(Таблица1[[#This Row],[ТТН]]&gt;0,Таблица1[[#This Row],[Ставка за ТТН]]*Таблица1[[#This Row],[ТТН]],0)</f>
        <v>0</v>
      </c>
    </row>
    <row r="3207" spans="1:21" x14ac:dyDescent="0.25">
      <c r="A3207" t="s">
        <v>84</v>
      </c>
      <c r="B3207" s="24">
        <v>13</v>
      </c>
      <c r="C3207" t="s">
        <v>193</v>
      </c>
      <c r="D3207" t="s">
        <v>12</v>
      </c>
      <c r="E3207" t="s">
        <v>215</v>
      </c>
      <c r="F3207" t="s">
        <v>66</v>
      </c>
      <c r="H3207" t="s">
        <v>30</v>
      </c>
      <c r="I3207" t="s">
        <v>217</v>
      </c>
      <c r="J3207">
        <v>1</v>
      </c>
      <c r="N3207">
        <f>Таблица1[[#This Row],[Часов на заказчика  в работе]]+Таблица1[[#This Row],[Часов на заказчика  дежурство]]</f>
        <v>0</v>
      </c>
      <c r="O32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7" s="9">
        <v>162000</v>
      </c>
      <c r="R3207" s="9"/>
      <c r="S3207" s="5">
        <v>1</v>
      </c>
      <c r="T32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табеле]])*S3207,0)</f>
        <v>0</v>
      </c>
      <c r="U3207" s="5">
        <f>IF(Таблица1[[#This Row],[ТТН]]&gt;0,Таблица1[[#This Row],[Ставка за ТТН]]*Таблица1[[#This Row],[ТТН]],0)</f>
        <v>0</v>
      </c>
    </row>
    <row r="3208" spans="1:21" x14ac:dyDescent="0.25">
      <c r="A3208" t="s">
        <v>84</v>
      </c>
      <c r="B3208" s="24">
        <v>14</v>
      </c>
      <c r="C3208" t="s">
        <v>193</v>
      </c>
      <c r="D3208" t="s">
        <v>12</v>
      </c>
      <c r="E3208" t="s">
        <v>215</v>
      </c>
      <c r="F3208" t="s">
        <v>66</v>
      </c>
      <c r="H3208" t="s">
        <v>30</v>
      </c>
      <c r="I3208" t="s">
        <v>217</v>
      </c>
      <c r="J3208">
        <v>1</v>
      </c>
      <c r="N3208">
        <f>Таблица1[[#This Row],[Часов на заказчика  в работе]]+Таблица1[[#This Row],[Часов на заказчика  дежурство]]</f>
        <v>0</v>
      </c>
      <c r="O32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8" s="9">
        <v>162000</v>
      </c>
      <c r="R3208" s="9"/>
      <c r="S3208" s="5">
        <v>1</v>
      </c>
      <c r="T32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табеле]])*S3208,0)</f>
        <v>0</v>
      </c>
      <c r="U3208" s="5">
        <f>IF(Таблица1[[#This Row],[ТТН]]&gt;0,Таблица1[[#This Row],[Ставка за ТТН]]*Таблица1[[#This Row],[ТТН]],0)</f>
        <v>0</v>
      </c>
    </row>
    <row r="3209" spans="1:21" x14ac:dyDescent="0.25">
      <c r="A3209" t="s">
        <v>84</v>
      </c>
      <c r="B3209" s="24">
        <v>15</v>
      </c>
      <c r="C3209" t="s">
        <v>193</v>
      </c>
      <c r="D3209" t="s">
        <v>12</v>
      </c>
      <c r="E3209" t="s">
        <v>215</v>
      </c>
      <c r="F3209" t="s">
        <v>66</v>
      </c>
      <c r="H3209" t="s">
        <v>29</v>
      </c>
      <c r="I3209" t="s">
        <v>217</v>
      </c>
      <c r="J3209">
        <v>8</v>
      </c>
      <c r="N3209">
        <f>Таблица1[[#This Row],[Часов на заказчика  в работе]]+Таблица1[[#This Row],[Часов на заказчика  дежурство]]</f>
        <v>0</v>
      </c>
      <c r="O32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09" s="9">
        <v>162000</v>
      </c>
      <c r="R3209" s="9"/>
      <c r="S3209" s="5">
        <v>1</v>
      </c>
      <c r="T32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табеле]])*S3209,0)</f>
        <v>0</v>
      </c>
      <c r="U3209" s="5">
        <f>IF(Таблица1[[#This Row],[ТТН]]&gt;0,Таблица1[[#This Row],[Ставка за ТТН]]*Таблица1[[#This Row],[ТТН]],0)</f>
        <v>0</v>
      </c>
    </row>
    <row r="3210" spans="1:21" x14ac:dyDescent="0.25">
      <c r="A3210" t="s">
        <v>84</v>
      </c>
      <c r="B3210" s="24">
        <v>16</v>
      </c>
      <c r="C3210" t="s">
        <v>193</v>
      </c>
      <c r="D3210" t="s">
        <v>12</v>
      </c>
      <c r="E3210" t="s">
        <v>215</v>
      </c>
      <c r="F3210" t="s">
        <v>66</v>
      </c>
      <c r="H3210" t="s">
        <v>29</v>
      </c>
      <c r="I3210" t="s">
        <v>217</v>
      </c>
      <c r="J3210">
        <v>8</v>
      </c>
      <c r="N3210">
        <f>Таблица1[[#This Row],[Часов на заказчика  в работе]]+Таблица1[[#This Row],[Часов на заказчика  дежурство]]</f>
        <v>0</v>
      </c>
      <c r="O32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0" s="9">
        <v>162000</v>
      </c>
      <c r="R3210" s="9"/>
      <c r="S3210" s="5">
        <v>1</v>
      </c>
      <c r="T32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табеле]])*S3210,0)</f>
        <v>0</v>
      </c>
      <c r="U3210" s="5">
        <f>IF(Таблица1[[#This Row],[ТТН]]&gt;0,Таблица1[[#This Row],[Ставка за ТТН]]*Таблица1[[#This Row],[ТТН]],0)</f>
        <v>0</v>
      </c>
    </row>
    <row r="3211" spans="1:21" x14ac:dyDescent="0.25">
      <c r="A3211" t="s">
        <v>84</v>
      </c>
      <c r="B3211" s="24">
        <v>17</v>
      </c>
      <c r="C3211" t="s">
        <v>193</v>
      </c>
      <c r="D3211" t="s">
        <v>12</v>
      </c>
      <c r="E3211" t="s">
        <v>215</v>
      </c>
      <c r="F3211" t="s">
        <v>66</v>
      </c>
      <c r="H3211" t="s">
        <v>29</v>
      </c>
      <c r="I3211" t="s">
        <v>217</v>
      </c>
      <c r="J3211">
        <v>8</v>
      </c>
      <c r="N3211">
        <f>Таблица1[[#This Row],[Часов на заказчика  в работе]]+Таблица1[[#This Row],[Часов на заказчика  дежурство]]</f>
        <v>0</v>
      </c>
      <c r="O32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1" s="9">
        <v>162000</v>
      </c>
      <c r="R3211" s="9"/>
      <c r="S3211" s="5">
        <v>1</v>
      </c>
      <c r="T32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табеле]])*S3211,0)</f>
        <v>0</v>
      </c>
      <c r="U3211" s="5">
        <f>IF(Таблица1[[#This Row],[ТТН]]&gt;0,Таблица1[[#This Row],[Ставка за ТТН]]*Таблица1[[#This Row],[ТТН]],0)</f>
        <v>0</v>
      </c>
    </row>
    <row r="3212" spans="1:21" x14ac:dyDescent="0.25">
      <c r="A3212" t="s">
        <v>84</v>
      </c>
      <c r="B3212" s="24">
        <v>18</v>
      </c>
      <c r="C3212" t="s">
        <v>193</v>
      </c>
      <c r="D3212" t="s">
        <v>12</v>
      </c>
      <c r="E3212" t="s">
        <v>215</v>
      </c>
      <c r="F3212" t="s">
        <v>66</v>
      </c>
      <c r="H3212" t="s">
        <v>29</v>
      </c>
      <c r="I3212" t="s">
        <v>217</v>
      </c>
      <c r="J3212">
        <v>8</v>
      </c>
      <c r="N3212">
        <f>Таблица1[[#This Row],[Часов на заказчика  в работе]]+Таблица1[[#This Row],[Часов на заказчика  дежурство]]</f>
        <v>0</v>
      </c>
      <c r="O32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2" s="9">
        <v>162000</v>
      </c>
      <c r="R3212" s="9"/>
      <c r="S3212" s="5">
        <v>1</v>
      </c>
      <c r="T32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табеле]])*S3212,0)</f>
        <v>0</v>
      </c>
      <c r="U3212" s="5">
        <f>IF(Таблица1[[#This Row],[ТТН]]&gt;0,Таблица1[[#This Row],[Ставка за ТТН]]*Таблица1[[#This Row],[ТТН]],0)</f>
        <v>0</v>
      </c>
    </row>
    <row r="3213" spans="1:21" x14ac:dyDescent="0.25">
      <c r="A3213" t="s">
        <v>84</v>
      </c>
      <c r="B3213" s="24">
        <v>19</v>
      </c>
      <c r="C3213" t="s">
        <v>193</v>
      </c>
      <c r="D3213" t="s">
        <v>12</v>
      </c>
      <c r="E3213" t="s">
        <v>215</v>
      </c>
      <c r="F3213" t="s">
        <v>66</v>
      </c>
      <c r="H3213" t="s">
        <v>29</v>
      </c>
      <c r="I3213" t="s">
        <v>217</v>
      </c>
      <c r="J3213">
        <v>8</v>
      </c>
      <c r="N3213">
        <f>Таблица1[[#This Row],[Часов на заказчика  в работе]]+Таблица1[[#This Row],[Часов на заказчика  дежурство]]</f>
        <v>0</v>
      </c>
      <c r="O32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3" s="9">
        <v>162000</v>
      </c>
      <c r="R3213" s="9"/>
      <c r="S3213" s="5">
        <v>1</v>
      </c>
      <c r="T32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табеле]])*S3213,0)</f>
        <v>0</v>
      </c>
      <c r="U3213" s="5">
        <f>IF(Таблица1[[#This Row],[ТТН]]&gt;0,Таблица1[[#This Row],[Ставка за ТТН]]*Таблица1[[#This Row],[ТТН]],0)</f>
        <v>0</v>
      </c>
    </row>
    <row r="3214" spans="1:21" x14ac:dyDescent="0.25">
      <c r="A3214" t="s">
        <v>84</v>
      </c>
      <c r="B3214" s="24">
        <v>20</v>
      </c>
      <c r="C3214" t="s">
        <v>193</v>
      </c>
      <c r="D3214" t="s">
        <v>12</v>
      </c>
      <c r="E3214" t="s">
        <v>215</v>
      </c>
      <c r="F3214" t="s">
        <v>66</v>
      </c>
      <c r="H3214" t="s">
        <v>30</v>
      </c>
      <c r="I3214" t="s">
        <v>217</v>
      </c>
      <c r="J3214">
        <v>1</v>
      </c>
      <c r="N3214">
        <f>Таблица1[[#This Row],[Часов на заказчика  в работе]]+Таблица1[[#This Row],[Часов на заказчика  дежурство]]</f>
        <v>0</v>
      </c>
      <c r="O32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4" s="9">
        <v>162000</v>
      </c>
      <c r="R3214" s="9"/>
      <c r="S3214" s="5">
        <v>1</v>
      </c>
      <c r="T32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табеле]])*S3214,0)</f>
        <v>0</v>
      </c>
      <c r="U3214" s="5">
        <f>IF(Таблица1[[#This Row],[ТТН]]&gt;0,Таблица1[[#This Row],[Ставка за ТТН]]*Таблица1[[#This Row],[ТТН]],0)</f>
        <v>0</v>
      </c>
    </row>
    <row r="3215" spans="1:21" x14ac:dyDescent="0.25">
      <c r="A3215" t="s">
        <v>84</v>
      </c>
      <c r="B3215" s="24">
        <v>21</v>
      </c>
      <c r="C3215" t="s">
        <v>193</v>
      </c>
      <c r="D3215" t="s">
        <v>12</v>
      </c>
      <c r="E3215" t="s">
        <v>215</v>
      </c>
      <c r="F3215" t="s">
        <v>66</v>
      </c>
      <c r="H3215" t="s">
        <v>30</v>
      </c>
      <c r="I3215" t="s">
        <v>217</v>
      </c>
      <c r="J3215">
        <v>1</v>
      </c>
      <c r="N3215">
        <f>Таблица1[[#This Row],[Часов на заказчика  в работе]]+Таблица1[[#This Row],[Часов на заказчика  дежурство]]</f>
        <v>0</v>
      </c>
      <c r="O32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5" s="9">
        <v>162000</v>
      </c>
      <c r="R3215" s="9"/>
      <c r="S3215" s="5">
        <v>1</v>
      </c>
      <c r="T32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табеле]])*S3215,0)</f>
        <v>0</v>
      </c>
      <c r="U3215" s="5">
        <f>IF(Таблица1[[#This Row],[ТТН]]&gt;0,Таблица1[[#This Row],[Ставка за ТТН]]*Таблица1[[#This Row],[ТТН]],0)</f>
        <v>0</v>
      </c>
    </row>
    <row r="3216" spans="1:21" x14ac:dyDescent="0.25">
      <c r="A3216" t="s">
        <v>84</v>
      </c>
      <c r="B3216" s="24">
        <v>22</v>
      </c>
      <c r="C3216" t="s">
        <v>193</v>
      </c>
      <c r="D3216" t="s">
        <v>12</v>
      </c>
      <c r="E3216" t="s">
        <v>215</v>
      </c>
      <c r="F3216" t="s">
        <v>66</v>
      </c>
      <c r="H3216" t="s">
        <v>29</v>
      </c>
      <c r="I3216" t="s">
        <v>217</v>
      </c>
      <c r="J3216">
        <v>8</v>
      </c>
      <c r="N3216">
        <f>Таблица1[[#This Row],[Часов на заказчика  в работе]]+Таблица1[[#This Row],[Часов на заказчика  дежурство]]</f>
        <v>0</v>
      </c>
      <c r="O32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6" s="9">
        <v>162000</v>
      </c>
      <c r="R3216" s="9"/>
      <c r="S3216" s="5">
        <v>1</v>
      </c>
      <c r="T32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табеле]])*S3216,0)</f>
        <v>0</v>
      </c>
      <c r="U3216" s="5">
        <f>IF(Таблица1[[#This Row],[ТТН]]&gt;0,Таблица1[[#This Row],[Ставка за ТТН]]*Таблица1[[#This Row],[ТТН]],0)</f>
        <v>0</v>
      </c>
    </row>
    <row r="3217" spans="1:22" x14ac:dyDescent="0.25">
      <c r="A3217" t="s">
        <v>84</v>
      </c>
      <c r="B3217" s="24">
        <v>23</v>
      </c>
      <c r="C3217" t="s">
        <v>193</v>
      </c>
      <c r="D3217" t="s">
        <v>12</v>
      </c>
      <c r="E3217" t="s">
        <v>215</v>
      </c>
      <c r="F3217" t="s">
        <v>66</v>
      </c>
      <c r="H3217" t="s">
        <v>29</v>
      </c>
      <c r="I3217" t="s">
        <v>217</v>
      </c>
      <c r="J3217">
        <v>8</v>
      </c>
      <c r="N3217">
        <f>Таблица1[[#This Row],[Часов на заказчика  в работе]]+Таблица1[[#This Row],[Часов на заказчика  дежурство]]</f>
        <v>0</v>
      </c>
      <c r="O32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7" s="9">
        <v>162000</v>
      </c>
      <c r="R3217" s="9"/>
      <c r="S3217" s="5">
        <v>1</v>
      </c>
      <c r="T32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табеле]])*S3217,0)</f>
        <v>0</v>
      </c>
      <c r="U3217" s="5">
        <f>IF(Таблица1[[#This Row],[ТТН]]&gt;0,Таблица1[[#This Row],[Ставка за ТТН]]*Таблица1[[#This Row],[ТТН]],0)</f>
        <v>0</v>
      </c>
    </row>
    <row r="3218" spans="1:22" x14ac:dyDescent="0.25">
      <c r="A3218" t="s">
        <v>84</v>
      </c>
      <c r="B3218" s="24">
        <v>24</v>
      </c>
      <c r="C3218" t="s">
        <v>193</v>
      </c>
      <c r="D3218" t="s">
        <v>12</v>
      </c>
      <c r="E3218" t="s">
        <v>215</v>
      </c>
      <c r="F3218" t="s">
        <v>66</v>
      </c>
      <c r="H3218" t="s">
        <v>44</v>
      </c>
      <c r="I3218" t="s">
        <v>217</v>
      </c>
      <c r="J3218">
        <v>1</v>
      </c>
      <c r="N3218">
        <f>Таблица1[[#This Row],[Часов на заказчика  в работе]]+Таблица1[[#This Row],[Часов на заказчика  дежурство]]</f>
        <v>0</v>
      </c>
      <c r="O32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8" s="9">
        <v>162000</v>
      </c>
      <c r="R3218" s="9"/>
      <c r="S3218" s="5">
        <v>1</v>
      </c>
      <c r="T32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табеле]])*S3218,0)</f>
        <v>0</v>
      </c>
      <c r="U3218" s="5">
        <f>IF(Таблица1[[#This Row],[ТТН]]&gt;0,Таблица1[[#This Row],[Ставка за ТТН]]*Таблица1[[#This Row],[ТТН]],0)</f>
        <v>0</v>
      </c>
    </row>
    <row r="3219" spans="1:22" x14ac:dyDescent="0.25">
      <c r="A3219" t="s">
        <v>84</v>
      </c>
      <c r="B3219" s="24">
        <v>25</v>
      </c>
      <c r="C3219" t="s">
        <v>193</v>
      </c>
      <c r="D3219" t="s">
        <v>12</v>
      </c>
      <c r="E3219" t="s">
        <v>215</v>
      </c>
      <c r="F3219" t="s">
        <v>66</v>
      </c>
      <c r="H3219" t="s">
        <v>44</v>
      </c>
      <c r="I3219" t="s">
        <v>217</v>
      </c>
      <c r="J3219">
        <v>1</v>
      </c>
      <c r="N3219">
        <f>Таблица1[[#This Row],[Часов на заказчика  в работе]]+Таблица1[[#This Row],[Часов на заказчика  дежурство]]</f>
        <v>0</v>
      </c>
      <c r="O32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19" s="9">
        <v>162000</v>
      </c>
      <c r="R3219" s="9"/>
      <c r="S3219" s="5">
        <v>1</v>
      </c>
      <c r="T32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табеле]])*S3219,0)</f>
        <v>0</v>
      </c>
      <c r="U3219" s="5">
        <f>IF(Таблица1[[#This Row],[ТТН]]&gt;0,Таблица1[[#This Row],[Ставка за ТТН]]*Таблица1[[#This Row],[ТТН]],0)</f>
        <v>0</v>
      </c>
    </row>
    <row r="3220" spans="1:22" x14ac:dyDescent="0.25">
      <c r="A3220" t="s">
        <v>84</v>
      </c>
      <c r="B3220" s="24">
        <v>26</v>
      </c>
      <c r="C3220" t="s">
        <v>193</v>
      </c>
      <c r="D3220" t="s">
        <v>12</v>
      </c>
      <c r="E3220" t="s">
        <v>215</v>
      </c>
      <c r="F3220" t="s">
        <v>66</v>
      </c>
      <c r="H3220" t="s">
        <v>44</v>
      </c>
      <c r="I3220" t="s">
        <v>217</v>
      </c>
      <c r="J3220">
        <v>1</v>
      </c>
      <c r="N3220">
        <f>Таблица1[[#This Row],[Часов на заказчика  в работе]]+Таблица1[[#This Row],[Часов на заказчика  дежурство]]</f>
        <v>0</v>
      </c>
      <c r="O32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0" s="9">
        <v>162000</v>
      </c>
      <c r="R3220" s="9"/>
      <c r="S3220" s="5">
        <v>1</v>
      </c>
      <c r="T32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табеле]])*S3220,0)</f>
        <v>0</v>
      </c>
      <c r="U3220" s="5">
        <f>IF(Таблица1[[#This Row],[ТТН]]&gt;0,Таблица1[[#This Row],[Ставка за ТТН]]*Таблица1[[#This Row],[ТТН]],0)</f>
        <v>0</v>
      </c>
    </row>
    <row r="3221" spans="1:22" x14ac:dyDescent="0.25">
      <c r="A3221" t="s">
        <v>84</v>
      </c>
      <c r="B3221" s="24">
        <v>27</v>
      </c>
      <c r="C3221" t="s">
        <v>193</v>
      </c>
      <c r="D3221" t="s">
        <v>12</v>
      </c>
      <c r="E3221" t="s">
        <v>215</v>
      </c>
      <c r="F3221" t="s">
        <v>66</v>
      </c>
      <c r="H3221" t="s">
        <v>44</v>
      </c>
      <c r="I3221" t="s">
        <v>217</v>
      </c>
      <c r="J3221">
        <v>1</v>
      </c>
      <c r="N3221">
        <f>Таблица1[[#This Row],[Часов на заказчика  в работе]]+Таблица1[[#This Row],[Часов на заказчика  дежурство]]</f>
        <v>0</v>
      </c>
      <c r="O32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1" s="9">
        <v>162000</v>
      </c>
      <c r="R3221" s="9"/>
      <c r="S3221" s="5">
        <v>1</v>
      </c>
      <c r="T32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табеле]])*S3221,0)</f>
        <v>0</v>
      </c>
      <c r="U3221" s="5">
        <f>IF(Таблица1[[#This Row],[ТТН]]&gt;0,Таблица1[[#This Row],[Ставка за ТТН]]*Таблица1[[#This Row],[ТТН]],0)</f>
        <v>0</v>
      </c>
    </row>
    <row r="3222" spans="1:22" x14ac:dyDescent="0.25">
      <c r="A3222" t="s">
        <v>84</v>
      </c>
      <c r="B3222" s="24">
        <v>28</v>
      </c>
      <c r="C3222" t="s">
        <v>193</v>
      </c>
      <c r="D3222" t="s">
        <v>12</v>
      </c>
      <c r="E3222" t="s">
        <v>215</v>
      </c>
      <c r="F3222" t="s">
        <v>66</v>
      </c>
      <c r="H3222" t="s">
        <v>44</v>
      </c>
      <c r="I3222" t="s">
        <v>217</v>
      </c>
      <c r="J3222">
        <v>1</v>
      </c>
      <c r="N3222">
        <f>Таблица1[[#This Row],[Часов на заказчика  в работе]]+Таблица1[[#This Row],[Часов на заказчика  дежурство]]</f>
        <v>0</v>
      </c>
      <c r="O32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2" s="9">
        <v>162000</v>
      </c>
      <c r="R3222" s="9"/>
      <c r="S3222" s="5">
        <v>1</v>
      </c>
      <c r="T32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табеле]])*S3222,0)</f>
        <v>0</v>
      </c>
      <c r="U3222" s="5">
        <f>IF(Таблица1[[#This Row],[ТТН]]&gt;0,Таблица1[[#This Row],[Ставка за ТТН]]*Таблица1[[#This Row],[ТТН]],0)</f>
        <v>0</v>
      </c>
    </row>
    <row r="3223" spans="1:22" x14ac:dyDescent="0.25">
      <c r="A3223" t="s">
        <v>84</v>
      </c>
      <c r="B3223" s="24">
        <v>29</v>
      </c>
      <c r="C3223" t="s">
        <v>193</v>
      </c>
      <c r="D3223" t="s">
        <v>12</v>
      </c>
      <c r="E3223" t="s">
        <v>215</v>
      </c>
      <c r="F3223" t="s">
        <v>66</v>
      </c>
      <c r="H3223" t="s">
        <v>44</v>
      </c>
      <c r="I3223" t="s">
        <v>217</v>
      </c>
      <c r="J3223">
        <v>1</v>
      </c>
      <c r="N3223">
        <f>Таблица1[[#This Row],[Часов на заказчика  в работе]]+Таблица1[[#This Row],[Часов на заказчика  дежурство]]</f>
        <v>0</v>
      </c>
      <c r="O32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3" s="9">
        <v>162000</v>
      </c>
      <c r="R3223" s="9"/>
      <c r="S3223" s="5">
        <v>1</v>
      </c>
      <c r="T32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табеле]])*S3223,0)</f>
        <v>0</v>
      </c>
      <c r="U3223" s="5">
        <f>IF(Таблица1[[#This Row],[ТТН]]&gt;0,Таблица1[[#This Row],[Ставка за ТТН]]*Таблица1[[#This Row],[ТТН]],0)</f>
        <v>0</v>
      </c>
    </row>
    <row r="3224" spans="1:22" x14ac:dyDescent="0.25">
      <c r="A3224" t="s">
        <v>84</v>
      </c>
      <c r="B3224" s="24">
        <v>30</v>
      </c>
      <c r="C3224" t="s">
        <v>194</v>
      </c>
      <c r="D3224" t="s">
        <v>12</v>
      </c>
      <c r="E3224" t="s">
        <v>215</v>
      </c>
      <c r="F3224" t="s">
        <v>66</v>
      </c>
      <c r="H3224" t="s">
        <v>44</v>
      </c>
      <c r="I3224" t="s">
        <v>217</v>
      </c>
      <c r="J3224">
        <v>1</v>
      </c>
      <c r="N3224">
        <f>Таблица1[[#This Row],[Часов на заказчика  в работе]]+Таблица1[[#This Row],[Часов на заказчика  дежурство]]</f>
        <v>0</v>
      </c>
      <c r="O32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4" s="9">
        <v>162000</v>
      </c>
      <c r="R3224" s="9"/>
      <c r="S3224" s="5">
        <v>1</v>
      </c>
      <c r="T32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табеле]])*S3224,0)</f>
        <v>0</v>
      </c>
      <c r="U3224" s="5">
        <f>IF(Таблица1[[#This Row],[ТТН]]&gt;0,Таблица1[[#This Row],[Ставка за ТТН]]*Таблица1[[#This Row],[ТТН]],0)</f>
        <v>0</v>
      </c>
    </row>
    <row r="3225" spans="1:22" x14ac:dyDescent="0.25">
      <c r="A3225" t="s">
        <v>84</v>
      </c>
      <c r="B3225" s="24">
        <v>1</v>
      </c>
      <c r="C3225" t="s">
        <v>194</v>
      </c>
      <c r="D3225" t="s">
        <v>12</v>
      </c>
      <c r="E3225" t="s">
        <v>215</v>
      </c>
      <c r="F3225" t="s">
        <v>66</v>
      </c>
      <c r="H3225" t="s">
        <v>10</v>
      </c>
      <c r="I3225" t="s">
        <v>219</v>
      </c>
      <c r="J3225">
        <v>11</v>
      </c>
      <c r="N3225">
        <f>Таблица1[[#This Row],[Часов на заказчика  в работе]]+Таблица1[[#This Row],[Часов на заказчика  дежурство]]</f>
        <v>0</v>
      </c>
      <c r="O32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5" s="9">
        <v>162000</v>
      </c>
      <c r="R3225" s="9"/>
      <c r="S3225" s="5">
        <v>1</v>
      </c>
      <c r="T32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табеле]])*S3225,0)</f>
        <v>5400</v>
      </c>
      <c r="U3225" s="5">
        <f>IF(Таблица1[[#This Row],[ТТН]]&gt;0,Таблица1[[#This Row],[Ставка за ТТН]]*Таблица1[[#This Row],[ТТН]],0)</f>
        <v>0</v>
      </c>
    </row>
    <row r="3226" spans="1:22" x14ac:dyDescent="0.25">
      <c r="A3226" t="s">
        <v>84</v>
      </c>
      <c r="B3226" s="24">
        <v>2</v>
      </c>
      <c r="C3226" t="s">
        <v>194</v>
      </c>
      <c r="D3226" t="s">
        <v>12</v>
      </c>
      <c r="E3226" t="s">
        <v>215</v>
      </c>
      <c r="F3226" t="s">
        <v>66</v>
      </c>
      <c r="H3226" t="s">
        <v>10</v>
      </c>
      <c r="I3226" t="s">
        <v>219</v>
      </c>
      <c r="J3226">
        <v>11</v>
      </c>
      <c r="N3226">
        <f>Таблица1[[#This Row],[Часов на заказчика  в работе]]+Таблица1[[#This Row],[Часов на заказчика  дежурство]]</f>
        <v>0</v>
      </c>
      <c r="O32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6" s="9">
        <v>162000</v>
      </c>
      <c r="R3226" s="9"/>
      <c r="S3226" s="5">
        <v>1</v>
      </c>
      <c r="T32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табеле]])*S3226,0)</f>
        <v>5400</v>
      </c>
      <c r="U3226" s="5">
        <f>IF(Таблица1[[#This Row],[ТТН]]&gt;0,Таблица1[[#This Row],[Ставка за ТТН]]*Таблица1[[#This Row],[ТТН]],0)</f>
        <v>0</v>
      </c>
    </row>
    <row r="3227" spans="1:22" x14ac:dyDescent="0.25">
      <c r="A3227" t="s">
        <v>84</v>
      </c>
      <c r="B3227" s="24">
        <v>3</v>
      </c>
      <c r="C3227" t="s">
        <v>194</v>
      </c>
      <c r="D3227" t="s">
        <v>12</v>
      </c>
      <c r="E3227" t="s">
        <v>215</v>
      </c>
      <c r="F3227" t="s">
        <v>66</v>
      </c>
      <c r="H3227" t="s">
        <v>10</v>
      </c>
      <c r="I3227" t="s">
        <v>219</v>
      </c>
      <c r="J3227">
        <v>11</v>
      </c>
      <c r="N3227">
        <f>Таблица1[[#This Row],[Часов на заказчика  в работе]]+Таблица1[[#This Row],[Часов на заказчика  дежурство]]</f>
        <v>0</v>
      </c>
      <c r="O32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7" s="9">
        <v>162000</v>
      </c>
      <c r="R3227" s="9"/>
      <c r="S3227" s="5">
        <v>1</v>
      </c>
      <c r="T32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табеле]])*S3227,0)</f>
        <v>5400</v>
      </c>
      <c r="U3227" s="5">
        <f>IF(Таблица1[[#This Row],[ТТН]]&gt;0,Таблица1[[#This Row],[Ставка за ТТН]]*Таблица1[[#This Row],[ТТН]],0)</f>
        <v>0</v>
      </c>
    </row>
    <row r="3228" spans="1:22" x14ac:dyDescent="0.25">
      <c r="A3228" t="s">
        <v>84</v>
      </c>
      <c r="B3228" s="24">
        <v>4</v>
      </c>
      <c r="C3228" t="s">
        <v>194</v>
      </c>
      <c r="D3228" t="s">
        <v>12</v>
      </c>
      <c r="E3228" t="s">
        <v>215</v>
      </c>
      <c r="F3228" t="s">
        <v>66</v>
      </c>
      <c r="H3228" t="s">
        <v>10</v>
      </c>
      <c r="I3228" t="s">
        <v>219</v>
      </c>
      <c r="J3228">
        <v>11</v>
      </c>
      <c r="K3228">
        <v>1</v>
      </c>
      <c r="N3228">
        <f>Таблица1[[#This Row],[Часов на заказчика  в работе]]+Таблица1[[#This Row],[Часов на заказчика  дежурство]]</f>
        <v>0</v>
      </c>
      <c r="O32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8" s="9">
        <v>162000</v>
      </c>
      <c r="R3228" s="9">
        <v>5000</v>
      </c>
      <c r="S3228" s="5">
        <v>1</v>
      </c>
      <c r="T32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табеле]])*S3228,0)</f>
        <v>5400</v>
      </c>
      <c r="U3228" s="5">
        <f>IF(Таблица1[[#This Row],[ТТН]]&gt;0,Таблица1[[#This Row],[Ставка за ТТН]]*Таблица1[[#This Row],[ТТН]],0)</f>
        <v>5000</v>
      </c>
      <c r="V3228" t="s">
        <v>67</v>
      </c>
    </row>
    <row r="3229" spans="1:22" x14ac:dyDescent="0.25">
      <c r="A3229" t="s">
        <v>84</v>
      </c>
      <c r="B3229" s="24">
        <v>5</v>
      </c>
      <c r="C3229" t="s">
        <v>194</v>
      </c>
      <c r="D3229" t="s">
        <v>12</v>
      </c>
      <c r="E3229" t="s">
        <v>215</v>
      </c>
      <c r="F3229" t="s">
        <v>66</v>
      </c>
      <c r="H3229" t="s">
        <v>10</v>
      </c>
      <c r="I3229" t="s">
        <v>219</v>
      </c>
      <c r="J3229">
        <v>22</v>
      </c>
      <c r="N3229">
        <f>Таблица1[[#This Row],[Часов на заказчика  в работе]]+Таблица1[[#This Row],[Часов на заказчика  дежурство]]</f>
        <v>0</v>
      </c>
      <c r="O32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29" s="9">
        <v>162000</v>
      </c>
      <c r="R3229" s="9"/>
      <c r="S3229" s="5">
        <v>1</v>
      </c>
      <c r="T32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табеле]])*S3229,0)</f>
        <v>10800</v>
      </c>
      <c r="U3229" s="5">
        <f>IF(Таблица1[[#This Row],[ТТН]]&gt;0,Таблица1[[#This Row],[Ставка за ТТН]]*Таблица1[[#This Row],[ТТН]],0)</f>
        <v>0</v>
      </c>
    </row>
    <row r="3230" spans="1:22" x14ac:dyDescent="0.25">
      <c r="A3230" t="s">
        <v>84</v>
      </c>
      <c r="B3230" s="24">
        <v>6</v>
      </c>
      <c r="C3230" t="s">
        <v>194</v>
      </c>
      <c r="D3230" t="s">
        <v>12</v>
      </c>
      <c r="E3230" t="s">
        <v>215</v>
      </c>
      <c r="F3230" t="s">
        <v>66</v>
      </c>
      <c r="H3230" t="s">
        <v>10</v>
      </c>
      <c r="I3230" t="s">
        <v>219</v>
      </c>
      <c r="J3230">
        <v>11</v>
      </c>
      <c r="N3230">
        <f>Таблица1[[#This Row],[Часов на заказчика  в работе]]+Таблица1[[#This Row],[Часов на заказчика  дежурство]]</f>
        <v>0</v>
      </c>
      <c r="O32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0" s="9">
        <v>162000</v>
      </c>
      <c r="R3230" s="9"/>
      <c r="S3230" s="5">
        <v>1</v>
      </c>
      <c r="T32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табеле]])*S3230,0)</f>
        <v>5400</v>
      </c>
      <c r="U3230" s="5">
        <f>IF(Таблица1[[#This Row],[ТТН]]&gt;0,Таблица1[[#This Row],[Ставка за ТТН]]*Таблица1[[#This Row],[ТТН]],0)</f>
        <v>0</v>
      </c>
    </row>
    <row r="3231" spans="1:22" x14ac:dyDescent="0.25">
      <c r="A3231" t="s">
        <v>84</v>
      </c>
      <c r="B3231" s="24">
        <v>7</v>
      </c>
      <c r="C3231" t="s">
        <v>194</v>
      </c>
      <c r="D3231" t="s">
        <v>12</v>
      </c>
      <c r="E3231" t="s">
        <v>215</v>
      </c>
      <c r="F3231" t="s">
        <v>66</v>
      </c>
      <c r="H3231" t="s">
        <v>10</v>
      </c>
      <c r="I3231" t="s">
        <v>219</v>
      </c>
      <c r="J3231">
        <v>11</v>
      </c>
      <c r="N3231">
        <f>Таблица1[[#This Row],[Часов на заказчика  в работе]]+Таблица1[[#This Row],[Часов на заказчика  дежурство]]</f>
        <v>0</v>
      </c>
      <c r="O32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1" s="9">
        <v>162000</v>
      </c>
      <c r="R3231" s="9"/>
      <c r="S3231" s="5">
        <v>1</v>
      </c>
      <c r="T32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табеле]])*S3231,0)</f>
        <v>5400</v>
      </c>
      <c r="U3231" s="5">
        <f>IF(Таблица1[[#This Row],[ТТН]]&gt;0,Таблица1[[#This Row],[Ставка за ТТН]]*Таблица1[[#This Row],[ТТН]],0)</f>
        <v>0</v>
      </c>
    </row>
    <row r="3232" spans="1:22" x14ac:dyDescent="0.25">
      <c r="A3232" t="s">
        <v>84</v>
      </c>
      <c r="B3232" s="24">
        <v>8</v>
      </c>
      <c r="C3232" t="s">
        <v>194</v>
      </c>
      <c r="D3232" t="s">
        <v>12</v>
      </c>
      <c r="E3232" t="s">
        <v>215</v>
      </c>
      <c r="F3232" t="s">
        <v>66</v>
      </c>
      <c r="H3232" t="s">
        <v>10</v>
      </c>
      <c r="I3232" t="s">
        <v>219</v>
      </c>
      <c r="J3232">
        <v>11</v>
      </c>
      <c r="N3232">
        <f>Таблица1[[#This Row],[Часов на заказчика  в работе]]+Таблица1[[#This Row],[Часов на заказчика  дежурство]]</f>
        <v>0</v>
      </c>
      <c r="O32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2" s="9">
        <v>162000</v>
      </c>
      <c r="R3232" s="9"/>
      <c r="S3232" s="5">
        <v>1</v>
      </c>
      <c r="T32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табеле]])*S3232,0)</f>
        <v>5400</v>
      </c>
      <c r="U3232" s="5">
        <f>IF(Таблица1[[#This Row],[ТТН]]&gt;0,Таблица1[[#This Row],[Ставка за ТТН]]*Таблица1[[#This Row],[ТТН]],0)</f>
        <v>0</v>
      </c>
    </row>
    <row r="3233" spans="1:22" x14ac:dyDescent="0.25">
      <c r="A3233" t="s">
        <v>84</v>
      </c>
      <c r="B3233" s="24">
        <v>9</v>
      </c>
      <c r="C3233" t="s">
        <v>194</v>
      </c>
      <c r="D3233" t="s">
        <v>12</v>
      </c>
      <c r="E3233" t="s">
        <v>215</v>
      </c>
      <c r="F3233" t="s">
        <v>66</v>
      </c>
      <c r="H3233" t="s">
        <v>10</v>
      </c>
      <c r="I3233" t="s">
        <v>219</v>
      </c>
      <c r="J3233">
        <v>11</v>
      </c>
      <c r="K3233">
        <v>1</v>
      </c>
      <c r="N3233">
        <f>Таблица1[[#This Row],[Часов на заказчика  в работе]]+Таблица1[[#This Row],[Часов на заказчика  дежурство]]</f>
        <v>0</v>
      </c>
      <c r="O32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3" s="9">
        <v>162000</v>
      </c>
      <c r="R3233" s="9">
        <v>2000</v>
      </c>
      <c r="S3233" s="5">
        <v>1</v>
      </c>
      <c r="T32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табеле]])*S3233,0)</f>
        <v>5400</v>
      </c>
      <c r="U3233" s="5">
        <f>IF(Таблица1[[#This Row],[ТТН]]&gt;0,Таблица1[[#This Row],[Ставка за ТТН]]*Таблица1[[#This Row],[ТТН]],0)</f>
        <v>2000</v>
      </c>
    </row>
    <row r="3234" spans="1:22" x14ac:dyDescent="0.25">
      <c r="A3234" t="s">
        <v>84</v>
      </c>
      <c r="B3234" s="24">
        <v>10</v>
      </c>
      <c r="C3234" t="s">
        <v>194</v>
      </c>
      <c r="D3234" t="s">
        <v>12</v>
      </c>
      <c r="E3234" t="s">
        <v>215</v>
      </c>
      <c r="F3234" t="s">
        <v>66</v>
      </c>
      <c r="H3234" t="s">
        <v>10</v>
      </c>
      <c r="I3234" t="s">
        <v>219</v>
      </c>
      <c r="J3234">
        <v>11</v>
      </c>
      <c r="K3234">
        <v>1</v>
      </c>
      <c r="N3234">
        <f>Таблица1[[#This Row],[Часов на заказчика  в работе]]+Таблица1[[#This Row],[Часов на заказчика  дежурство]]</f>
        <v>0</v>
      </c>
      <c r="O32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4" s="9">
        <v>162000</v>
      </c>
      <c r="R3234" s="9">
        <v>5000</v>
      </c>
      <c r="S3234" s="5">
        <v>1</v>
      </c>
      <c r="T32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табеле]])*S3234,0)</f>
        <v>5400</v>
      </c>
      <c r="U3234" s="5">
        <f>IF(Таблица1[[#This Row],[ТТН]]&gt;0,Таблица1[[#This Row],[Ставка за ТТН]]*Таблица1[[#This Row],[ТТН]],0)</f>
        <v>5000</v>
      </c>
      <c r="V3234" t="s">
        <v>100</v>
      </c>
    </row>
    <row r="3235" spans="1:22" x14ac:dyDescent="0.25">
      <c r="A3235" t="s">
        <v>84</v>
      </c>
      <c r="B3235" s="24">
        <v>11</v>
      </c>
      <c r="C3235" t="s">
        <v>194</v>
      </c>
      <c r="D3235" t="s">
        <v>12</v>
      </c>
      <c r="E3235" t="s">
        <v>215</v>
      </c>
      <c r="F3235" t="s">
        <v>66</v>
      </c>
      <c r="H3235" t="s">
        <v>10</v>
      </c>
      <c r="I3235" t="s">
        <v>219</v>
      </c>
      <c r="J3235">
        <v>22</v>
      </c>
      <c r="N3235">
        <f>Таблица1[[#This Row],[Часов на заказчика  в работе]]+Таблица1[[#This Row],[Часов на заказчика  дежурство]]</f>
        <v>0</v>
      </c>
      <c r="O32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5" s="9">
        <v>162000</v>
      </c>
      <c r="R3235" s="9"/>
      <c r="S3235" s="5">
        <v>1</v>
      </c>
      <c r="T32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табеле]])*S3235,0)</f>
        <v>10800</v>
      </c>
      <c r="U3235" s="5">
        <f>IF(Таблица1[[#This Row],[ТТН]]&gt;0,Таблица1[[#This Row],[Ставка за ТТН]]*Таблица1[[#This Row],[ТТН]],0)</f>
        <v>0</v>
      </c>
    </row>
    <row r="3236" spans="1:22" x14ac:dyDescent="0.25">
      <c r="A3236" t="s">
        <v>84</v>
      </c>
      <c r="B3236" s="24">
        <v>12</v>
      </c>
      <c r="C3236" t="s">
        <v>194</v>
      </c>
      <c r="D3236" t="s">
        <v>12</v>
      </c>
      <c r="E3236" t="s">
        <v>215</v>
      </c>
      <c r="F3236" t="s">
        <v>66</v>
      </c>
      <c r="H3236" t="s">
        <v>10</v>
      </c>
      <c r="I3236" t="s">
        <v>219</v>
      </c>
      <c r="J3236">
        <v>11</v>
      </c>
      <c r="N3236">
        <f>Таблица1[[#This Row],[Часов на заказчика  в работе]]+Таблица1[[#This Row],[Часов на заказчика  дежурство]]</f>
        <v>0</v>
      </c>
      <c r="O32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6" s="9">
        <v>162000</v>
      </c>
      <c r="R3236" s="9"/>
      <c r="S3236" s="5">
        <v>1</v>
      </c>
      <c r="T32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табеле]])*S3236,0)</f>
        <v>5400</v>
      </c>
      <c r="U3236" s="5">
        <f>IF(Таблица1[[#This Row],[ТТН]]&gt;0,Таблица1[[#This Row],[Ставка за ТТН]]*Таблица1[[#This Row],[ТТН]],0)</f>
        <v>0</v>
      </c>
    </row>
    <row r="3237" spans="1:22" x14ac:dyDescent="0.25">
      <c r="A3237" t="s">
        <v>84</v>
      </c>
      <c r="B3237" s="24">
        <v>13</v>
      </c>
      <c r="C3237" t="s">
        <v>194</v>
      </c>
      <c r="D3237" t="s">
        <v>12</v>
      </c>
      <c r="E3237" t="s">
        <v>215</v>
      </c>
      <c r="F3237" t="s">
        <v>66</v>
      </c>
      <c r="H3237" t="s">
        <v>10</v>
      </c>
      <c r="I3237" t="s">
        <v>219</v>
      </c>
      <c r="J3237">
        <v>11</v>
      </c>
      <c r="K3237">
        <v>1</v>
      </c>
      <c r="N3237">
        <f>Таблица1[[#This Row],[Часов на заказчика  в работе]]+Таблица1[[#This Row],[Часов на заказчика  дежурство]]</f>
        <v>0</v>
      </c>
      <c r="O32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7" s="9">
        <v>162000</v>
      </c>
      <c r="R3237" s="9">
        <v>5000</v>
      </c>
      <c r="S3237" s="5">
        <v>1</v>
      </c>
      <c r="T32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табеле]])*S3237,0)</f>
        <v>5400</v>
      </c>
      <c r="U3237" s="5">
        <f>IF(Таблица1[[#This Row],[ТТН]]&gt;0,Таблица1[[#This Row],[Ставка за ТТН]]*Таблица1[[#This Row],[ТТН]],0)</f>
        <v>5000</v>
      </c>
      <c r="V3237" t="s">
        <v>80</v>
      </c>
    </row>
    <row r="3238" spans="1:22" x14ac:dyDescent="0.25">
      <c r="A3238" t="s">
        <v>84</v>
      </c>
      <c r="B3238" s="24">
        <v>14</v>
      </c>
      <c r="C3238" t="s">
        <v>194</v>
      </c>
      <c r="D3238" t="s">
        <v>12</v>
      </c>
      <c r="E3238" t="s">
        <v>215</v>
      </c>
      <c r="F3238" t="s">
        <v>66</v>
      </c>
      <c r="H3238" t="s">
        <v>10</v>
      </c>
      <c r="I3238" t="s">
        <v>219</v>
      </c>
      <c r="J3238">
        <v>22</v>
      </c>
      <c r="N3238">
        <f>Таблица1[[#This Row],[Часов на заказчика  в работе]]+Таблица1[[#This Row],[Часов на заказчика  дежурство]]</f>
        <v>0</v>
      </c>
      <c r="O32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8" s="9">
        <v>162000</v>
      </c>
      <c r="R3238" s="9"/>
      <c r="S3238" s="5">
        <v>1</v>
      </c>
      <c r="T32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табеле]])*S3238,0)</f>
        <v>10800</v>
      </c>
      <c r="U3238" s="5">
        <f>IF(Таблица1[[#This Row],[ТТН]]&gt;0,Таблица1[[#This Row],[Ставка за ТТН]]*Таблица1[[#This Row],[ТТН]],0)</f>
        <v>0</v>
      </c>
    </row>
    <row r="3239" spans="1:22" x14ac:dyDescent="0.25">
      <c r="A3239" t="s">
        <v>84</v>
      </c>
      <c r="B3239" s="24">
        <v>15</v>
      </c>
      <c r="C3239" t="s">
        <v>194</v>
      </c>
      <c r="D3239" t="s">
        <v>12</v>
      </c>
      <c r="E3239" t="s">
        <v>215</v>
      </c>
      <c r="F3239" t="s">
        <v>66</v>
      </c>
      <c r="H3239" t="s">
        <v>10</v>
      </c>
      <c r="I3239" t="s">
        <v>219</v>
      </c>
      <c r="J3239">
        <v>11</v>
      </c>
      <c r="N3239">
        <f>Таблица1[[#This Row],[Часов на заказчика  в работе]]+Таблица1[[#This Row],[Часов на заказчика  дежурство]]</f>
        <v>0</v>
      </c>
      <c r="O32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39" s="9">
        <v>162000</v>
      </c>
      <c r="R3239" s="9"/>
      <c r="S3239" s="5">
        <v>1</v>
      </c>
      <c r="T32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табеле]])*S3239,0)</f>
        <v>5400</v>
      </c>
      <c r="U3239" s="5">
        <f>IF(Таблица1[[#This Row],[ТТН]]&gt;0,Таблица1[[#This Row],[Ставка за ТТН]]*Таблица1[[#This Row],[ТТН]],0)</f>
        <v>0</v>
      </c>
    </row>
    <row r="3240" spans="1:22" x14ac:dyDescent="0.25">
      <c r="A3240" t="s">
        <v>84</v>
      </c>
      <c r="B3240" s="24">
        <v>16</v>
      </c>
      <c r="C3240" t="s">
        <v>194</v>
      </c>
      <c r="D3240" t="s">
        <v>12</v>
      </c>
      <c r="E3240" t="s">
        <v>215</v>
      </c>
      <c r="F3240" t="s">
        <v>66</v>
      </c>
      <c r="H3240" t="s">
        <v>10</v>
      </c>
      <c r="I3240" t="s">
        <v>219</v>
      </c>
      <c r="J3240">
        <v>11</v>
      </c>
      <c r="K3240">
        <v>1</v>
      </c>
      <c r="N3240">
        <f>Таблица1[[#This Row],[Часов на заказчика  в работе]]+Таблица1[[#This Row],[Часов на заказчика  дежурство]]</f>
        <v>0</v>
      </c>
      <c r="O32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0" s="9">
        <v>162000</v>
      </c>
      <c r="R3240" s="9">
        <v>2000</v>
      </c>
      <c r="S3240" s="5">
        <v>1</v>
      </c>
      <c r="T32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табеле]])*S3240,0)</f>
        <v>5400</v>
      </c>
      <c r="U3240" s="5">
        <f>IF(Таблица1[[#This Row],[ТТН]]&gt;0,Таблица1[[#This Row],[Ставка за ТТН]]*Таблица1[[#This Row],[ТТН]],0)</f>
        <v>2000</v>
      </c>
    </row>
    <row r="3241" spans="1:22" x14ac:dyDescent="0.25">
      <c r="A3241" t="s">
        <v>84</v>
      </c>
      <c r="B3241" s="24">
        <v>17</v>
      </c>
      <c r="C3241" t="s">
        <v>194</v>
      </c>
      <c r="D3241" t="s">
        <v>12</v>
      </c>
      <c r="E3241" t="s">
        <v>215</v>
      </c>
      <c r="F3241" t="s">
        <v>66</v>
      </c>
      <c r="H3241" t="s">
        <v>10</v>
      </c>
      <c r="I3241" t="s">
        <v>219</v>
      </c>
      <c r="J3241">
        <v>22</v>
      </c>
      <c r="N3241">
        <f>Таблица1[[#This Row],[Часов на заказчика  в работе]]+Таблица1[[#This Row],[Часов на заказчика  дежурство]]</f>
        <v>0</v>
      </c>
      <c r="O32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1" s="9">
        <v>162000</v>
      </c>
      <c r="R3241" s="9"/>
      <c r="S3241" s="5">
        <v>1</v>
      </c>
      <c r="T32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табеле]])*S3241,0)</f>
        <v>10800</v>
      </c>
      <c r="U3241" s="5">
        <f>IF(Таблица1[[#This Row],[ТТН]]&gt;0,Таблица1[[#This Row],[Ставка за ТТН]]*Таблица1[[#This Row],[ТТН]],0)</f>
        <v>0</v>
      </c>
    </row>
    <row r="3242" spans="1:22" x14ac:dyDescent="0.25">
      <c r="A3242" t="s">
        <v>84</v>
      </c>
      <c r="B3242" s="24">
        <v>18</v>
      </c>
      <c r="C3242" t="s">
        <v>194</v>
      </c>
      <c r="D3242" t="s">
        <v>12</v>
      </c>
      <c r="E3242" t="s">
        <v>215</v>
      </c>
      <c r="F3242" t="s">
        <v>66</v>
      </c>
      <c r="H3242" t="s">
        <v>10</v>
      </c>
      <c r="I3242" t="s">
        <v>219</v>
      </c>
      <c r="J3242">
        <v>11</v>
      </c>
      <c r="N3242">
        <f>Таблица1[[#This Row],[Часов на заказчика  в работе]]+Таблица1[[#This Row],[Часов на заказчика  дежурство]]</f>
        <v>0</v>
      </c>
      <c r="O32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2" s="9">
        <v>162000</v>
      </c>
      <c r="R3242" s="9"/>
      <c r="S3242" s="5">
        <v>1</v>
      </c>
      <c r="T32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табеле]])*S3242,0)</f>
        <v>5400</v>
      </c>
      <c r="U3242" s="5">
        <f>IF(Таблица1[[#This Row],[ТТН]]&gt;0,Таблица1[[#This Row],[Ставка за ТТН]]*Таблица1[[#This Row],[ТТН]],0)</f>
        <v>0</v>
      </c>
    </row>
    <row r="3243" spans="1:22" x14ac:dyDescent="0.25">
      <c r="A3243" t="s">
        <v>84</v>
      </c>
      <c r="B3243" s="24">
        <v>19</v>
      </c>
      <c r="C3243" t="s">
        <v>194</v>
      </c>
      <c r="D3243" t="s">
        <v>12</v>
      </c>
      <c r="E3243" t="s">
        <v>215</v>
      </c>
      <c r="F3243" t="s">
        <v>66</v>
      </c>
      <c r="H3243" t="s">
        <v>30</v>
      </c>
      <c r="I3243" t="s">
        <v>217</v>
      </c>
      <c r="J3243">
        <v>1</v>
      </c>
      <c r="N3243">
        <f>Таблица1[[#This Row],[Часов на заказчика  в работе]]+Таблица1[[#This Row],[Часов на заказчика  дежурство]]</f>
        <v>0</v>
      </c>
      <c r="O32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3" s="9">
        <v>162000</v>
      </c>
      <c r="R3243" s="9"/>
      <c r="S3243" s="5">
        <v>1</v>
      </c>
      <c r="T32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табеле]])*S3243,0)</f>
        <v>0</v>
      </c>
      <c r="U3243" s="5">
        <f>IF(Таблица1[[#This Row],[ТТН]]&gt;0,Таблица1[[#This Row],[Ставка за ТТН]]*Таблица1[[#This Row],[ТТН]],0)</f>
        <v>0</v>
      </c>
    </row>
    <row r="3244" spans="1:22" x14ac:dyDescent="0.25">
      <c r="A3244" t="s">
        <v>84</v>
      </c>
      <c r="B3244" s="24">
        <v>20</v>
      </c>
      <c r="C3244" t="s">
        <v>194</v>
      </c>
      <c r="D3244" t="s">
        <v>12</v>
      </c>
      <c r="E3244" t="s">
        <v>215</v>
      </c>
      <c r="F3244" t="s">
        <v>66</v>
      </c>
      <c r="H3244" t="s">
        <v>30</v>
      </c>
      <c r="I3244" t="s">
        <v>217</v>
      </c>
      <c r="J3244">
        <v>1</v>
      </c>
      <c r="N3244">
        <f>Таблица1[[#This Row],[Часов на заказчика  в работе]]+Таблица1[[#This Row],[Часов на заказчика  дежурство]]</f>
        <v>0</v>
      </c>
      <c r="O32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4" s="9">
        <v>162000</v>
      </c>
      <c r="R3244" s="9"/>
      <c r="S3244" s="5">
        <v>1</v>
      </c>
      <c r="T32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табеле]])*S3244,0)</f>
        <v>0</v>
      </c>
      <c r="U3244" s="5">
        <f>IF(Таблица1[[#This Row],[ТТН]]&gt;0,Таблица1[[#This Row],[Ставка за ТТН]]*Таблица1[[#This Row],[ТТН]],0)</f>
        <v>0</v>
      </c>
    </row>
    <row r="3245" spans="1:22" x14ac:dyDescent="0.25">
      <c r="A3245" t="s">
        <v>84</v>
      </c>
      <c r="B3245" s="24">
        <v>21</v>
      </c>
      <c r="C3245" t="s">
        <v>194</v>
      </c>
      <c r="D3245" t="s">
        <v>12</v>
      </c>
      <c r="E3245" t="s">
        <v>215</v>
      </c>
      <c r="F3245" t="s">
        <v>66</v>
      </c>
      <c r="H3245" t="s">
        <v>30</v>
      </c>
      <c r="I3245" t="s">
        <v>217</v>
      </c>
      <c r="J3245">
        <v>1</v>
      </c>
      <c r="N3245">
        <f>Таблица1[[#This Row],[Часов на заказчика  в работе]]+Таблица1[[#This Row],[Часов на заказчика  дежурство]]</f>
        <v>0</v>
      </c>
      <c r="O32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5" s="9">
        <v>162000</v>
      </c>
      <c r="R3245" s="9"/>
      <c r="S3245" s="5">
        <v>1</v>
      </c>
      <c r="T32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табеле]])*S3245,0)</f>
        <v>0</v>
      </c>
      <c r="U3245" s="5">
        <f>IF(Таблица1[[#This Row],[ТТН]]&gt;0,Таблица1[[#This Row],[Ставка за ТТН]]*Таблица1[[#This Row],[ТТН]],0)</f>
        <v>0</v>
      </c>
    </row>
    <row r="3246" spans="1:22" x14ac:dyDescent="0.25">
      <c r="A3246" t="s">
        <v>84</v>
      </c>
      <c r="B3246" s="24">
        <v>22</v>
      </c>
      <c r="C3246" t="s">
        <v>194</v>
      </c>
      <c r="D3246" t="s">
        <v>12</v>
      </c>
      <c r="E3246" t="s">
        <v>215</v>
      </c>
      <c r="F3246" t="s">
        <v>66</v>
      </c>
      <c r="H3246" t="s">
        <v>30</v>
      </c>
      <c r="I3246" t="s">
        <v>217</v>
      </c>
      <c r="J3246">
        <v>1</v>
      </c>
      <c r="N3246">
        <f>Таблица1[[#This Row],[Часов на заказчика  в работе]]+Таблица1[[#This Row],[Часов на заказчика  дежурство]]</f>
        <v>0</v>
      </c>
      <c r="O32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6" s="9">
        <v>162000</v>
      </c>
      <c r="R3246" s="9"/>
      <c r="S3246" s="5">
        <v>1</v>
      </c>
      <c r="T32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табеле]])*S3246,0)</f>
        <v>0</v>
      </c>
      <c r="U3246" s="5">
        <f>IF(Таблица1[[#This Row],[ТТН]]&gt;0,Таблица1[[#This Row],[Ставка за ТТН]]*Таблица1[[#This Row],[ТТН]],0)</f>
        <v>0</v>
      </c>
    </row>
    <row r="3247" spans="1:22" x14ac:dyDescent="0.25">
      <c r="A3247" t="s">
        <v>84</v>
      </c>
      <c r="B3247" s="24">
        <v>23</v>
      </c>
      <c r="C3247" t="s">
        <v>194</v>
      </c>
      <c r="D3247" t="s">
        <v>12</v>
      </c>
      <c r="E3247" t="s">
        <v>215</v>
      </c>
      <c r="F3247" t="s">
        <v>66</v>
      </c>
      <c r="H3247" t="s">
        <v>30</v>
      </c>
      <c r="I3247" t="s">
        <v>217</v>
      </c>
      <c r="J3247">
        <v>1</v>
      </c>
      <c r="N3247">
        <f>Таблица1[[#This Row],[Часов на заказчика  в работе]]+Таблица1[[#This Row],[Часов на заказчика  дежурство]]</f>
        <v>0</v>
      </c>
      <c r="O32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7" s="9">
        <v>162000</v>
      </c>
      <c r="R3247" s="9"/>
      <c r="S3247" s="5">
        <v>1</v>
      </c>
      <c r="T32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табеле]])*S3247,0)</f>
        <v>0</v>
      </c>
      <c r="U3247" s="5">
        <f>IF(Таблица1[[#This Row],[ТТН]]&gt;0,Таблица1[[#This Row],[Ставка за ТТН]]*Таблица1[[#This Row],[ТТН]],0)</f>
        <v>0</v>
      </c>
    </row>
    <row r="3248" spans="1:22" x14ac:dyDescent="0.25">
      <c r="A3248" t="s">
        <v>84</v>
      </c>
      <c r="B3248" s="24">
        <v>24</v>
      </c>
      <c r="C3248" t="s">
        <v>194</v>
      </c>
      <c r="D3248" t="s">
        <v>12</v>
      </c>
      <c r="E3248" t="s">
        <v>215</v>
      </c>
      <c r="F3248" t="s">
        <v>66</v>
      </c>
      <c r="H3248" t="s">
        <v>30</v>
      </c>
      <c r="I3248" t="s">
        <v>217</v>
      </c>
      <c r="J3248">
        <v>1</v>
      </c>
      <c r="N3248">
        <f>Таблица1[[#This Row],[Часов на заказчика  в работе]]+Таблица1[[#This Row],[Часов на заказчика  дежурство]]</f>
        <v>0</v>
      </c>
      <c r="O32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8" s="9">
        <v>162000</v>
      </c>
      <c r="R3248" s="9"/>
      <c r="S3248" s="5">
        <v>1</v>
      </c>
      <c r="T32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табеле]])*S3248,0)</f>
        <v>0</v>
      </c>
      <c r="U3248" s="5">
        <f>IF(Таблица1[[#This Row],[ТТН]]&gt;0,Таблица1[[#This Row],[Ставка за ТТН]]*Таблица1[[#This Row],[ТТН]],0)</f>
        <v>0</v>
      </c>
    </row>
    <row r="3249" spans="1:22" x14ac:dyDescent="0.25">
      <c r="A3249" t="s">
        <v>84</v>
      </c>
      <c r="B3249" s="24">
        <v>25</v>
      </c>
      <c r="C3249" t="s">
        <v>194</v>
      </c>
      <c r="D3249" t="s">
        <v>12</v>
      </c>
      <c r="E3249" t="s">
        <v>215</v>
      </c>
      <c r="F3249" t="s">
        <v>66</v>
      </c>
      <c r="H3249" t="s">
        <v>10</v>
      </c>
      <c r="I3249" t="s">
        <v>217</v>
      </c>
      <c r="J3249">
        <v>11</v>
      </c>
      <c r="N3249">
        <f>Таблица1[[#This Row],[Часов на заказчика  в работе]]+Таблица1[[#This Row],[Часов на заказчика  дежурство]]</f>
        <v>0</v>
      </c>
      <c r="O32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49" s="9">
        <v>162000</v>
      </c>
      <c r="R3249" s="9"/>
      <c r="S3249" s="5">
        <v>1</v>
      </c>
      <c r="T32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табеле]])*S3249,0)</f>
        <v>5400</v>
      </c>
      <c r="U3249" s="5">
        <f>IF(Таблица1[[#This Row],[ТТН]]&gt;0,Таблица1[[#This Row],[Ставка за ТТН]]*Таблица1[[#This Row],[ТТН]],0)</f>
        <v>0</v>
      </c>
    </row>
    <row r="3250" spans="1:22" x14ac:dyDescent="0.25">
      <c r="A3250" t="s">
        <v>84</v>
      </c>
      <c r="B3250" s="24">
        <v>26</v>
      </c>
      <c r="C3250" t="s">
        <v>194</v>
      </c>
      <c r="D3250" t="s">
        <v>12</v>
      </c>
      <c r="E3250" t="s">
        <v>215</v>
      </c>
      <c r="F3250" t="s">
        <v>66</v>
      </c>
      <c r="H3250" t="s">
        <v>10</v>
      </c>
      <c r="I3250" t="s">
        <v>217</v>
      </c>
      <c r="J3250">
        <v>11</v>
      </c>
      <c r="N3250">
        <f>Таблица1[[#This Row],[Часов на заказчика  в работе]]+Таблица1[[#This Row],[Часов на заказчика  дежурство]]</f>
        <v>0</v>
      </c>
      <c r="O32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0" s="9">
        <v>162000</v>
      </c>
      <c r="R3250" s="9"/>
      <c r="S3250" s="5">
        <v>1</v>
      </c>
      <c r="T32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табеле]])*S3250,0)</f>
        <v>5400</v>
      </c>
      <c r="U3250" s="5">
        <f>IF(Таблица1[[#This Row],[ТТН]]&gt;0,Таблица1[[#This Row],[Ставка за ТТН]]*Таблица1[[#This Row],[ТТН]],0)</f>
        <v>0</v>
      </c>
    </row>
    <row r="3251" spans="1:22" x14ac:dyDescent="0.25">
      <c r="A3251" t="s">
        <v>84</v>
      </c>
      <c r="B3251" s="24">
        <v>27</v>
      </c>
      <c r="C3251" t="s">
        <v>194</v>
      </c>
      <c r="D3251" t="s">
        <v>12</v>
      </c>
      <c r="E3251" t="s">
        <v>215</v>
      </c>
      <c r="F3251" t="s">
        <v>66</v>
      </c>
      <c r="H3251" t="s">
        <v>10</v>
      </c>
      <c r="I3251" t="s">
        <v>217</v>
      </c>
      <c r="J3251">
        <v>11</v>
      </c>
      <c r="N3251">
        <f>Таблица1[[#This Row],[Часов на заказчика  в работе]]+Таблица1[[#This Row],[Часов на заказчика  дежурство]]</f>
        <v>0</v>
      </c>
      <c r="O32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1" s="9">
        <v>162000</v>
      </c>
      <c r="R3251" s="9"/>
      <c r="S3251" s="5">
        <v>1</v>
      </c>
      <c r="T32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табеле]])*S3251,0)</f>
        <v>5400</v>
      </c>
      <c r="U3251" s="5">
        <f>IF(Таблица1[[#This Row],[ТТН]]&gt;0,Таблица1[[#This Row],[Ставка за ТТН]]*Таблица1[[#This Row],[ТТН]],0)</f>
        <v>0</v>
      </c>
    </row>
    <row r="3252" spans="1:22" x14ac:dyDescent="0.25">
      <c r="A3252" t="s">
        <v>84</v>
      </c>
      <c r="B3252" s="24">
        <v>28</v>
      </c>
      <c r="C3252" t="s">
        <v>194</v>
      </c>
      <c r="D3252" t="s">
        <v>12</v>
      </c>
      <c r="E3252" t="s">
        <v>215</v>
      </c>
      <c r="F3252" t="s">
        <v>66</v>
      </c>
      <c r="H3252" t="s">
        <v>10</v>
      </c>
      <c r="I3252" t="s">
        <v>217</v>
      </c>
      <c r="J3252">
        <v>11</v>
      </c>
      <c r="N3252">
        <f>Таблица1[[#This Row],[Часов на заказчика  в работе]]+Таблица1[[#This Row],[Часов на заказчика  дежурство]]</f>
        <v>0</v>
      </c>
      <c r="O32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2" s="9">
        <v>162000</v>
      </c>
      <c r="R3252" s="9"/>
      <c r="S3252" s="5">
        <v>1</v>
      </c>
      <c r="T32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табеле]])*S3252,0)</f>
        <v>5400</v>
      </c>
      <c r="U3252" s="5">
        <f>IF(Таблица1[[#This Row],[ТТН]]&gt;0,Таблица1[[#This Row],[Ставка за ТТН]]*Таблица1[[#This Row],[ТТН]],0)</f>
        <v>0</v>
      </c>
    </row>
    <row r="3253" spans="1:22" x14ac:dyDescent="0.25">
      <c r="A3253" t="s">
        <v>84</v>
      </c>
      <c r="B3253" s="24">
        <v>29</v>
      </c>
      <c r="C3253" t="s">
        <v>194</v>
      </c>
      <c r="D3253" t="s">
        <v>12</v>
      </c>
      <c r="E3253" t="s">
        <v>215</v>
      </c>
      <c r="F3253" t="s">
        <v>66</v>
      </c>
      <c r="H3253" t="s">
        <v>24</v>
      </c>
      <c r="I3253" t="s">
        <v>217</v>
      </c>
      <c r="J3253">
        <v>8</v>
      </c>
      <c r="N3253">
        <f>Таблица1[[#This Row],[Часов на заказчика  в работе]]+Таблица1[[#This Row],[Часов на заказчика  дежурство]]</f>
        <v>0</v>
      </c>
      <c r="O32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3" s="9">
        <v>162000</v>
      </c>
      <c r="R3253" s="9"/>
      <c r="S3253" s="5">
        <v>1</v>
      </c>
      <c r="T32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табеле]])*S3253,0)</f>
        <v>0</v>
      </c>
      <c r="U3253" s="5">
        <f>IF(Таблица1[[#This Row],[ТТН]]&gt;0,Таблица1[[#This Row],[Ставка за ТТН]]*Таблица1[[#This Row],[ТТН]],0)</f>
        <v>0</v>
      </c>
    </row>
    <row r="3254" spans="1:22" x14ac:dyDescent="0.25">
      <c r="A3254" t="s">
        <v>84</v>
      </c>
      <c r="B3254" s="24">
        <v>30</v>
      </c>
      <c r="C3254" t="s">
        <v>149</v>
      </c>
      <c r="D3254" t="s">
        <v>12</v>
      </c>
      <c r="E3254" t="s">
        <v>215</v>
      </c>
      <c r="F3254" t="s">
        <v>66</v>
      </c>
      <c r="H3254" t="s">
        <v>24</v>
      </c>
      <c r="I3254" t="s">
        <v>217</v>
      </c>
      <c r="J3254">
        <v>8</v>
      </c>
      <c r="N3254">
        <f>Таблица1[[#This Row],[Часов на заказчика  в работе]]+Таблица1[[#This Row],[Часов на заказчика  дежурство]]</f>
        <v>0</v>
      </c>
      <c r="O32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4" s="9">
        <v>162000</v>
      </c>
      <c r="R3254" s="9"/>
      <c r="S3254" s="5">
        <v>1</v>
      </c>
      <c r="T32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табеле]])*S3254,0)</f>
        <v>0</v>
      </c>
      <c r="U3254" s="5">
        <f>IF(Таблица1[[#This Row],[ТТН]]&gt;0,Таблица1[[#This Row],[Ставка за ТТН]]*Таблица1[[#This Row],[ТТН]],0)</f>
        <v>0</v>
      </c>
    </row>
    <row r="3255" spans="1:22" x14ac:dyDescent="0.25">
      <c r="A3255" t="s">
        <v>84</v>
      </c>
      <c r="B3255" s="24">
        <v>1</v>
      </c>
      <c r="C3255" t="s">
        <v>149</v>
      </c>
      <c r="D3255" t="s">
        <v>12</v>
      </c>
      <c r="E3255" t="s">
        <v>215</v>
      </c>
      <c r="F3255" t="s">
        <v>66</v>
      </c>
      <c r="H3255" t="s">
        <v>10</v>
      </c>
      <c r="I3255" t="s">
        <v>219</v>
      </c>
      <c r="J3255">
        <v>11</v>
      </c>
      <c r="K3255">
        <v>1</v>
      </c>
      <c r="N3255">
        <f>Таблица1[[#This Row],[Часов на заказчика  в работе]]+Таблица1[[#This Row],[Часов на заказчика  дежурство]]</f>
        <v>0</v>
      </c>
      <c r="O32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5" s="9">
        <v>162000</v>
      </c>
      <c r="R3255" s="9">
        <v>5000</v>
      </c>
      <c r="S3255" s="5">
        <v>1</v>
      </c>
      <c r="T32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табеле]])*S3255,0)</f>
        <v>5400</v>
      </c>
      <c r="U3255" s="5">
        <f>IF(Таблица1[[#This Row],[ТТН]]&gt;0,Таблица1[[#This Row],[Ставка за ТТН]]*Таблица1[[#This Row],[ТТН]],0)</f>
        <v>5000</v>
      </c>
    </row>
    <row r="3256" spans="1:22" x14ac:dyDescent="0.25">
      <c r="A3256" t="s">
        <v>84</v>
      </c>
      <c r="B3256" s="24">
        <v>2</v>
      </c>
      <c r="C3256" t="s">
        <v>149</v>
      </c>
      <c r="D3256" t="s">
        <v>12</v>
      </c>
      <c r="E3256" t="s">
        <v>215</v>
      </c>
      <c r="F3256" t="s">
        <v>66</v>
      </c>
      <c r="H3256" t="s">
        <v>10</v>
      </c>
      <c r="I3256" t="s">
        <v>219</v>
      </c>
      <c r="J3256">
        <v>22</v>
      </c>
      <c r="N3256">
        <f>Таблица1[[#This Row],[Часов на заказчика  в работе]]+Таблица1[[#This Row],[Часов на заказчика  дежурство]]</f>
        <v>0</v>
      </c>
      <c r="O32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6" s="9">
        <v>162000</v>
      </c>
      <c r="R3256" s="9"/>
      <c r="S3256" s="5">
        <v>1</v>
      </c>
      <c r="T32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табеле]])*S3256,0)</f>
        <v>10800</v>
      </c>
      <c r="U3256" s="5">
        <f>IF(Таблица1[[#This Row],[ТТН]]&gt;0,Таблица1[[#This Row],[Ставка за ТТН]]*Таблица1[[#This Row],[ТТН]],0)</f>
        <v>0</v>
      </c>
    </row>
    <row r="3257" spans="1:22" x14ac:dyDescent="0.25">
      <c r="A3257" t="s">
        <v>84</v>
      </c>
      <c r="B3257" s="24">
        <v>3</v>
      </c>
      <c r="C3257" t="s">
        <v>149</v>
      </c>
      <c r="D3257" t="s">
        <v>12</v>
      </c>
      <c r="E3257" t="s">
        <v>215</v>
      </c>
      <c r="F3257" t="s">
        <v>66</v>
      </c>
      <c r="H3257" t="s">
        <v>10</v>
      </c>
      <c r="I3257" t="s">
        <v>219</v>
      </c>
      <c r="J3257">
        <v>22</v>
      </c>
      <c r="N3257">
        <f>Таблица1[[#This Row],[Часов на заказчика  в работе]]+Таблица1[[#This Row],[Часов на заказчика  дежурство]]</f>
        <v>0</v>
      </c>
      <c r="O32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7" s="9">
        <v>162000</v>
      </c>
      <c r="R3257" s="9"/>
      <c r="S3257" s="5">
        <v>1</v>
      </c>
      <c r="T32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табеле]])*S3257,0)</f>
        <v>10800</v>
      </c>
      <c r="U3257" s="5">
        <f>IF(Таблица1[[#This Row],[ТТН]]&gt;0,Таблица1[[#This Row],[Ставка за ТТН]]*Таблица1[[#This Row],[ТТН]],0)</f>
        <v>0</v>
      </c>
    </row>
    <row r="3258" spans="1:22" x14ac:dyDescent="0.25">
      <c r="A3258" t="s">
        <v>84</v>
      </c>
      <c r="B3258" s="24">
        <v>4</v>
      </c>
      <c r="C3258" t="s">
        <v>149</v>
      </c>
      <c r="D3258" t="s">
        <v>12</v>
      </c>
      <c r="E3258" t="s">
        <v>215</v>
      </c>
      <c r="F3258" t="s">
        <v>66</v>
      </c>
      <c r="H3258" t="s">
        <v>10</v>
      </c>
      <c r="I3258" t="s">
        <v>219</v>
      </c>
      <c r="J3258">
        <v>11</v>
      </c>
      <c r="K3258">
        <v>1</v>
      </c>
      <c r="N3258">
        <f>Таблица1[[#This Row],[Часов на заказчика  в работе]]+Таблица1[[#This Row],[Часов на заказчика  дежурство]]</f>
        <v>0</v>
      </c>
      <c r="O32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8" s="9">
        <v>162000</v>
      </c>
      <c r="R3258" s="9">
        <v>5000</v>
      </c>
      <c r="S3258" s="5">
        <v>1</v>
      </c>
      <c r="T32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табеле]])*S3258,0)</f>
        <v>5400</v>
      </c>
      <c r="U3258" s="5">
        <f>IF(Таблица1[[#This Row],[ТТН]]&gt;0,Таблица1[[#This Row],[Ставка за ТТН]]*Таблица1[[#This Row],[ТТН]],0)</f>
        <v>5000</v>
      </c>
    </row>
    <row r="3259" spans="1:22" x14ac:dyDescent="0.25">
      <c r="A3259" t="s">
        <v>84</v>
      </c>
      <c r="B3259" s="24">
        <v>5</v>
      </c>
      <c r="C3259" t="s">
        <v>149</v>
      </c>
      <c r="D3259" t="s">
        <v>12</v>
      </c>
      <c r="E3259" t="s">
        <v>215</v>
      </c>
      <c r="F3259" t="s">
        <v>66</v>
      </c>
      <c r="H3259" t="s">
        <v>10</v>
      </c>
      <c r="I3259" t="s">
        <v>219</v>
      </c>
      <c r="J3259">
        <v>22</v>
      </c>
      <c r="N3259">
        <f>Таблица1[[#This Row],[Часов на заказчика  в работе]]+Таблица1[[#This Row],[Часов на заказчика  дежурство]]</f>
        <v>0</v>
      </c>
      <c r="O32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59" s="9">
        <v>162000</v>
      </c>
      <c r="R3259" s="9"/>
      <c r="S3259" s="5">
        <v>1</v>
      </c>
      <c r="T32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табеле]])*S3259,0)</f>
        <v>10800</v>
      </c>
      <c r="U3259" s="5">
        <f>IF(Таблица1[[#This Row],[ТТН]]&gt;0,Таблица1[[#This Row],[Ставка за ТТН]]*Таблица1[[#This Row],[ТТН]],0)</f>
        <v>0</v>
      </c>
    </row>
    <row r="3260" spans="1:22" x14ac:dyDescent="0.25">
      <c r="A3260" t="s">
        <v>84</v>
      </c>
      <c r="B3260" s="24">
        <v>6</v>
      </c>
      <c r="C3260" t="s">
        <v>149</v>
      </c>
      <c r="D3260" t="s">
        <v>12</v>
      </c>
      <c r="E3260" t="s">
        <v>215</v>
      </c>
      <c r="F3260" t="s">
        <v>66</v>
      </c>
      <c r="H3260" t="s">
        <v>10</v>
      </c>
      <c r="I3260" t="s">
        <v>219</v>
      </c>
      <c r="J3260">
        <v>11</v>
      </c>
      <c r="N3260">
        <f>Таблица1[[#This Row],[Часов на заказчика  в работе]]+Таблица1[[#This Row],[Часов на заказчика  дежурство]]</f>
        <v>0</v>
      </c>
      <c r="O32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0" s="9">
        <v>162000</v>
      </c>
      <c r="R3260" s="9"/>
      <c r="S3260" s="5">
        <v>1</v>
      </c>
      <c r="T32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табеле]])*S3260,0)</f>
        <v>5400</v>
      </c>
      <c r="U3260" s="5">
        <f>IF(Таблица1[[#This Row],[ТТН]]&gt;0,Таблица1[[#This Row],[Ставка за ТТН]]*Таблица1[[#This Row],[ТТН]],0)</f>
        <v>0</v>
      </c>
    </row>
    <row r="3261" spans="1:22" x14ac:dyDescent="0.25">
      <c r="A3261" t="s">
        <v>84</v>
      </c>
      <c r="B3261" s="24">
        <v>7</v>
      </c>
      <c r="C3261" t="s">
        <v>149</v>
      </c>
      <c r="D3261" t="s">
        <v>12</v>
      </c>
      <c r="E3261" t="s">
        <v>215</v>
      </c>
      <c r="F3261" t="s">
        <v>66</v>
      </c>
      <c r="H3261" t="s">
        <v>10</v>
      </c>
      <c r="I3261" t="s">
        <v>219</v>
      </c>
      <c r="J3261">
        <v>22</v>
      </c>
      <c r="N3261">
        <f>Таблица1[[#This Row],[Часов на заказчика  в работе]]+Таблица1[[#This Row],[Часов на заказчика  дежурство]]</f>
        <v>0</v>
      </c>
      <c r="O32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1" s="9">
        <v>162000</v>
      </c>
      <c r="R3261" s="9"/>
      <c r="S3261" s="5">
        <v>1</v>
      </c>
      <c r="T32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табеле]])*S3261,0)</f>
        <v>10800</v>
      </c>
      <c r="U3261" s="5">
        <f>IF(Таблица1[[#This Row],[ТТН]]&gt;0,Таблица1[[#This Row],[Ставка за ТТН]]*Таблица1[[#This Row],[ТТН]],0)</f>
        <v>0</v>
      </c>
    </row>
    <row r="3262" spans="1:22" x14ac:dyDescent="0.25">
      <c r="A3262" t="s">
        <v>84</v>
      </c>
      <c r="B3262" s="24">
        <v>8</v>
      </c>
      <c r="C3262" t="s">
        <v>149</v>
      </c>
      <c r="D3262" t="s">
        <v>12</v>
      </c>
      <c r="E3262" t="s">
        <v>215</v>
      </c>
      <c r="F3262" t="s">
        <v>66</v>
      </c>
      <c r="H3262" t="s">
        <v>10</v>
      </c>
      <c r="I3262" t="s">
        <v>219</v>
      </c>
      <c r="J3262">
        <v>22</v>
      </c>
      <c r="N3262">
        <f>Таблица1[[#This Row],[Часов на заказчика  в работе]]+Таблица1[[#This Row],[Часов на заказчика  дежурство]]</f>
        <v>0</v>
      </c>
      <c r="O32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2" s="9">
        <v>162000</v>
      </c>
      <c r="R3262" s="9"/>
      <c r="S3262" s="5">
        <v>1</v>
      </c>
      <c r="T32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табеле]])*S3262,0)</f>
        <v>10800</v>
      </c>
      <c r="U3262" s="5">
        <f>IF(Таблица1[[#This Row],[ТТН]]&gt;0,Таблица1[[#This Row],[Ставка за ТТН]]*Таблица1[[#This Row],[ТТН]],0)</f>
        <v>0</v>
      </c>
    </row>
    <row r="3263" spans="1:22" x14ac:dyDescent="0.25">
      <c r="A3263" t="s">
        <v>84</v>
      </c>
      <c r="B3263" s="24">
        <v>9</v>
      </c>
      <c r="C3263" t="s">
        <v>149</v>
      </c>
      <c r="D3263" t="s">
        <v>12</v>
      </c>
      <c r="E3263" t="s">
        <v>215</v>
      </c>
      <c r="F3263" t="s">
        <v>66</v>
      </c>
      <c r="H3263" t="s">
        <v>10</v>
      </c>
      <c r="I3263" t="s">
        <v>219</v>
      </c>
      <c r="J3263">
        <v>11</v>
      </c>
      <c r="N3263">
        <f>Таблица1[[#This Row],[Часов на заказчика  в работе]]+Таблица1[[#This Row],[Часов на заказчика  дежурство]]</f>
        <v>0</v>
      </c>
      <c r="O32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3" s="9">
        <v>162000</v>
      </c>
      <c r="R3263" s="9"/>
      <c r="S3263" s="5">
        <v>1</v>
      </c>
      <c r="T32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табеле]])*S3263,0)</f>
        <v>5400</v>
      </c>
      <c r="U3263" s="5">
        <f>IF(Таблица1[[#This Row],[ТТН]]&gt;0,Таблица1[[#This Row],[Ставка за ТТН]]*Таблица1[[#This Row],[ТТН]],0)</f>
        <v>0</v>
      </c>
    </row>
    <row r="3264" spans="1:22" x14ac:dyDescent="0.25">
      <c r="A3264" t="s">
        <v>84</v>
      </c>
      <c r="B3264" s="24">
        <v>10</v>
      </c>
      <c r="C3264" t="s">
        <v>149</v>
      </c>
      <c r="D3264" t="s">
        <v>12</v>
      </c>
      <c r="E3264" t="s">
        <v>215</v>
      </c>
      <c r="F3264" t="s">
        <v>66</v>
      </c>
      <c r="H3264" t="s">
        <v>10</v>
      </c>
      <c r="I3264" t="s">
        <v>219</v>
      </c>
      <c r="J3264">
        <v>11</v>
      </c>
      <c r="K3264">
        <v>1</v>
      </c>
      <c r="N3264">
        <f>Таблица1[[#This Row],[Часов на заказчика  в работе]]+Таблица1[[#This Row],[Часов на заказчика  дежурство]]</f>
        <v>0</v>
      </c>
      <c r="O32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4" s="9">
        <v>162000</v>
      </c>
      <c r="R3264" s="9">
        <v>5000</v>
      </c>
      <c r="S3264" s="5">
        <v>1</v>
      </c>
      <c r="T32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табеле]])*S3264,0)</f>
        <v>5400</v>
      </c>
      <c r="U3264" s="5">
        <f>IF(Таблица1[[#This Row],[ТТН]]&gt;0,Таблица1[[#This Row],[Ставка за ТТН]]*Таблица1[[#This Row],[ТТН]],0)</f>
        <v>5000</v>
      </c>
      <c r="V3264" t="s">
        <v>80</v>
      </c>
    </row>
    <row r="3265" spans="1:22" x14ac:dyDescent="0.25">
      <c r="A3265" t="s">
        <v>84</v>
      </c>
      <c r="B3265" s="24">
        <v>11</v>
      </c>
      <c r="C3265" t="s">
        <v>149</v>
      </c>
      <c r="D3265" t="s">
        <v>12</v>
      </c>
      <c r="E3265" t="s">
        <v>215</v>
      </c>
      <c r="F3265" t="s">
        <v>66</v>
      </c>
      <c r="H3265" t="s">
        <v>10</v>
      </c>
      <c r="I3265" t="s">
        <v>219</v>
      </c>
      <c r="J3265">
        <v>22</v>
      </c>
      <c r="N3265">
        <f>Таблица1[[#This Row],[Часов на заказчика  в работе]]+Таблица1[[#This Row],[Часов на заказчика  дежурство]]</f>
        <v>0</v>
      </c>
      <c r="O32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5" s="9">
        <v>162000</v>
      </c>
      <c r="R3265" s="9"/>
      <c r="S3265" s="5">
        <v>1</v>
      </c>
      <c r="T32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табеле]])*S3265,0)</f>
        <v>10800</v>
      </c>
      <c r="U3265" s="5">
        <f>IF(Таблица1[[#This Row],[ТТН]]&gt;0,Таблица1[[#This Row],[Ставка за ТТН]]*Таблица1[[#This Row],[ТТН]],0)</f>
        <v>0</v>
      </c>
    </row>
    <row r="3266" spans="1:22" x14ac:dyDescent="0.25">
      <c r="A3266" t="s">
        <v>84</v>
      </c>
      <c r="B3266" s="24">
        <v>12</v>
      </c>
      <c r="C3266" t="s">
        <v>149</v>
      </c>
      <c r="D3266" t="s">
        <v>12</v>
      </c>
      <c r="E3266" t="s">
        <v>215</v>
      </c>
      <c r="F3266" t="s">
        <v>66</v>
      </c>
      <c r="H3266" t="s">
        <v>10</v>
      </c>
      <c r="I3266" t="s">
        <v>219</v>
      </c>
      <c r="J3266">
        <v>22</v>
      </c>
      <c r="N3266">
        <f>Таблица1[[#This Row],[Часов на заказчика  в работе]]+Таблица1[[#This Row],[Часов на заказчика  дежурство]]</f>
        <v>0</v>
      </c>
      <c r="O32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6" s="9">
        <v>162000</v>
      </c>
      <c r="R3266" s="9"/>
      <c r="S3266" s="5">
        <v>1</v>
      </c>
      <c r="T32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табеле]])*S3266,0)</f>
        <v>10800</v>
      </c>
      <c r="U3266" s="5">
        <f>IF(Таблица1[[#This Row],[ТТН]]&gt;0,Таблица1[[#This Row],[Ставка за ТТН]]*Таблица1[[#This Row],[ТТН]],0)</f>
        <v>0</v>
      </c>
    </row>
    <row r="3267" spans="1:22" x14ac:dyDescent="0.25">
      <c r="A3267" t="s">
        <v>84</v>
      </c>
      <c r="B3267" s="24">
        <v>13</v>
      </c>
      <c r="C3267" t="s">
        <v>149</v>
      </c>
      <c r="D3267" t="s">
        <v>12</v>
      </c>
      <c r="E3267" t="s">
        <v>215</v>
      </c>
      <c r="F3267" t="s">
        <v>66</v>
      </c>
      <c r="H3267" t="s">
        <v>10</v>
      </c>
      <c r="I3267" t="s">
        <v>219</v>
      </c>
      <c r="J3267">
        <v>11</v>
      </c>
      <c r="K3267">
        <v>1</v>
      </c>
      <c r="N3267">
        <f>Таблица1[[#This Row],[Часов на заказчика  в работе]]+Таблица1[[#This Row],[Часов на заказчика  дежурство]]</f>
        <v>0</v>
      </c>
      <c r="O32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7" s="9">
        <v>162000</v>
      </c>
      <c r="R3267" s="9">
        <v>2000</v>
      </c>
      <c r="S3267" s="5">
        <v>1</v>
      </c>
      <c r="T32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табеле]])*S3267,0)</f>
        <v>5400</v>
      </c>
      <c r="U3267" s="5">
        <f>IF(Таблица1[[#This Row],[ТТН]]&gt;0,Таблица1[[#This Row],[Ставка за ТТН]]*Таблица1[[#This Row],[ТТН]],0)</f>
        <v>2000</v>
      </c>
    </row>
    <row r="3268" spans="1:22" x14ac:dyDescent="0.25">
      <c r="A3268" t="s">
        <v>84</v>
      </c>
      <c r="B3268" s="24">
        <v>14</v>
      </c>
      <c r="C3268" t="s">
        <v>149</v>
      </c>
      <c r="D3268" t="s">
        <v>12</v>
      </c>
      <c r="E3268" t="s">
        <v>215</v>
      </c>
      <c r="F3268" t="s">
        <v>66</v>
      </c>
      <c r="H3268" t="s">
        <v>10</v>
      </c>
      <c r="I3268" t="s">
        <v>219</v>
      </c>
      <c r="J3268">
        <v>22</v>
      </c>
      <c r="N3268">
        <f>Таблица1[[#This Row],[Часов на заказчика  в работе]]+Таблица1[[#This Row],[Часов на заказчика  дежурство]]</f>
        <v>0</v>
      </c>
      <c r="O32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8" s="9">
        <v>162000</v>
      </c>
      <c r="R3268" s="9"/>
      <c r="S3268" s="5">
        <v>1</v>
      </c>
      <c r="T32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табеле]])*S3268,0)</f>
        <v>10800</v>
      </c>
      <c r="U3268" s="5">
        <f>IF(Таблица1[[#This Row],[ТТН]]&gt;0,Таблица1[[#This Row],[Ставка за ТТН]]*Таблица1[[#This Row],[ТТН]],0)</f>
        <v>0</v>
      </c>
    </row>
    <row r="3269" spans="1:22" x14ac:dyDescent="0.25">
      <c r="A3269" t="s">
        <v>84</v>
      </c>
      <c r="B3269" s="24">
        <v>15</v>
      </c>
      <c r="C3269" t="s">
        <v>149</v>
      </c>
      <c r="D3269" t="s">
        <v>12</v>
      </c>
      <c r="E3269" t="s">
        <v>215</v>
      </c>
      <c r="F3269" t="s">
        <v>66</v>
      </c>
      <c r="H3269" t="s">
        <v>10</v>
      </c>
      <c r="I3269" t="s">
        <v>219</v>
      </c>
      <c r="J3269">
        <v>22</v>
      </c>
      <c r="N3269">
        <f>Таблица1[[#This Row],[Часов на заказчика  в работе]]+Таблица1[[#This Row],[Часов на заказчика  дежурство]]</f>
        <v>0</v>
      </c>
      <c r="O32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69" s="9">
        <v>162000</v>
      </c>
      <c r="R3269" s="9"/>
      <c r="S3269" s="5">
        <v>1</v>
      </c>
      <c r="T32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табеле]])*S3269,0)</f>
        <v>10800</v>
      </c>
      <c r="U3269" s="5">
        <f>IF(Таблица1[[#This Row],[ТТН]]&gt;0,Таблица1[[#This Row],[Ставка за ТТН]]*Таблица1[[#This Row],[ТТН]],0)</f>
        <v>0</v>
      </c>
    </row>
    <row r="3270" spans="1:22" x14ac:dyDescent="0.25">
      <c r="A3270" t="s">
        <v>84</v>
      </c>
      <c r="B3270" s="24">
        <v>16</v>
      </c>
      <c r="C3270" t="s">
        <v>149</v>
      </c>
      <c r="D3270" t="s">
        <v>12</v>
      </c>
      <c r="E3270" t="s">
        <v>215</v>
      </c>
      <c r="F3270" t="s">
        <v>66</v>
      </c>
      <c r="H3270" t="s">
        <v>10</v>
      </c>
      <c r="I3270" t="s">
        <v>219</v>
      </c>
      <c r="J3270">
        <v>11</v>
      </c>
      <c r="K3270">
        <v>1</v>
      </c>
      <c r="N3270">
        <f>Таблица1[[#This Row],[Часов на заказчика  в работе]]+Таблица1[[#This Row],[Часов на заказчика  дежурство]]</f>
        <v>0</v>
      </c>
      <c r="O32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0" s="9">
        <v>162000</v>
      </c>
      <c r="R3270" s="9">
        <v>5000</v>
      </c>
      <c r="S3270" s="5">
        <v>1</v>
      </c>
      <c r="T32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табеле]])*S3270,0)</f>
        <v>5400</v>
      </c>
      <c r="U3270" s="5">
        <f>IF(Таблица1[[#This Row],[ТТН]]&gt;0,Таблица1[[#This Row],[Ставка за ТТН]]*Таблица1[[#This Row],[ТТН]],0)</f>
        <v>5000</v>
      </c>
      <c r="V3270" t="s">
        <v>80</v>
      </c>
    </row>
    <row r="3271" spans="1:22" x14ac:dyDescent="0.25">
      <c r="A3271" t="s">
        <v>84</v>
      </c>
      <c r="B3271" s="24">
        <v>17</v>
      </c>
      <c r="C3271" t="s">
        <v>149</v>
      </c>
      <c r="D3271" t="s">
        <v>12</v>
      </c>
      <c r="E3271" t="s">
        <v>215</v>
      </c>
      <c r="F3271" t="s">
        <v>66</v>
      </c>
      <c r="H3271" t="s">
        <v>10</v>
      </c>
      <c r="I3271" t="s">
        <v>219</v>
      </c>
      <c r="J3271">
        <v>22</v>
      </c>
      <c r="N3271">
        <f>Таблица1[[#This Row],[Часов на заказчика  в работе]]+Таблица1[[#This Row],[Часов на заказчика  дежурство]]</f>
        <v>0</v>
      </c>
      <c r="O32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1" s="9">
        <v>162000</v>
      </c>
      <c r="R3271" s="9"/>
      <c r="S3271" s="5">
        <v>1</v>
      </c>
      <c r="T32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табеле]])*S3271,0)</f>
        <v>10800</v>
      </c>
      <c r="U3271" s="5">
        <f>IF(Таблица1[[#This Row],[ТТН]]&gt;0,Таблица1[[#This Row],[Ставка за ТТН]]*Таблица1[[#This Row],[ТТН]],0)</f>
        <v>0</v>
      </c>
    </row>
    <row r="3272" spans="1:22" x14ac:dyDescent="0.25">
      <c r="A3272" t="s">
        <v>84</v>
      </c>
      <c r="B3272" s="24">
        <v>18</v>
      </c>
      <c r="C3272" t="s">
        <v>149</v>
      </c>
      <c r="D3272" t="s">
        <v>12</v>
      </c>
      <c r="E3272" t="s">
        <v>215</v>
      </c>
      <c r="F3272" t="s">
        <v>66</v>
      </c>
      <c r="H3272" t="s">
        <v>10</v>
      </c>
      <c r="I3272" t="s">
        <v>219</v>
      </c>
      <c r="J3272">
        <v>22</v>
      </c>
      <c r="K3272">
        <v>1</v>
      </c>
      <c r="N3272">
        <f>Таблица1[[#This Row],[Часов на заказчика  в работе]]+Таблица1[[#This Row],[Часов на заказчика  дежурство]]</f>
        <v>0</v>
      </c>
      <c r="O32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2" s="9">
        <v>162000</v>
      </c>
      <c r="R3272" s="9">
        <v>2000</v>
      </c>
      <c r="S3272" s="5">
        <v>1</v>
      </c>
      <c r="T32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табеле]])*S3272,0)</f>
        <v>10800</v>
      </c>
      <c r="U3272" s="5">
        <f>IF(Таблица1[[#This Row],[ТТН]]&gt;0,Таблица1[[#This Row],[Ставка за ТТН]]*Таблица1[[#This Row],[ТТН]],0)</f>
        <v>2000</v>
      </c>
    </row>
    <row r="3273" spans="1:22" x14ac:dyDescent="0.25">
      <c r="A3273" t="s">
        <v>84</v>
      </c>
      <c r="B3273" s="24">
        <v>19</v>
      </c>
      <c r="C3273" t="s">
        <v>149</v>
      </c>
      <c r="D3273" t="s">
        <v>12</v>
      </c>
      <c r="E3273" t="s">
        <v>215</v>
      </c>
      <c r="F3273" t="s">
        <v>66</v>
      </c>
      <c r="H3273" t="s">
        <v>10</v>
      </c>
      <c r="I3273" t="s">
        <v>219</v>
      </c>
      <c r="J3273">
        <v>22</v>
      </c>
      <c r="N3273">
        <f>Таблица1[[#This Row],[Часов на заказчика  в работе]]+Таблица1[[#This Row],[Часов на заказчика  дежурство]]</f>
        <v>0</v>
      </c>
      <c r="O32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3" s="9">
        <v>162000</v>
      </c>
      <c r="R3273" s="9"/>
      <c r="S3273" s="5">
        <v>1</v>
      </c>
      <c r="T32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табеле]])*S3273,0)</f>
        <v>10800</v>
      </c>
      <c r="U3273" s="5">
        <f>IF(Таблица1[[#This Row],[ТТН]]&gt;0,Таблица1[[#This Row],[Ставка за ТТН]]*Таблица1[[#This Row],[ТТН]],0)</f>
        <v>0</v>
      </c>
    </row>
    <row r="3274" spans="1:22" x14ac:dyDescent="0.25">
      <c r="A3274" t="s">
        <v>84</v>
      </c>
      <c r="B3274" s="24">
        <v>20</v>
      </c>
      <c r="C3274" t="s">
        <v>149</v>
      </c>
      <c r="D3274" t="s">
        <v>12</v>
      </c>
      <c r="E3274" t="s">
        <v>215</v>
      </c>
      <c r="F3274" t="s">
        <v>66</v>
      </c>
      <c r="H3274" t="s">
        <v>10</v>
      </c>
      <c r="I3274" t="s">
        <v>219</v>
      </c>
      <c r="J3274">
        <v>22</v>
      </c>
      <c r="K3274">
        <v>1</v>
      </c>
      <c r="N3274">
        <f>Таблица1[[#This Row],[Часов на заказчика  в работе]]+Таблица1[[#This Row],[Часов на заказчика  дежурство]]</f>
        <v>0</v>
      </c>
      <c r="O32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4" s="9">
        <v>162000</v>
      </c>
      <c r="R3274" s="9">
        <v>5000</v>
      </c>
      <c r="S3274" s="5">
        <v>1</v>
      </c>
      <c r="T32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табеле]])*S3274,0)</f>
        <v>10800</v>
      </c>
      <c r="U3274" s="5">
        <f>IF(Таблица1[[#This Row],[ТТН]]&gt;0,Таблица1[[#This Row],[Ставка за ТТН]]*Таблица1[[#This Row],[ТТН]],0)</f>
        <v>5000</v>
      </c>
      <c r="V3274" t="s">
        <v>90</v>
      </c>
    </row>
    <row r="3275" spans="1:22" x14ac:dyDescent="0.25">
      <c r="A3275" t="s">
        <v>84</v>
      </c>
      <c r="B3275" s="24">
        <v>21</v>
      </c>
      <c r="C3275" t="s">
        <v>149</v>
      </c>
      <c r="D3275" t="s">
        <v>12</v>
      </c>
      <c r="E3275" t="s">
        <v>215</v>
      </c>
      <c r="F3275" t="s">
        <v>66</v>
      </c>
      <c r="H3275" t="s">
        <v>10</v>
      </c>
      <c r="I3275" t="s">
        <v>219</v>
      </c>
      <c r="J3275">
        <v>22</v>
      </c>
      <c r="N3275">
        <f>Таблица1[[#This Row],[Часов на заказчика  в работе]]+Таблица1[[#This Row],[Часов на заказчика  дежурство]]</f>
        <v>0</v>
      </c>
      <c r="O32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5" s="9">
        <v>162000</v>
      </c>
      <c r="R3275" s="9"/>
      <c r="S3275" s="5">
        <v>1</v>
      </c>
      <c r="T32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табеле]])*S3275,0)</f>
        <v>10800</v>
      </c>
      <c r="U3275" s="5">
        <f>IF(Таблица1[[#This Row],[ТТН]]&gt;0,Таблица1[[#This Row],[Ставка за ТТН]]*Таблица1[[#This Row],[ТТН]],0)</f>
        <v>0</v>
      </c>
    </row>
    <row r="3276" spans="1:22" x14ac:dyDescent="0.25">
      <c r="A3276" t="s">
        <v>84</v>
      </c>
      <c r="B3276" s="24">
        <v>22</v>
      </c>
      <c r="C3276" t="s">
        <v>149</v>
      </c>
      <c r="D3276" t="s">
        <v>12</v>
      </c>
      <c r="E3276" t="s">
        <v>215</v>
      </c>
      <c r="F3276" t="s">
        <v>66</v>
      </c>
      <c r="H3276" t="s">
        <v>10</v>
      </c>
      <c r="I3276" t="s">
        <v>219</v>
      </c>
      <c r="J3276">
        <v>22</v>
      </c>
      <c r="K3276">
        <v>1</v>
      </c>
      <c r="N3276">
        <f>Таблица1[[#This Row],[Часов на заказчика  в работе]]+Таблица1[[#This Row],[Часов на заказчика  дежурство]]</f>
        <v>0</v>
      </c>
      <c r="O32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6" s="9">
        <v>162000</v>
      </c>
      <c r="R3276" s="9">
        <v>2000</v>
      </c>
      <c r="S3276" s="5">
        <v>1</v>
      </c>
      <c r="T32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табеле]])*S3276,0)</f>
        <v>10800</v>
      </c>
      <c r="U3276" s="5">
        <f>IF(Таблица1[[#This Row],[ТТН]]&gt;0,Таблица1[[#This Row],[Ставка за ТТН]]*Таблица1[[#This Row],[ТТН]],0)</f>
        <v>2000</v>
      </c>
    </row>
    <row r="3277" spans="1:22" x14ac:dyDescent="0.25">
      <c r="A3277" t="s">
        <v>84</v>
      </c>
      <c r="B3277" s="24">
        <v>23</v>
      </c>
      <c r="C3277" t="s">
        <v>149</v>
      </c>
      <c r="D3277" t="s">
        <v>12</v>
      </c>
      <c r="E3277" t="s">
        <v>215</v>
      </c>
      <c r="F3277" t="s">
        <v>66</v>
      </c>
      <c r="H3277" t="s">
        <v>10</v>
      </c>
      <c r="I3277" t="s">
        <v>219</v>
      </c>
      <c r="J3277">
        <v>11</v>
      </c>
      <c r="K3277">
        <v>1</v>
      </c>
      <c r="N3277">
        <f>Таблица1[[#This Row],[Часов на заказчика  в работе]]+Таблица1[[#This Row],[Часов на заказчика  дежурство]]</f>
        <v>0</v>
      </c>
      <c r="O32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7" s="9">
        <v>162000</v>
      </c>
      <c r="R3277" s="9">
        <v>2000</v>
      </c>
      <c r="S3277" s="5">
        <v>1</v>
      </c>
      <c r="T32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табеле]])*S3277,0)</f>
        <v>5400</v>
      </c>
      <c r="U3277" s="5">
        <f>IF(Таблица1[[#This Row],[ТТН]]&gt;0,Таблица1[[#This Row],[Ставка за ТТН]]*Таблица1[[#This Row],[ТТН]],0)</f>
        <v>2000</v>
      </c>
    </row>
    <row r="3278" spans="1:22" x14ac:dyDescent="0.25">
      <c r="A3278" t="s">
        <v>84</v>
      </c>
      <c r="B3278" s="24">
        <v>24</v>
      </c>
      <c r="C3278" t="s">
        <v>149</v>
      </c>
      <c r="D3278" t="s">
        <v>12</v>
      </c>
      <c r="E3278" t="s">
        <v>215</v>
      </c>
      <c r="F3278" t="s">
        <v>66</v>
      </c>
      <c r="H3278" t="s">
        <v>10</v>
      </c>
      <c r="I3278" t="s">
        <v>219</v>
      </c>
      <c r="J3278">
        <v>22</v>
      </c>
      <c r="N3278">
        <f>Таблица1[[#This Row],[Часов на заказчика  в работе]]+Таблица1[[#This Row],[Часов на заказчика  дежурство]]</f>
        <v>0</v>
      </c>
      <c r="O32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8" s="9">
        <v>162000</v>
      </c>
      <c r="R3278" s="9"/>
      <c r="S3278" s="5">
        <v>1</v>
      </c>
      <c r="T32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табеле]])*S3278,0)</f>
        <v>10800</v>
      </c>
      <c r="U3278" s="5">
        <f>IF(Таблица1[[#This Row],[ТТН]]&gt;0,Таблица1[[#This Row],[Ставка за ТТН]]*Таблица1[[#This Row],[ТТН]],0)</f>
        <v>0</v>
      </c>
    </row>
    <row r="3279" spans="1:22" x14ac:dyDescent="0.25">
      <c r="A3279" t="s">
        <v>84</v>
      </c>
      <c r="B3279" s="24">
        <v>25</v>
      </c>
      <c r="C3279" t="s">
        <v>149</v>
      </c>
      <c r="D3279" t="s">
        <v>12</v>
      </c>
      <c r="E3279" t="s">
        <v>215</v>
      </c>
      <c r="F3279" t="s">
        <v>66</v>
      </c>
      <c r="H3279" t="s">
        <v>10</v>
      </c>
      <c r="I3279" t="s">
        <v>219</v>
      </c>
      <c r="J3279">
        <v>22</v>
      </c>
      <c r="K3279">
        <v>1</v>
      </c>
      <c r="N3279">
        <f>Таблица1[[#This Row],[Часов на заказчика  в работе]]+Таблица1[[#This Row],[Часов на заказчика  дежурство]]</f>
        <v>0</v>
      </c>
      <c r="O32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79" s="9">
        <v>162000</v>
      </c>
      <c r="R3279" s="9">
        <v>5000</v>
      </c>
      <c r="S3279" s="5">
        <v>1</v>
      </c>
      <c r="T32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табеле]])*S3279,0)</f>
        <v>10800</v>
      </c>
      <c r="U3279" s="5">
        <f>IF(Таблица1[[#This Row],[ТТН]]&gt;0,Таблица1[[#This Row],[Ставка за ТТН]]*Таблица1[[#This Row],[ТТН]],0)</f>
        <v>5000</v>
      </c>
      <c r="V3279" t="s">
        <v>80</v>
      </c>
    </row>
    <row r="3280" spans="1:22" x14ac:dyDescent="0.25">
      <c r="A3280" t="s">
        <v>84</v>
      </c>
      <c r="B3280" s="24">
        <v>26</v>
      </c>
      <c r="C3280" t="s">
        <v>149</v>
      </c>
      <c r="D3280" t="s">
        <v>12</v>
      </c>
      <c r="E3280" t="s">
        <v>215</v>
      </c>
      <c r="F3280" t="s">
        <v>66</v>
      </c>
      <c r="H3280" t="s">
        <v>10</v>
      </c>
      <c r="I3280" t="s">
        <v>219</v>
      </c>
      <c r="J3280">
        <v>22</v>
      </c>
      <c r="N3280">
        <f>Таблица1[[#This Row],[Часов на заказчика  в работе]]+Таблица1[[#This Row],[Часов на заказчика  дежурство]]</f>
        <v>0</v>
      </c>
      <c r="O32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0" s="9">
        <v>162000</v>
      </c>
      <c r="R3280" s="9"/>
      <c r="S3280" s="5">
        <v>1</v>
      </c>
      <c r="T32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табеле]])*S3280,0)</f>
        <v>10800</v>
      </c>
      <c r="U3280" s="5">
        <f>IF(Таблица1[[#This Row],[ТТН]]&gt;0,Таблица1[[#This Row],[Ставка за ТТН]]*Таблица1[[#This Row],[ТТН]],0)</f>
        <v>0</v>
      </c>
    </row>
    <row r="3281" spans="1:22" x14ac:dyDescent="0.25">
      <c r="A3281" t="s">
        <v>84</v>
      </c>
      <c r="B3281" s="24">
        <v>27</v>
      </c>
      <c r="C3281" t="s">
        <v>149</v>
      </c>
      <c r="D3281" t="s">
        <v>12</v>
      </c>
      <c r="E3281" t="s">
        <v>215</v>
      </c>
      <c r="F3281" t="s">
        <v>66</v>
      </c>
      <c r="H3281" t="s">
        <v>10</v>
      </c>
      <c r="I3281" t="s">
        <v>219</v>
      </c>
      <c r="J3281">
        <v>22</v>
      </c>
      <c r="K3281">
        <v>1</v>
      </c>
      <c r="N3281">
        <f>Таблица1[[#This Row],[Часов на заказчика  в работе]]+Таблица1[[#This Row],[Часов на заказчика  дежурство]]</f>
        <v>0</v>
      </c>
      <c r="O32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1" s="9">
        <v>162000</v>
      </c>
      <c r="R3281" s="9">
        <v>2000</v>
      </c>
      <c r="S3281" s="5">
        <v>1</v>
      </c>
      <c r="T32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табеле]])*S3281,0)</f>
        <v>10800</v>
      </c>
      <c r="U3281" s="5">
        <f>IF(Таблица1[[#This Row],[ТТН]]&gt;0,Таблица1[[#This Row],[Ставка за ТТН]]*Таблица1[[#This Row],[ТТН]],0)</f>
        <v>2000</v>
      </c>
    </row>
    <row r="3282" spans="1:22" x14ac:dyDescent="0.25">
      <c r="A3282" t="s">
        <v>84</v>
      </c>
      <c r="B3282" s="24">
        <v>28</v>
      </c>
      <c r="C3282" t="s">
        <v>149</v>
      </c>
      <c r="D3282" t="s">
        <v>12</v>
      </c>
      <c r="E3282" t="s">
        <v>215</v>
      </c>
      <c r="F3282" t="s">
        <v>66</v>
      </c>
      <c r="H3282" t="s">
        <v>10</v>
      </c>
      <c r="I3282" t="s">
        <v>219</v>
      </c>
      <c r="J3282">
        <v>11</v>
      </c>
      <c r="K3282">
        <v>1</v>
      </c>
      <c r="N3282">
        <f>Таблица1[[#This Row],[Часов на заказчика  в работе]]+Таблица1[[#This Row],[Часов на заказчика  дежурство]]</f>
        <v>0</v>
      </c>
      <c r="O32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2" s="9">
        <v>162000</v>
      </c>
      <c r="R3282" s="9">
        <v>5000</v>
      </c>
      <c r="S3282" s="5">
        <v>1</v>
      </c>
      <c r="T32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табеле]])*S3282,0)</f>
        <v>5400</v>
      </c>
      <c r="U3282" s="5">
        <f>IF(Таблица1[[#This Row],[ТТН]]&gt;0,Таблица1[[#This Row],[Ставка за ТТН]]*Таблица1[[#This Row],[ТТН]],0)</f>
        <v>5000</v>
      </c>
      <c r="V3282" t="s">
        <v>80</v>
      </c>
    </row>
    <row r="3283" spans="1:22" x14ac:dyDescent="0.25">
      <c r="A3283" t="s">
        <v>84</v>
      </c>
      <c r="B3283" s="24">
        <v>29</v>
      </c>
      <c r="C3283" t="s">
        <v>149</v>
      </c>
      <c r="D3283" t="s">
        <v>12</v>
      </c>
      <c r="E3283" t="s">
        <v>215</v>
      </c>
      <c r="F3283" t="s">
        <v>66</v>
      </c>
      <c r="H3283" t="s">
        <v>10</v>
      </c>
      <c r="I3283" t="s">
        <v>219</v>
      </c>
      <c r="J3283">
        <v>22</v>
      </c>
      <c r="N3283">
        <f>Таблица1[[#This Row],[Часов на заказчика  в работе]]+Таблица1[[#This Row],[Часов на заказчика  дежурство]]</f>
        <v>0</v>
      </c>
      <c r="O32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3" s="9">
        <v>162000</v>
      </c>
      <c r="R3283" s="9"/>
      <c r="S3283" s="5">
        <v>1</v>
      </c>
      <c r="T32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табеле]])*S3283,0)</f>
        <v>10800</v>
      </c>
      <c r="U3283" s="5">
        <f>IF(Таблица1[[#This Row],[ТТН]]&gt;0,Таблица1[[#This Row],[Ставка за ТТН]]*Таблица1[[#This Row],[ТТН]],0)</f>
        <v>0</v>
      </c>
    </row>
    <row r="3284" spans="1:22" x14ac:dyDescent="0.25">
      <c r="A3284" t="s">
        <v>84</v>
      </c>
      <c r="B3284" s="24">
        <v>30</v>
      </c>
      <c r="C3284" t="s">
        <v>195</v>
      </c>
      <c r="D3284" t="s">
        <v>12</v>
      </c>
      <c r="E3284" t="s">
        <v>215</v>
      </c>
      <c r="F3284" t="s">
        <v>66</v>
      </c>
      <c r="H3284" t="s">
        <v>10</v>
      </c>
      <c r="I3284" t="s">
        <v>219</v>
      </c>
      <c r="J3284">
        <v>22</v>
      </c>
      <c r="K3284">
        <v>1</v>
      </c>
      <c r="N3284">
        <f>Таблица1[[#This Row],[Часов на заказчика  в работе]]+Таблица1[[#This Row],[Часов на заказчика  дежурство]]</f>
        <v>0</v>
      </c>
      <c r="O32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4" s="9">
        <v>162000</v>
      </c>
      <c r="R3284" s="9">
        <v>2000</v>
      </c>
      <c r="S3284" s="5">
        <v>1</v>
      </c>
      <c r="T32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табеле]])*S3284,0)</f>
        <v>10800</v>
      </c>
      <c r="U3284" s="5">
        <f>IF(Таблица1[[#This Row],[ТТН]]&gt;0,Таблица1[[#This Row],[Ставка за ТТН]]*Таблица1[[#This Row],[ТТН]],0)</f>
        <v>2000</v>
      </c>
    </row>
    <row r="3285" spans="1:22" x14ac:dyDescent="0.25">
      <c r="A3285" t="s">
        <v>84</v>
      </c>
      <c r="B3285" s="24">
        <v>1</v>
      </c>
      <c r="C3285" t="s">
        <v>195</v>
      </c>
      <c r="D3285" t="s">
        <v>12</v>
      </c>
      <c r="E3285" t="s">
        <v>215</v>
      </c>
      <c r="F3285" t="s">
        <v>66</v>
      </c>
      <c r="H3285" t="s">
        <v>10</v>
      </c>
      <c r="I3285" t="s">
        <v>219</v>
      </c>
      <c r="J3285">
        <v>22</v>
      </c>
      <c r="N3285">
        <f>Таблица1[[#This Row],[Часов на заказчика  в работе]]+Таблица1[[#This Row],[Часов на заказчика  дежурство]]</f>
        <v>0</v>
      </c>
      <c r="O32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5" s="9">
        <v>162000</v>
      </c>
      <c r="R3285" s="9"/>
      <c r="S3285" s="5">
        <v>1</v>
      </c>
      <c r="T32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табеле]])*S3285,0)</f>
        <v>10800</v>
      </c>
      <c r="U3285" s="5">
        <f>IF(Таблица1[[#This Row],[ТТН]]&gt;0,Таблица1[[#This Row],[Ставка за ТТН]]*Таблица1[[#This Row],[ТТН]],0)</f>
        <v>0</v>
      </c>
    </row>
    <row r="3286" spans="1:22" x14ac:dyDescent="0.25">
      <c r="A3286" t="s">
        <v>84</v>
      </c>
      <c r="B3286" s="24">
        <v>2</v>
      </c>
      <c r="C3286" t="s">
        <v>195</v>
      </c>
      <c r="D3286" t="s">
        <v>12</v>
      </c>
      <c r="E3286" t="s">
        <v>215</v>
      </c>
      <c r="F3286" t="s">
        <v>66</v>
      </c>
      <c r="H3286" t="s">
        <v>10</v>
      </c>
      <c r="I3286" t="s">
        <v>219</v>
      </c>
      <c r="J3286">
        <v>11</v>
      </c>
      <c r="N3286">
        <f>Таблица1[[#This Row],[Часов на заказчика  в работе]]+Таблица1[[#This Row],[Часов на заказчика  дежурство]]</f>
        <v>0</v>
      </c>
      <c r="O32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6" s="9">
        <v>162000</v>
      </c>
      <c r="R3286" s="9"/>
      <c r="S3286" s="5">
        <v>1</v>
      </c>
      <c r="T32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табеле]])*S3286,0)</f>
        <v>5400</v>
      </c>
      <c r="U3286" s="5">
        <f>IF(Таблица1[[#This Row],[ТТН]]&gt;0,Таблица1[[#This Row],[Ставка за ТТН]]*Таблица1[[#This Row],[ТТН]],0)</f>
        <v>0</v>
      </c>
    </row>
    <row r="3287" spans="1:22" x14ac:dyDescent="0.25">
      <c r="A3287" t="s">
        <v>84</v>
      </c>
      <c r="B3287" s="24">
        <v>3</v>
      </c>
      <c r="C3287" t="s">
        <v>195</v>
      </c>
      <c r="D3287" t="s">
        <v>12</v>
      </c>
      <c r="E3287" t="s">
        <v>215</v>
      </c>
      <c r="F3287" t="s">
        <v>66</v>
      </c>
      <c r="H3287" t="s">
        <v>10</v>
      </c>
      <c r="I3287" t="s">
        <v>219</v>
      </c>
      <c r="J3287">
        <v>22</v>
      </c>
      <c r="N3287">
        <f>Таблица1[[#This Row],[Часов на заказчика  в работе]]+Таблица1[[#This Row],[Часов на заказчика  дежурство]]</f>
        <v>0</v>
      </c>
      <c r="O32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7" s="9">
        <v>162000</v>
      </c>
      <c r="R3287" s="9"/>
      <c r="S3287" s="5">
        <v>1</v>
      </c>
      <c r="T32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табеле]])*S3287,0)</f>
        <v>10800</v>
      </c>
      <c r="U3287" s="5">
        <f>IF(Таблица1[[#This Row],[ТТН]]&gt;0,Таблица1[[#This Row],[Ставка за ТТН]]*Таблица1[[#This Row],[ТТН]],0)</f>
        <v>0</v>
      </c>
    </row>
    <row r="3288" spans="1:22" x14ac:dyDescent="0.25">
      <c r="A3288" t="s">
        <v>84</v>
      </c>
      <c r="B3288" s="24">
        <v>4</v>
      </c>
      <c r="C3288" t="s">
        <v>195</v>
      </c>
      <c r="D3288" t="s">
        <v>12</v>
      </c>
      <c r="E3288" t="s">
        <v>215</v>
      </c>
      <c r="F3288" t="s">
        <v>66</v>
      </c>
      <c r="H3288" t="s">
        <v>10</v>
      </c>
      <c r="I3288" t="s">
        <v>219</v>
      </c>
      <c r="J3288">
        <v>11</v>
      </c>
      <c r="K3288">
        <v>1</v>
      </c>
      <c r="N3288">
        <f>Таблица1[[#This Row],[Часов на заказчика  в работе]]+Таблица1[[#This Row],[Часов на заказчика  дежурство]]</f>
        <v>0</v>
      </c>
      <c r="O32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8" s="9">
        <v>162000</v>
      </c>
      <c r="R3288" s="9">
        <v>5000</v>
      </c>
      <c r="S3288" s="5">
        <v>1</v>
      </c>
      <c r="T32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табеле]])*S3288,0)</f>
        <v>5400</v>
      </c>
      <c r="U3288" s="5">
        <f>IF(Таблица1[[#This Row],[ТТН]]&gt;0,Таблица1[[#This Row],[Ставка за ТТН]]*Таблица1[[#This Row],[ТТН]],0)</f>
        <v>5000</v>
      </c>
    </row>
    <row r="3289" spans="1:22" x14ac:dyDescent="0.25">
      <c r="A3289" t="s">
        <v>84</v>
      </c>
      <c r="B3289" s="24">
        <v>5</v>
      </c>
      <c r="C3289" t="s">
        <v>195</v>
      </c>
      <c r="D3289" t="s">
        <v>12</v>
      </c>
      <c r="E3289" t="s">
        <v>215</v>
      </c>
      <c r="F3289" t="s">
        <v>66</v>
      </c>
      <c r="H3289" t="s">
        <v>10</v>
      </c>
      <c r="I3289" t="s">
        <v>219</v>
      </c>
      <c r="J3289">
        <v>22</v>
      </c>
      <c r="N3289">
        <f>Таблица1[[#This Row],[Часов на заказчика  в работе]]+Таблица1[[#This Row],[Часов на заказчика  дежурство]]</f>
        <v>0</v>
      </c>
      <c r="O32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89" s="9">
        <v>162000</v>
      </c>
      <c r="R3289" s="9"/>
      <c r="S3289" s="5">
        <v>1</v>
      </c>
      <c r="T32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табеле]])*S3289,0)</f>
        <v>10800</v>
      </c>
      <c r="U3289" s="5">
        <f>IF(Таблица1[[#This Row],[ТТН]]&gt;0,Таблица1[[#This Row],[Ставка за ТТН]]*Таблица1[[#This Row],[ТТН]],0)</f>
        <v>0</v>
      </c>
    </row>
    <row r="3290" spans="1:22" x14ac:dyDescent="0.25">
      <c r="A3290" t="s">
        <v>84</v>
      </c>
      <c r="B3290" s="24">
        <v>6</v>
      </c>
      <c r="C3290" t="s">
        <v>195</v>
      </c>
      <c r="D3290" t="s">
        <v>12</v>
      </c>
      <c r="E3290" t="s">
        <v>215</v>
      </c>
      <c r="F3290" t="s">
        <v>66</v>
      </c>
      <c r="H3290" t="s">
        <v>10</v>
      </c>
      <c r="I3290" t="s">
        <v>219</v>
      </c>
      <c r="J3290">
        <v>11</v>
      </c>
      <c r="N3290">
        <f>Таблица1[[#This Row],[Часов на заказчика  в работе]]+Таблица1[[#This Row],[Часов на заказчика  дежурство]]</f>
        <v>0</v>
      </c>
      <c r="O32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0" s="9">
        <v>162000</v>
      </c>
      <c r="R3290" s="9"/>
      <c r="S3290" s="5">
        <v>1</v>
      </c>
      <c r="T32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табеле]])*S3290,0)</f>
        <v>5400</v>
      </c>
      <c r="U3290" s="5">
        <f>IF(Таблица1[[#This Row],[ТТН]]&gt;0,Таблица1[[#This Row],[Ставка за ТТН]]*Таблица1[[#This Row],[ТТН]],0)</f>
        <v>0</v>
      </c>
    </row>
    <row r="3291" spans="1:22" x14ac:dyDescent="0.25">
      <c r="A3291" t="s">
        <v>84</v>
      </c>
      <c r="B3291" s="24">
        <v>7</v>
      </c>
      <c r="C3291" t="s">
        <v>195</v>
      </c>
      <c r="D3291" t="s">
        <v>12</v>
      </c>
      <c r="E3291" t="s">
        <v>215</v>
      </c>
      <c r="F3291" t="s">
        <v>66</v>
      </c>
      <c r="H3291" t="s">
        <v>10</v>
      </c>
      <c r="I3291" t="s">
        <v>219</v>
      </c>
      <c r="J3291">
        <v>22</v>
      </c>
      <c r="N3291">
        <f>Таблица1[[#This Row],[Часов на заказчика  в работе]]+Таблица1[[#This Row],[Часов на заказчика  дежурство]]</f>
        <v>0</v>
      </c>
      <c r="O32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1" s="9">
        <v>162000</v>
      </c>
      <c r="R3291" s="9"/>
      <c r="S3291" s="5">
        <v>1</v>
      </c>
      <c r="T32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табеле]])*S3291,0)</f>
        <v>10800</v>
      </c>
      <c r="U3291" s="5">
        <f>IF(Таблица1[[#This Row],[ТТН]]&gt;0,Таблица1[[#This Row],[Ставка за ТТН]]*Таблица1[[#This Row],[ТТН]],0)</f>
        <v>0</v>
      </c>
    </row>
    <row r="3292" spans="1:22" x14ac:dyDescent="0.25">
      <c r="A3292" t="s">
        <v>84</v>
      </c>
      <c r="B3292" s="24">
        <v>8</v>
      </c>
      <c r="C3292" t="s">
        <v>195</v>
      </c>
      <c r="D3292" t="s">
        <v>12</v>
      </c>
      <c r="E3292" t="s">
        <v>215</v>
      </c>
      <c r="F3292" t="s">
        <v>66</v>
      </c>
      <c r="H3292" t="s">
        <v>10</v>
      </c>
      <c r="I3292" t="s">
        <v>219</v>
      </c>
      <c r="J3292">
        <v>22</v>
      </c>
      <c r="N3292">
        <f>Таблица1[[#This Row],[Часов на заказчика  в работе]]+Таблица1[[#This Row],[Часов на заказчика  дежурство]]</f>
        <v>0</v>
      </c>
      <c r="O32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2" s="9">
        <v>162000</v>
      </c>
      <c r="R3292" s="9"/>
      <c r="S3292" s="5">
        <v>1</v>
      </c>
      <c r="T32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табеле]])*S3292,0)</f>
        <v>10800</v>
      </c>
      <c r="U3292" s="5">
        <f>IF(Таблица1[[#This Row],[ТТН]]&gt;0,Таблица1[[#This Row],[Ставка за ТТН]]*Таблица1[[#This Row],[ТТН]],0)</f>
        <v>0</v>
      </c>
    </row>
    <row r="3293" spans="1:22" x14ac:dyDescent="0.25">
      <c r="A3293" t="s">
        <v>84</v>
      </c>
      <c r="B3293" s="24">
        <v>9</v>
      </c>
      <c r="C3293" t="s">
        <v>195</v>
      </c>
      <c r="D3293" t="s">
        <v>12</v>
      </c>
      <c r="E3293" t="s">
        <v>215</v>
      </c>
      <c r="F3293" t="s">
        <v>66</v>
      </c>
      <c r="H3293" t="s">
        <v>10</v>
      </c>
      <c r="I3293" t="s">
        <v>219</v>
      </c>
      <c r="J3293">
        <v>11</v>
      </c>
      <c r="K3293">
        <v>1</v>
      </c>
      <c r="N3293">
        <f>Таблица1[[#This Row],[Часов на заказчика  в работе]]+Таблица1[[#This Row],[Часов на заказчика  дежурство]]</f>
        <v>0</v>
      </c>
      <c r="O32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3" s="9">
        <v>162000</v>
      </c>
      <c r="R3293" s="9">
        <v>5000</v>
      </c>
      <c r="S3293" s="5">
        <v>1</v>
      </c>
      <c r="T32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табеле]])*S3293,0)</f>
        <v>5400</v>
      </c>
      <c r="U3293" s="5">
        <f>IF(Таблица1[[#This Row],[ТТН]]&gt;0,Таблица1[[#This Row],[Ставка за ТТН]]*Таблица1[[#This Row],[ТТН]],0)</f>
        <v>5000</v>
      </c>
    </row>
    <row r="3294" spans="1:22" x14ac:dyDescent="0.25">
      <c r="A3294" t="s">
        <v>84</v>
      </c>
      <c r="B3294" s="24">
        <v>10</v>
      </c>
      <c r="C3294" t="s">
        <v>195</v>
      </c>
      <c r="D3294" t="s">
        <v>12</v>
      </c>
      <c r="E3294" t="s">
        <v>215</v>
      </c>
      <c r="F3294" t="s">
        <v>66</v>
      </c>
      <c r="H3294" t="s">
        <v>10</v>
      </c>
      <c r="I3294" t="s">
        <v>219</v>
      </c>
      <c r="J3294">
        <v>22</v>
      </c>
      <c r="N3294">
        <f>Таблица1[[#This Row],[Часов на заказчика  в работе]]+Таблица1[[#This Row],[Часов на заказчика  дежурство]]</f>
        <v>0</v>
      </c>
      <c r="O32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4" s="9">
        <v>162000</v>
      </c>
      <c r="R3294" s="9"/>
      <c r="S3294" s="5">
        <v>1</v>
      </c>
      <c r="T32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табеле]])*S3294,0)</f>
        <v>10800</v>
      </c>
      <c r="U3294" s="5">
        <f>IF(Таблица1[[#This Row],[ТТН]]&gt;0,Таблица1[[#This Row],[Ставка за ТТН]]*Таблица1[[#This Row],[ТТН]],0)</f>
        <v>0</v>
      </c>
    </row>
    <row r="3295" spans="1:22" x14ac:dyDescent="0.25">
      <c r="A3295" t="s">
        <v>84</v>
      </c>
      <c r="B3295" s="24">
        <v>11</v>
      </c>
      <c r="C3295" t="s">
        <v>195</v>
      </c>
      <c r="D3295" t="s">
        <v>12</v>
      </c>
      <c r="E3295" t="s">
        <v>215</v>
      </c>
      <c r="F3295" t="s">
        <v>66</v>
      </c>
      <c r="H3295" t="s">
        <v>10</v>
      </c>
      <c r="I3295" t="s">
        <v>219</v>
      </c>
      <c r="J3295">
        <v>11</v>
      </c>
      <c r="N3295">
        <f>Таблица1[[#This Row],[Часов на заказчика  в работе]]+Таблица1[[#This Row],[Часов на заказчика  дежурство]]</f>
        <v>0</v>
      </c>
      <c r="O32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5" s="9">
        <v>162000</v>
      </c>
      <c r="R3295" s="9"/>
      <c r="S3295" s="5">
        <v>1</v>
      </c>
      <c r="T32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табеле]])*S3295,0)</f>
        <v>5400</v>
      </c>
      <c r="U3295" s="5">
        <f>IF(Таблица1[[#This Row],[ТТН]]&gt;0,Таблица1[[#This Row],[Ставка за ТТН]]*Таблица1[[#This Row],[ТТН]],0)</f>
        <v>0</v>
      </c>
    </row>
    <row r="3296" spans="1:22" x14ac:dyDescent="0.25">
      <c r="A3296" t="s">
        <v>84</v>
      </c>
      <c r="B3296" s="24">
        <v>12</v>
      </c>
      <c r="C3296" t="s">
        <v>195</v>
      </c>
      <c r="D3296" t="s">
        <v>12</v>
      </c>
      <c r="E3296" t="s">
        <v>215</v>
      </c>
      <c r="F3296" t="s">
        <v>66</v>
      </c>
      <c r="H3296" t="s">
        <v>10</v>
      </c>
      <c r="I3296" t="s">
        <v>219</v>
      </c>
      <c r="J3296">
        <v>22</v>
      </c>
      <c r="N3296">
        <f>Таблица1[[#This Row],[Часов на заказчика  в работе]]+Таблица1[[#This Row],[Часов на заказчика  дежурство]]</f>
        <v>0</v>
      </c>
      <c r="O32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6" s="9">
        <v>162000</v>
      </c>
      <c r="R3296" s="9"/>
      <c r="S3296" s="5">
        <v>1</v>
      </c>
      <c r="T32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табеле]])*S3296,0)</f>
        <v>10800</v>
      </c>
      <c r="U3296" s="5">
        <f>IF(Таблица1[[#This Row],[ТТН]]&gt;0,Таблица1[[#This Row],[Ставка за ТТН]]*Таблица1[[#This Row],[ТТН]],0)</f>
        <v>0</v>
      </c>
    </row>
    <row r="3297" spans="1:21" x14ac:dyDescent="0.25">
      <c r="A3297" t="s">
        <v>84</v>
      </c>
      <c r="B3297" s="24">
        <v>13</v>
      </c>
      <c r="C3297" t="s">
        <v>195</v>
      </c>
      <c r="D3297" t="s">
        <v>12</v>
      </c>
      <c r="E3297" t="s">
        <v>215</v>
      </c>
      <c r="F3297" t="s">
        <v>66</v>
      </c>
      <c r="H3297" t="s">
        <v>10</v>
      </c>
      <c r="I3297" t="s">
        <v>219</v>
      </c>
      <c r="J3297">
        <v>22</v>
      </c>
      <c r="N3297">
        <f>Таблица1[[#This Row],[Часов на заказчика  в работе]]+Таблица1[[#This Row],[Часов на заказчика  дежурство]]</f>
        <v>0</v>
      </c>
      <c r="O32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7" s="9">
        <v>162000</v>
      </c>
      <c r="R3297" s="9"/>
      <c r="S3297" s="5">
        <v>1</v>
      </c>
      <c r="T32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табеле]])*S3297,0)</f>
        <v>10800</v>
      </c>
      <c r="U3297" s="5">
        <f>IF(Таблица1[[#This Row],[ТТН]]&gt;0,Таблица1[[#This Row],[Ставка за ТТН]]*Таблица1[[#This Row],[ТТН]],0)</f>
        <v>0</v>
      </c>
    </row>
    <row r="3298" spans="1:21" x14ac:dyDescent="0.25">
      <c r="A3298" t="s">
        <v>84</v>
      </c>
      <c r="B3298" s="24">
        <v>14</v>
      </c>
      <c r="C3298" t="s">
        <v>195</v>
      </c>
      <c r="D3298" t="s">
        <v>12</v>
      </c>
      <c r="E3298" t="s">
        <v>215</v>
      </c>
      <c r="F3298" t="s">
        <v>66</v>
      </c>
      <c r="H3298" t="s">
        <v>10</v>
      </c>
      <c r="I3298" t="s">
        <v>219</v>
      </c>
      <c r="J3298">
        <v>11</v>
      </c>
      <c r="N3298">
        <f>Таблица1[[#This Row],[Часов на заказчика  в работе]]+Таблица1[[#This Row],[Часов на заказчика  дежурство]]</f>
        <v>0</v>
      </c>
      <c r="O32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8" s="9">
        <v>162000</v>
      </c>
      <c r="R3298" s="9"/>
      <c r="S3298" s="5">
        <v>1</v>
      </c>
      <c r="T32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табеле]])*S3298,0)</f>
        <v>5400</v>
      </c>
      <c r="U3298" s="5">
        <f>IF(Таблица1[[#This Row],[ТТН]]&gt;0,Таблица1[[#This Row],[Ставка за ТТН]]*Таблица1[[#This Row],[ТТН]],0)</f>
        <v>0</v>
      </c>
    </row>
    <row r="3299" spans="1:21" x14ac:dyDescent="0.25">
      <c r="A3299" t="s">
        <v>84</v>
      </c>
      <c r="B3299" s="24">
        <v>15</v>
      </c>
      <c r="C3299" t="s">
        <v>195</v>
      </c>
      <c r="D3299" t="s">
        <v>12</v>
      </c>
      <c r="E3299" t="s">
        <v>215</v>
      </c>
      <c r="F3299" t="s">
        <v>66</v>
      </c>
      <c r="H3299" t="s">
        <v>10</v>
      </c>
      <c r="I3299" t="s">
        <v>219</v>
      </c>
      <c r="J3299">
        <v>11</v>
      </c>
      <c r="N3299">
        <f>Таблица1[[#This Row],[Часов на заказчика  в работе]]+Таблица1[[#This Row],[Часов на заказчика  дежурство]]</f>
        <v>0</v>
      </c>
      <c r="O32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299" s="9">
        <v>162000</v>
      </c>
      <c r="R3299" s="9"/>
      <c r="S3299" s="5">
        <v>1</v>
      </c>
      <c r="T32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табеле]])*S3299,0)</f>
        <v>5400</v>
      </c>
      <c r="U3299" s="5">
        <f>IF(Таблица1[[#This Row],[ТТН]]&gt;0,Таблица1[[#This Row],[Ставка за ТТН]]*Таблица1[[#This Row],[ТТН]],0)</f>
        <v>0</v>
      </c>
    </row>
    <row r="3300" spans="1:21" x14ac:dyDescent="0.25">
      <c r="A3300" t="s">
        <v>84</v>
      </c>
      <c r="B3300" s="24">
        <v>16</v>
      </c>
      <c r="C3300" t="s">
        <v>195</v>
      </c>
      <c r="D3300" t="s">
        <v>12</v>
      </c>
      <c r="E3300" t="s">
        <v>215</v>
      </c>
      <c r="F3300" t="s">
        <v>66</v>
      </c>
      <c r="H3300" t="s">
        <v>10</v>
      </c>
      <c r="I3300" t="s">
        <v>219</v>
      </c>
      <c r="J3300">
        <v>22</v>
      </c>
      <c r="N3300">
        <f>Таблица1[[#This Row],[Часов на заказчика  в работе]]+Таблица1[[#This Row],[Часов на заказчика  дежурство]]</f>
        <v>0</v>
      </c>
      <c r="O33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0" s="9">
        <v>162000</v>
      </c>
      <c r="R3300" s="9"/>
      <c r="S3300" s="5">
        <v>1</v>
      </c>
      <c r="T33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табеле]])*S3300,0)</f>
        <v>10800</v>
      </c>
      <c r="U3300" s="5">
        <f>IF(Таблица1[[#This Row],[ТТН]]&gt;0,Таблица1[[#This Row],[Ставка за ТТН]]*Таблица1[[#This Row],[ТТН]],0)</f>
        <v>0</v>
      </c>
    </row>
    <row r="3301" spans="1:21" x14ac:dyDescent="0.25">
      <c r="A3301" t="s">
        <v>84</v>
      </c>
      <c r="B3301" s="24">
        <v>17</v>
      </c>
      <c r="C3301" t="s">
        <v>195</v>
      </c>
      <c r="D3301" t="s">
        <v>12</v>
      </c>
      <c r="E3301" t="s">
        <v>215</v>
      </c>
      <c r="F3301" t="s">
        <v>66</v>
      </c>
      <c r="H3301" t="s">
        <v>10</v>
      </c>
      <c r="I3301" t="s">
        <v>219</v>
      </c>
      <c r="J3301">
        <v>11</v>
      </c>
      <c r="K3301">
        <v>1</v>
      </c>
      <c r="N3301">
        <f>Таблица1[[#This Row],[Часов на заказчика  в работе]]+Таблица1[[#This Row],[Часов на заказчика  дежурство]]</f>
        <v>0</v>
      </c>
      <c r="O33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1" s="9">
        <v>162000</v>
      </c>
      <c r="R3301" s="9">
        <v>5000</v>
      </c>
      <c r="S3301" s="5">
        <v>1</v>
      </c>
      <c r="T33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табеле]])*S3301,0)</f>
        <v>5400</v>
      </c>
      <c r="U3301" s="5">
        <f>IF(Таблица1[[#This Row],[ТТН]]&gt;0,Таблица1[[#This Row],[Ставка за ТТН]]*Таблица1[[#This Row],[ТТН]],0)</f>
        <v>5000</v>
      </c>
    </row>
    <row r="3302" spans="1:21" x14ac:dyDescent="0.25">
      <c r="A3302" t="s">
        <v>84</v>
      </c>
      <c r="B3302" s="24">
        <v>18</v>
      </c>
      <c r="C3302" t="s">
        <v>195</v>
      </c>
      <c r="D3302" t="s">
        <v>12</v>
      </c>
      <c r="E3302" t="s">
        <v>215</v>
      </c>
      <c r="F3302" t="s">
        <v>66</v>
      </c>
      <c r="H3302" t="s">
        <v>10</v>
      </c>
      <c r="I3302" t="s">
        <v>219</v>
      </c>
      <c r="J3302">
        <v>22</v>
      </c>
      <c r="N3302">
        <f>Таблица1[[#This Row],[Часов на заказчика  в работе]]+Таблица1[[#This Row],[Часов на заказчика  дежурство]]</f>
        <v>0</v>
      </c>
      <c r="O33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2" s="9">
        <v>162000</v>
      </c>
      <c r="R3302" s="9"/>
      <c r="S3302" s="5">
        <v>1</v>
      </c>
      <c r="T33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табеле]])*S3302,0)</f>
        <v>10800</v>
      </c>
      <c r="U3302" s="5">
        <f>IF(Таблица1[[#This Row],[ТТН]]&gt;0,Таблица1[[#This Row],[Ставка за ТТН]]*Таблица1[[#This Row],[ТТН]],0)</f>
        <v>0</v>
      </c>
    </row>
    <row r="3303" spans="1:21" x14ac:dyDescent="0.25">
      <c r="A3303" t="s">
        <v>84</v>
      </c>
      <c r="B3303" s="24">
        <v>19</v>
      </c>
      <c r="C3303" t="s">
        <v>195</v>
      </c>
      <c r="D3303" t="s">
        <v>12</v>
      </c>
      <c r="E3303" t="s">
        <v>215</v>
      </c>
      <c r="F3303" t="s">
        <v>66</v>
      </c>
      <c r="H3303" t="s">
        <v>10</v>
      </c>
      <c r="I3303" t="s">
        <v>219</v>
      </c>
      <c r="J3303">
        <v>11</v>
      </c>
      <c r="K3303">
        <v>1</v>
      </c>
      <c r="N3303">
        <f>Таблица1[[#This Row],[Часов на заказчика  в работе]]+Таблица1[[#This Row],[Часов на заказчика  дежурство]]</f>
        <v>0</v>
      </c>
      <c r="O33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3" s="9">
        <v>162000</v>
      </c>
      <c r="R3303" s="9">
        <v>5000</v>
      </c>
      <c r="S3303" s="5">
        <v>1</v>
      </c>
      <c r="T33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табеле]])*S3303,0)</f>
        <v>5400</v>
      </c>
      <c r="U3303" s="5">
        <f>IF(Таблица1[[#This Row],[ТТН]]&gt;0,Таблица1[[#This Row],[Ставка за ТТН]]*Таблица1[[#This Row],[ТТН]],0)</f>
        <v>5000</v>
      </c>
    </row>
    <row r="3304" spans="1:21" x14ac:dyDescent="0.25">
      <c r="A3304" t="s">
        <v>84</v>
      </c>
      <c r="B3304" s="24">
        <v>20</v>
      </c>
      <c r="C3304" t="s">
        <v>195</v>
      </c>
      <c r="D3304" t="s">
        <v>12</v>
      </c>
      <c r="E3304" t="s">
        <v>215</v>
      </c>
      <c r="F3304" t="s">
        <v>66</v>
      </c>
      <c r="H3304" t="s">
        <v>10</v>
      </c>
      <c r="I3304" t="s">
        <v>219</v>
      </c>
      <c r="J3304">
        <v>22</v>
      </c>
      <c r="K3304">
        <v>1</v>
      </c>
      <c r="N3304">
        <f>Таблица1[[#This Row],[Часов на заказчика  в работе]]+Таблица1[[#This Row],[Часов на заказчика  дежурство]]</f>
        <v>0</v>
      </c>
      <c r="O33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4" s="9">
        <v>162000</v>
      </c>
      <c r="R3304" s="9">
        <v>5000</v>
      </c>
      <c r="S3304" s="5">
        <v>1</v>
      </c>
      <c r="T33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табеле]])*S3304,0)</f>
        <v>10800</v>
      </c>
      <c r="U3304" s="5">
        <f>IF(Таблица1[[#This Row],[ТТН]]&gt;0,Таблица1[[#This Row],[Ставка за ТТН]]*Таблица1[[#This Row],[ТТН]],0)</f>
        <v>5000</v>
      </c>
    </row>
    <row r="3305" spans="1:21" x14ac:dyDescent="0.25">
      <c r="A3305" t="s">
        <v>84</v>
      </c>
      <c r="B3305" s="24">
        <v>21</v>
      </c>
      <c r="C3305" t="s">
        <v>195</v>
      </c>
      <c r="D3305" t="s">
        <v>12</v>
      </c>
      <c r="E3305" t="s">
        <v>215</v>
      </c>
      <c r="F3305" t="s">
        <v>66</v>
      </c>
      <c r="H3305" t="s">
        <v>10</v>
      </c>
      <c r="I3305" t="s">
        <v>219</v>
      </c>
      <c r="J3305">
        <v>22</v>
      </c>
      <c r="N3305">
        <f>Таблица1[[#This Row],[Часов на заказчика  в работе]]+Таблица1[[#This Row],[Часов на заказчика  дежурство]]</f>
        <v>0</v>
      </c>
      <c r="O33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5" s="9">
        <v>162000</v>
      </c>
      <c r="R3305" s="9"/>
      <c r="S3305" s="5">
        <v>1</v>
      </c>
      <c r="T33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табеле]])*S3305,0)</f>
        <v>10800</v>
      </c>
      <c r="U3305" s="5">
        <f>IF(Таблица1[[#This Row],[ТТН]]&gt;0,Таблица1[[#This Row],[Ставка за ТТН]]*Таблица1[[#This Row],[ТТН]],0)</f>
        <v>0</v>
      </c>
    </row>
    <row r="3306" spans="1:21" x14ac:dyDescent="0.25">
      <c r="A3306" t="s">
        <v>84</v>
      </c>
      <c r="B3306" s="24">
        <v>22</v>
      </c>
      <c r="C3306" t="s">
        <v>195</v>
      </c>
      <c r="D3306" t="s">
        <v>12</v>
      </c>
      <c r="E3306" t="s">
        <v>215</v>
      </c>
      <c r="F3306" t="s">
        <v>66</v>
      </c>
      <c r="H3306" t="s">
        <v>10</v>
      </c>
      <c r="I3306" t="s">
        <v>219</v>
      </c>
      <c r="J3306">
        <v>22</v>
      </c>
      <c r="N3306">
        <f>Таблица1[[#This Row],[Часов на заказчика  в работе]]+Таблица1[[#This Row],[Часов на заказчика  дежурство]]</f>
        <v>0</v>
      </c>
      <c r="O33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6" s="9">
        <v>162000</v>
      </c>
      <c r="R3306" s="9"/>
      <c r="S3306" s="5">
        <v>1</v>
      </c>
      <c r="T33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табеле]])*S3306,0)</f>
        <v>10800</v>
      </c>
      <c r="U3306" s="5">
        <f>IF(Таблица1[[#This Row],[ТТН]]&gt;0,Таблица1[[#This Row],[Ставка за ТТН]]*Таблица1[[#This Row],[ТТН]],0)</f>
        <v>0</v>
      </c>
    </row>
    <row r="3307" spans="1:21" x14ac:dyDescent="0.25">
      <c r="A3307" t="s">
        <v>84</v>
      </c>
      <c r="B3307" s="24">
        <v>23</v>
      </c>
      <c r="C3307" t="s">
        <v>195</v>
      </c>
      <c r="D3307" t="s">
        <v>12</v>
      </c>
      <c r="E3307" t="s">
        <v>215</v>
      </c>
      <c r="F3307" t="s">
        <v>66</v>
      </c>
      <c r="H3307" t="s">
        <v>10</v>
      </c>
      <c r="I3307" t="s">
        <v>219</v>
      </c>
      <c r="J3307">
        <v>11</v>
      </c>
      <c r="K3307">
        <v>1</v>
      </c>
      <c r="N3307">
        <f>Таблица1[[#This Row],[Часов на заказчика  в работе]]+Таблица1[[#This Row],[Часов на заказчика  дежурство]]</f>
        <v>0</v>
      </c>
      <c r="O33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7" s="9">
        <v>162000</v>
      </c>
      <c r="R3307" s="9">
        <v>5000</v>
      </c>
      <c r="S3307" s="5">
        <v>1</v>
      </c>
      <c r="T33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табеле]])*S3307,0)</f>
        <v>5400</v>
      </c>
      <c r="U3307" s="5">
        <f>IF(Таблица1[[#This Row],[ТТН]]&gt;0,Таблица1[[#This Row],[Ставка за ТТН]]*Таблица1[[#This Row],[ТТН]],0)</f>
        <v>5000</v>
      </c>
    </row>
    <row r="3308" spans="1:21" x14ac:dyDescent="0.25">
      <c r="A3308" t="s">
        <v>84</v>
      </c>
      <c r="B3308" s="24">
        <v>24</v>
      </c>
      <c r="C3308" t="s">
        <v>195</v>
      </c>
      <c r="D3308" t="s">
        <v>12</v>
      </c>
      <c r="E3308" t="s">
        <v>215</v>
      </c>
      <c r="F3308" t="s">
        <v>66</v>
      </c>
      <c r="H3308" t="s">
        <v>10</v>
      </c>
      <c r="I3308" t="s">
        <v>219</v>
      </c>
      <c r="J3308">
        <v>22</v>
      </c>
      <c r="N3308">
        <f>Таблица1[[#This Row],[Часов на заказчика  в работе]]+Таблица1[[#This Row],[Часов на заказчика  дежурство]]</f>
        <v>0</v>
      </c>
      <c r="O33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8" s="9">
        <v>162000</v>
      </c>
      <c r="R3308" s="9"/>
      <c r="S3308" s="5">
        <v>1</v>
      </c>
      <c r="T33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табеле]])*S3308,0)</f>
        <v>10800</v>
      </c>
      <c r="U3308" s="5">
        <f>IF(Таблица1[[#This Row],[ТТН]]&gt;0,Таблица1[[#This Row],[Ставка за ТТН]]*Таблица1[[#This Row],[ТТН]],0)</f>
        <v>0</v>
      </c>
    </row>
    <row r="3309" spans="1:21" x14ac:dyDescent="0.25">
      <c r="A3309" t="s">
        <v>84</v>
      </c>
      <c r="B3309" s="24">
        <v>25</v>
      </c>
      <c r="C3309" t="s">
        <v>195</v>
      </c>
      <c r="D3309" t="s">
        <v>12</v>
      </c>
      <c r="E3309" t="s">
        <v>215</v>
      </c>
      <c r="F3309" t="s">
        <v>66</v>
      </c>
      <c r="H3309" t="s">
        <v>10</v>
      </c>
      <c r="I3309" t="s">
        <v>219</v>
      </c>
      <c r="J3309">
        <v>11</v>
      </c>
      <c r="N3309">
        <f>Таблица1[[#This Row],[Часов на заказчика  в работе]]+Таблица1[[#This Row],[Часов на заказчика  дежурство]]</f>
        <v>0</v>
      </c>
      <c r="O33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09" s="9">
        <v>162000</v>
      </c>
      <c r="R3309" s="9"/>
      <c r="S3309" s="5">
        <v>1</v>
      </c>
      <c r="T33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табеле]])*S3309,0)</f>
        <v>5400</v>
      </c>
      <c r="U3309" s="5">
        <f>IF(Таблица1[[#This Row],[ТТН]]&gt;0,Таблица1[[#This Row],[Ставка за ТТН]]*Таблица1[[#This Row],[ТТН]],0)</f>
        <v>0</v>
      </c>
    </row>
    <row r="3310" spans="1:21" x14ac:dyDescent="0.25">
      <c r="A3310" t="s">
        <v>84</v>
      </c>
      <c r="B3310" s="24">
        <v>26</v>
      </c>
      <c r="C3310" t="s">
        <v>195</v>
      </c>
      <c r="D3310" t="s">
        <v>12</v>
      </c>
      <c r="E3310" t="s">
        <v>215</v>
      </c>
      <c r="F3310" t="s">
        <v>66</v>
      </c>
      <c r="H3310" t="s">
        <v>10</v>
      </c>
      <c r="I3310" t="s">
        <v>219</v>
      </c>
      <c r="J3310">
        <v>22</v>
      </c>
      <c r="N3310">
        <f>Таблица1[[#This Row],[Часов на заказчика  в работе]]+Таблица1[[#This Row],[Часов на заказчика  дежурство]]</f>
        <v>0</v>
      </c>
      <c r="O33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0" s="9">
        <v>162000</v>
      </c>
      <c r="R3310" s="9"/>
      <c r="S3310" s="5">
        <v>1</v>
      </c>
      <c r="T33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табеле]])*S3310,0)</f>
        <v>10800</v>
      </c>
      <c r="U3310" s="5">
        <f>IF(Таблица1[[#This Row],[ТТН]]&gt;0,Таблица1[[#This Row],[Ставка за ТТН]]*Таблица1[[#This Row],[ТТН]],0)</f>
        <v>0</v>
      </c>
    </row>
    <row r="3311" spans="1:21" x14ac:dyDescent="0.25">
      <c r="A3311" t="s">
        <v>84</v>
      </c>
      <c r="B3311" s="24">
        <v>27</v>
      </c>
      <c r="C3311" t="s">
        <v>195</v>
      </c>
      <c r="D3311" t="s">
        <v>12</v>
      </c>
      <c r="E3311" t="s">
        <v>215</v>
      </c>
      <c r="F3311" t="s">
        <v>66</v>
      </c>
      <c r="H3311" t="s">
        <v>10</v>
      </c>
      <c r="I3311" t="s">
        <v>219</v>
      </c>
      <c r="J3311">
        <v>11</v>
      </c>
      <c r="K3311">
        <v>1</v>
      </c>
      <c r="N3311">
        <f>Таблица1[[#This Row],[Часов на заказчика  в работе]]+Таблица1[[#This Row],[Часов на заказчика  дежурство]]</f>
        <v>0</v>
      </c>
      <c r="O33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1" s="9">
        <v>162000</v>
      </c>
      <c r="R3311" s="9">
        <v>5000</v>
      </c>
      <c r="S3311" s="5">
        <v>1</v>
      </c>
      <c r="T33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табеле]])*S3311,0)</f>
        <v>5400</v>
      </c>
      <c r="U3311" s="5">
        <f>IF(Таблица1[[#This Row],[ТТН]]&gt;0,Таблица1[[#This Row],[Ставка за ТТН]]*Таблица1[[#This Row],[ТТН]],0)</f>
        <v>5000</v>
      </c>
    </row>
    <row r="3312" spans="1:21" x14ac:dyDescent="0.25">
      <c r="A3312" t="s">
        <v>84</v>
      </c>
      <c r="B3312" s="24">
        <v>28</v>
      </c>
      <c r="C3312" t="s">
        <v>195</v>
      </c>
      <c r="D3312" t="s">
        <v>12</v>
      </c>
      <c r="E3312" t="s">
        <v>215</v>
      </c>
      <c r="F3312" t="s">
        <v>66</v>
      </c>
      <c r="H3312" t="s">
        <v>10</v>
      </c>
      <c r="I3312" t="s">
        <v>219</v>
      </c>
      <c r="J3312">
        <v>22</v>
      </c>
      <c r="N3312">
        <f>Таблица1[[#This Row],[Часов на заказчика  в работе]]+Таблица1[[#This Row],[Часов на заказчика  дежурство]]</f>
        <v>0</v>
      </c>
      <c r="O33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2" s="9">
        <v>162000</v>
      </c>
      <c r="R3312" s="9"/>
      <c r="S3312" s="5">
        <v>1</v>
      </c>
      <c r="T33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табеле]])*S3312,0)</f>
        <v>10800</v>
      </c>
      <c r="U3312" s="5">
        <f>IF(Таблица1[[#This Row],[ТТН]]&gt;0,Таблица1[[#This Row],[Ставка за ТТН]]*Таблица1[[#This Row],[ТТН]],0)</f>
        <v>0</v>
      </c>
    </row>
    <row r="3313" spans="1:21" x14ac:dyDescent="0.25">
      <c r="A3313" t="s">
        <v>84</v>
      </c>
      <c r="B3313" s="24">
        <v>29</v>
      </c>
      <c r="C3313" t="s">
        <v>195</v>
      </c>
      <c r="D3313" t="s">
        <v>12</v>
      </c>
      <c r="E3313" t="s">
        <v>215</v>
      </c>
      <c r="F3313" t="s">
        <v>66</v>
      </c>
      <c r="H3313" t="s">
        <v>10</v>
      </c>
      <c r="I3313" t="s">
        <v>219</v>
      </c>
      <c r="J3313">
        <v>11</v>
      </c>
      <c r="N3313">
        <f>Таблица1[[#This Row],[Часов на заказчика  в работе]]+Таблица1[[#This Row],[Часов на заказчика  дежурство]]</f>
        <v>0</v>
      </c>
      <c r="O33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3" s="9">
        <v>162000</v>
      </c>
      <c r="R3313" s="9"/>
      <c r="S3313" s="5">
        <v>1</v>
      </c>
      <c r="T33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табеле]])*S3313,0)</f>
        <v>5400</v>
      </c>
      <c r="U3313" s="5">
        <f>IF(Таблица1[[#This Row],[ТТН]]&gt;0,Таблица1[[#This Row],[Ставка за ТТН]]*Таблица1[[#This Row],[ТТН]],0)</f>
        <v>0</v>
      </c>
    </row>
    <row r="3314" spans="1:21" x14ac:dyDescent="0.25">
      <c r="A3314" t="s">
        <v>84</v>
      </c>
      <c r="B3314" s="24">
        <v>30</v>
      </c>
      <c r="C3314" t="s">
        <v>176</v>
      </c>
      <c r="D3314" t="s">
        <v>12</v>
      </c>
      <c r="E3314" t="s">
        <v>215</v>
      </c>
      <c r="F3314" t="s">
        <v>66</v>
      </c>
      <c r="H3314" t="s">
        <v>10</v>
      </c>
      <c r="I3314" t="s">
        <v>219</v>
      </c>
      <c r="J3314">
        <v>22</v>
      </c>
      <c r="N3314">
        <f>Таблица1[[#This Row],[Часов на заказчика  в работе]]+Таблица1[[#This Row],[Часов на заказчика  дежурство]]</f>
        <v>0</v>
      </c>
      <c r="O33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4" s="9">
        <v>162000</v>
      </c>
      <c r="R3314" s="9"/>
      <c r="S3314" s="5">
        <v>1</v>
      </c>
      <c r="T33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табеле]])*S3314,0)</f>
        <v>10800</v>
      </c>
      <c r="U3314" s="5">
        <f>IF(Таблица1[[#This Row],[ТТН]]&gt;0,Таблица1[[#This Row],[Ставка за ТТН]]*Таблица1[[#This Row],[ТТН]],0)</f>
        <v>0</v>
      </c>
    </row>
    <row r="3315" spans="1:21" x14ac:dyDescent="0.25">
      <c r="A3315" t="s">
        <v>84</v>
      </c>
      <c r="B3315" s="24">
        <v>1</v>
      </c>
      <c r="C3315" t="s">
        <v>176</v>
      </c>
      <c r="D3315" t="s">
        <v>12</v>
      </c>
      <c r="E3315" t="s">
        <v>215</v>
      </c>
      <c r="F3315" t="s">
        <v>73</v>
      </c>
      <c r="H3315" t="s">
        <v>10</v>
      </c>
      <c r="I3315" t="s">
        <v>219</v>
      </c>
      <c r="J3315">
        <v>11</v>
      </c>
      <c r="N3315">
        <f>Таблица1[[#This Row],[Часов на заказчика  в работе]]+Таблица1[[#This Row],[Часов на заказчика  дежурство]]</f>
        <v>0</v>
      </c>
      <c r="O33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5" s="9">
        <v>174000</v>
      </c>
      <c r="R3315" s="9"/>
      <c r="S3315" s="5">
        <v>1</v>
      </c>
      <c r="T33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табеле]])*S3315,0)</f>
        <v>5800</v>
      </c>
      <c r="U3315" s="5">
        <f>IF(Таблица1[[#This Row],[ТТН]]&gt;0,Таблица1[[#This Row],[Ставка за ТТН]]*Таблица1[[#This Row],[ТТН]],0)</f>
        <v>0</v>
      </c>
    </row>
    <row r="3316" spans="1:21" x14ac:dyDescent="0.25">
      <c r="A3316" t="s">
        <v>84</v>
      </c>
      <c r="B3316" s="24">
        <v>2</v>
      </c>
      <c r="C3316" t="s">
        <v>176</v>
      </c>
      <c r="D3316" t="s">
        <v>12</v>
      </c>
      <c r="E3316" t="s">
        <v>215</v>
      </c>
      <c r="F3316" t="s">
        <v>73</v>
      </c>
      <c r="H3316" t="s">
        <v>10</v>
      </c>
      <c r="I3316" t="s">
        <v>219</v>
      </c>
      <c r="J3316">
        <v>11</v>
      </c>
      <c r="N3316">
        <f>Таблица1[[#This Row],[Часов на заказчика  в работе]]+Таблица1[[#This Row],[Часов на заказчика  дежурство]]</f>
        <v>0</v>
      </c>
      <c r="O33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6" s="9">
        <v>174000</v>
      </c>
      <c r="R3316" s="9"/>
      <c r="S3316" s="5">
        <v>1</v>
      </c>
      <c r="T33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табеле]])*S3316,0)</f>
        <v>5800</v>
      </c>
      <c r="U3316" s="5">
        <f>IF(Таблица1[[#This Row],[ТТН]]&gt;0,Таблица1[[#This Row],[Ставка за ТТН]]*Таблица1[[#This Row],[ТТН]],0)</f>
        <v>0</v>
      </c>
    </row>
    <row r="3317" spans="1:21" x14ac:dyDescent="0.25">
      <c r="A3317" t="s">
        <v>84</v>
      </c>
      <c r="B3317" s="24">
        <v>3</v>
      </c>
      <c r="C3317" t="s">
        <v>176</v>
      </c>
      <c r="D3317" t="s">
        <v>12</v>
      </c>
      <c r="E3317" t="s">
        <v>215</v>
      </c>
      <c r="F3317" t="s">
        <v>73</v>
      </c>
      <c r="H3317" t="s">
        <v>38</v>
      </c>
      <c r="I3317" t="s">
        <v>219</v>
      </c>
      <c r="J3317">
        <v>11</v>
      </c>
      <c r="N3317">
        <f>Таблица1[[#This Row],[Часов на заказчика  в работе]]+Таблица1[[#This Row],[Часов на заказчика  дежурство]]</f>
        <v>0</v>
      </c>
      <c r="O33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7" s="9">
        <v>174000</v>
      </c>
      <c r="R3317" s="9"/>
      <c r="S3317" s="5">
        <v>1</v>
      </c>
      <c r="T33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табеле]])*S3317,0)</f>
        <v>5800</v>
      </c>
      <c r="U3317" s="5">
        <f>IF(Таблица1[[#This Row],[ТТН]]&gt;0,Таблица1[[#This Row],[Ставка за ТТН]]*Таблица1[[#This Row],[ТТН]],0)</f>
        <v>0</v>
      </c>
    </row>
    <row r="3318" spans="1:21" x14ac:dyDescent="0.25">
      <c r="A3318" t="s">
        <v>84</v>
      </c>
      <c r="B3318" s="24">
        <v>4</v>
      </c>
      <c r="C3318" t="s">
        <v>176</v>
      </c>
      <c r="D3318" t="s">
        <v>12</v>
      </c>
      <c r="E3318" t="s">
        <v>215</v>
      </c>
      <c r="F3318" t="s">
        <v>73</v>
      </c>
      <c r="H3318" t="s">
        <v>10</v>
      </c>
      <c r="I3318" t="s">
        <v>219</v>
      </c>
      <c r="J3318">
        <v>11</v>
      </c>
      <c r="K3318">
        <v>1</v>
      </c>
      <c r="N3318">
        <f>Таблица1[[#This Row],[Часов на заказчика  в работе]]+Таблица1[[#This Row],[Часов на заказчика  дежурство]]</f>
        <v>0</v>
      </c>
      <c r="O33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8" s="9">
        <v>174000</v>
      </c>
      <c r="R3318" s="9">
        <v>5000</v>
      </c>
      <c r="S3318" s="5">
        <v>1</v>
      </c>
      <c r="T33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табеле]])*S3318,0)</f>
        <v>5800</v>
      </c>
      <c r="U3318" s="5">
        <f>IF(Таблица1[[#This Row],[ТТН]]&gt;0,Таблица1[[#This Row],[Ставка за ТТН]]*Таблица1[[#This Row],[ТТН]],0)</f>
        <v>5000</v>
      </c>
    </row>
    <row r="3319" spans="1:21" x14ac:dyDescent="0.25">
      <c r="A3319" t="s">
        <v>84</v>
      </c>
      <c r="B3319" s="24">
        <v>5</v>
      </c>
      <c r="C3319" t="s">
        <v>176</v>
      </c>
      <c r="D3319" t="s">
        <v>12</v>
      </c>
      <c r="E3319" t="s">
        <v>215</v>
      </c>
      <c r="F3319" t="s">
        <v>73</v>
      </c>
      <c r="H3319" t="s">
        <v>10</v>
      </c>
      <c r="I3319" t="s">
        <v>219</v>
      </c>
      <c r="J3319">
        <v>22</v>
      </c>
      <c r="N3319">
        <f>Таблица1[[#This Row],[Часов на заказчика  в работе]]+Таблица1[[#This Row],[Часов на заказчика  дежурство]]</f>
        <v>0</v>
      </c>
      <c r="O33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19" s="9">
        <v>174000</v>
      </c>
      <c r="R3319" s="9"/>
      <c r="S3319" s="5">
        <v>1</v>
      </c>
      <c r="T33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табеле]])*S3319,0)</f>
        <v>11600</v>
      </c>
      <c r="U3319" s="5">
        <f>IF(Таблица1[[#This Row],[ТТН]]&gt;0,Таблица1[[#This Row],[Ставка за ТТН]]*Таблица1[[#This Row],[ТТН]],0)</f>
        <v>0</v>
      </c>
    </row>
    <row r="3320" spans="1:21" x14ac:dyDescent="0.25">
      <c r="A3320" t="s">
        <v>84</v>
      </c>
      <c r="B3320" s="24">
        <v>6</v>
      </c>
      <c r="C3320" t="s">
        <v>176</v>
      </c>
      <c r="D3320" t="s">
        <v>12</v>
      </c>
      <c r="E3320" t="s">
        <v>215</v>
      </c>
      <c r="F3320" t="s">
        <v>73</v>
      </c>
      <c r="H3320" t="s">
        <v>38</v>
      </c>
      <c r="I3320" t="s">
        <v>219</v>
      </c>
      <c r="J3320">
        <v>11</v>
      </c>
      <c r="N3320">
        <f>Таблица1[[#This Row],[Часов на заказчика  в работе]]+Таблица1[[#This Row],[Часов на заказчика  дежурство]]</f>
        <v>0</v>
      </c>
      <c r="O33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0" s="9">
        <v>174000</v>
      </c>
      <c r="R3320" s="9"/>
      <c r="S3320" s="5">
        <v>1</v>
      </c>
      <c r="T33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табеле]])*S3320,0)</f>
        <v>5800</v>
      </c>
      <c r="U3320" s="5">
        <f>IF(Таблица1[[#This Row],[ТТН]]&gt;0,Таблица1[[#This Row],[Ставка за ТТН]]*Таблица1[[#This Row],[ТТН]],0)</f>
        <v>0</v>
      </c>
    </row>
    <row r="3321" spans="1:21" x14ac:dyDescent="0.25">
      <c r="A3321" t="s">
        <v>84</v>
      </c>
      <c r="B3321" s="24">
        <v>7</v>
      </c>
      <c r="C3321" t="s">
        <v>176</v>
      </c>
      <c r="D3321" t="s">
        <v>12</v>
      </c>
      <c r="E3321" t="s">
        <v>215</v>
      </c>
      <c r="F3321" t="s">
        <v>73</v>
      </c>
      <c r="H3321" t="s">
        <v>38</v>
      </c>
      <c r="I3321" t="s">
        <v>219</v>
      </c>
      <c r="J3321">
        <v>11</v>
      </c>
      <c r="N3321">
        <f>Таблица1[[#This Row],[Часов на заказчика  в работе]]+Таблица1[[#This Row],[Часов на заказчика  дежурство]]</f>
        <v>0</v>
      </c>
      <c r="O33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1" s="9">
        <v>174000</v>
      </c>
      <c r="R3321" s="9"/>
      <c r="S3321" s="5">
        <v>1</v>
      </c>
      <c r="T33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табеле]])*S3321,0)</f>
        <v>5800</v>
      </c>
      <c r="U3321" s="5">
        <f>IF(Таблица1[[#This Row],[ТТН]]&gt;0,Таблица1[[#This Row],[Ставка за ТТН]]*Таблица1[[#This Row],[ТТН]],0)</f>
        <v>0</v>
      </c>
    </row>
    <row r="3322" spans="1:21" x14ac:dyDescent="0.25">
      <c r="A3322" t="s">
        <v>84</v>
      </c>
      <c r="B3322" s="24">
        <v>8</v>
      </c>
      <c r="C3322" t="s">
        <v>176</v>
      </c>
      <c r="D3322" t="s">
        <v>12</v>
      </c>
      <c r="E3322" t="s">
        <v>215</v>
      </c>
      <c r="F3322" t="s">
        <v>73</v>
      </c>
      <c r="H3322" t="s">
        <v>38</v>
      </c>
      <c r="I3322" t="s">
        <v>219</v>
      </c>
      <c r="J3322">
        <v>11</v>
      </c>
      <c r="N3322">
        <f>Таблица1[[#This Row],[Часов на заказчика  в работе]]+Таблица1[[#This Row],[Часов на заказчика  дежурство]]</f>
        <v>0</v>
      </c>
      <c r="O33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2" s="9">
        <v>174000</v>
      </c>
      <c r="R3322" s="9"/>
      <c r="S3322" s="5">
        <v>1</v>
      </c>
      <c r="T33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табеле]])*S3322,0)</f>
        <v>5800</v>
      </c>
      <c r="U3322" s="5">
        <f>IF(Таблица1[[#This Row],[ТТН]]&gt;0,Таблица1[[#This Row],[Ставка за ТТН]]*Таблица1[[#This Row],[ТТН]],0)</f>
        <v>0</v>
      </c>
    </row>
    <row r="3323" spans="1:21" x14ac:dyDescent="0.25">
      <c r="A3323" t="s">
        <v>84</v>
      </c>
      <c r="B3323" s="24">
        <v>9</v>
      </c>
      <c r="C3323" t="s">
        <v>176</v>
      </c>
      <c r="D3323" t="s">
        <v>12</v>
      </c>
      <c r="E3323" t="s">
        <v>215</v>
      </c>
      <c r="F3323" t="s">
        <v>73</v>
      </c>
      <c r="H3323" t="s">
        <v>38</v>
      </c>
      <c r="I3323" t="s">
        <v>219</v>
      </c>
      <c r="J3323">
        <v>11</v>
      </c>
      <c r="N3323">
        <f>Таблица1[[#This Row],[Часов на заказчика  в работе]]+Таблица1[[#This Row],[Часов на заказчика  дежурство]]</f>
        <v>0</v>
      </c>
      <c r="O33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3" s="9">
        <v>174000</v>
      </c>
      <c r="R3323" s="9"/>
      <c r="S3323" s="5">
        <v>1</v>
      </c>
      <c r="T33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табеле]])*S3323,0)</f>
        <v>5800</v>
      </c>
      <c r="U3323" s="5">
        <f>IF(Таблица1[[#This Row],[ТТН]]&gt;0,Таблица1[[#This Row],[Ставка за ТТН]]*Таблица1[[#This Row],[ТТН]],0)</f>
        <v>0</v>
      </c>
    </row>
    <row r="3324" spans="1:21" x14ac:dyDescent="0.25">
      <c r="A3324" t="s">
        <v>84</v>
      </c>
      <c r="B3324" s="24">
        <v>10</v>
      </c>
      <c r="C3324" t="s">
        <v>176</v>
      </c>
      <c r="D3324" t="s">
        <v>12</v>
      </c>
      <c r="E3324" t="s">
        <v>215</v>
      </c>
      <c r="F3324" t="s">
        <v>73</v>
      </c>
      <c r="H3324" t="s">
        <v>10</v>
      </c>
      <c r="I3324" t="s">
        <v>219</v>
      </c>
      <c r="J3324">
        <v>11</v>
      </c>
      <c r="N3324">
        <f>Таблица1[[#This Row],[Часов на заказчика  в работе]]+Таблица1[[#This Row],[Часов на заказчика  дежурство]]</f>
        <v>0</v>
      </c>
      <c r="O33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4" s="9">
        <v>174000</v>
      </c>
      <c r="R3324" s="9"/>
      <c r="S3324" s="5">
        <v>1</v>
      </c>
      <c r="T33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табеле]])*S3324,0)</f>
        <v>5800</v>
      </c>
      <c r="U3324" s="5">
        <f>IF(Таблица1[[#This Row],[ТТН]]&gt;0,Таблица1[[#This Row],[Ставка за ТТН]]*Таблица1[[#This Row],[ТТН]],0)</f>
        <v>0</v>
      </c>
    </row>
    <row r="3325" spans="1:21" x14ac:dyDescent="0.25">
      <c r="A3325" t="s">
        <v>84</v>
      </c>
      <c r="B3325" s="24">
        <v>11</v>
      </c>
      <c r="C3325" t="s">
        <v>176</v>
      </c>
      <c r="D3325" t="s">
        <v>12</v>
      </c>
      <c r="E3325" t="s">
        <v>215</v>
      </c>
      <c r="F3325" t="s">
        <v>73</v>
      </c>
      <c r="H3325" t="s">
        <v>10</v>
      </c>
      <c r="I3325" t="s">
        <v>219</v>
      </c>
      <c r="J3325">
        <v>22</v>
      </c>
      <c r="N3325">
        <f>Таблица1[[#This Row],[Часов на заказчика  в работе]]+Таблица1[[#This Row],[Часов на заказчика  дежурство]]</f>
        <v>0</v>
      </c>
      <c r="O33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5" s="9">
        <v>174000</v>
      </c>
      <c r="R3325" s="9"/>
      <c r="S3325" s="5">
        <v>1</v>
      </c>
      <c r="T33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табеле]])*S3325,0)</f>
        <v>11600</v>
      </c>
      <c r="U3325" s="5">
        <f>IF(Таблица1[[#This Row],[ТТН]]&gt;0,Таблица1[[#This Row],[Ставка за ТТН]]*Таблица1[[#This Row],[ТТН]],0)</f>
        <v>0</v>
      </c>
    </row>
    <row r="3326" spans="1:21" x14ac:dyDescent="0.25">
      <c r="A3326" t="s">
        <v>84</v>
      </c>
      <c r="B3326" s="24">
        <v>12</v>
      </c>
      <c r="C3326" t="s">
        <v>176</v>
      </c>
      <c r="D3326" t="s">
        <v>12</v>
      </c>
      <c r="E3326" t="s">
        <v>215</v>
      </c>
      <c r="F3326" t="s">
        <v>73</v>
      </c>
      <c r="H3326" t="s">
        <v>10</v>
      </c>
      <c r="I3326" t="s">
        <v>219</v>
      </c>
      <c r="J3326">
        <v>11</v>
      </c>
      <c r="N3326">
        <f>Таблица1[[#This Row],[Часов на заказчика  в работе]]+Таблица1[[#This Row],[Часов на заказчика  дежурство]]</f>
        <v>0</v>
      </c>
      <c r="O33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6" s="9">
        <v>174000</v>
      </c>
      <c r="R3326" s="9"/>
      <c r="S3326" s="5">
        <v>1</v>
      </c>
      <c r="T33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табеле]])*S3326,0)</f>
        <v>5800</v>
      </c>
      <c r="U3326" s="5">
        <f>IF(Таблица1[[#This Row],[ТТН]]&gt;0,Таблица1[[#This Row],[Ставка за ТТН]]*Таблица1[[#This Row],[ТТН]],0)</f>
        <v>0</v>
      </c>
    </row>
    <row r="3327" spans="1:21" x14ac:dyDescent="0.25">
      <c r="A3327" t="s">
        <v>84</v>
      </c>
      <c r="B3327" s="24">
        <v>13</v>
      </c>
      <c r="C3327" t="s">
        <v>176</v>
      </c>
      <c r="D3327" t="s">
        <v>12</v>
      </c>
      <c r="E3327" t="s">
        <v>215</v>
      </c>
      <c r="F3327" t="s">
        <v>73</v>
      </c>
      <c r="H3327" t="s">
        <v>10</v>
      </c>
      <c r="I3327" t="s">
        <v>219</v>
      </c>
      <c r="J3327">
        <v>11</v>
      </c>
      <c r="N3327">
        <f>Таблица1[[#This Row],[Часов на заказчика  в работе]]+Таблица1[[#This Row],[Часов на заказчика  дежурство]]</f>
        <v>0</v>
      </c>
      <c r="O33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7" s="9">
        <v>174000</v>
      </c>
      <c r="R3327" s="9"/>
      <c r="S3327" s="5">
        <v>1</v>
      </c>
      <c r="T33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табеле]])*S3327,0)</f>
        <v>5800</v>
      </c>
      <c r="U3327" s="5">
        <f>IF(Таблица1[[#This Row],[ТТН]]&gt;0,Таблица1[[#This Row],[Ставка за ТТН]]*Таблица1[[#This Row],[ТТН]],0)</f>
        <v>0</v>
      </c>
    </row>
    <row r="3328" spans="1:21" x14ac:dyDescent="0.25">
      <c r="A3328" t="s">
        <v>84</v>
      </c>
      <c r="B3328" s="24">
        <v>14</v>
      </c>
      <c r="C3328" t="s">
        <v>176</v>
      </c>
      <c r="D3328" t="s">
        <v>12</v>
      </c>
      <c r="E3328" t="s">
        <v>215</v>
      </c>
      <c r="F3328" t="s">
        <v>73</v>
      </c>
      <c r="H3328" t="s">
        <v>10</v>
      </c>
      <c r="I3328" t="s">
        <v>219</v>
      </c>
      <c r="J3328">
        <v>11</v>
      </c>
      <c r="N3328">
        <f>Таблица1[[#This Row],[Часов на заказчика  в работе]]+Таблица1[[#This Row],[Часов на заказчика  дежурство]]</f>
        <v>0</v>
      </c>
      <c r="O33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8" s="9">
        <v>174000</v>
      </c>
      <c r="R3328" s="9"/>
      <c r="S3328" s="5">
        <v>1</v>
      </c>
      <c r="T33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табеле]])*S3328,0)</f>
        <v>5800</v>
      </c>
      <c r="U3328" s="5">
        <f>IF(Таблица1[[#This Row],[ТТН]]&gt;0,Таблица1[[#This Row],[Ставка за ТТН]]*Таблица1[[#This Row],[ТТН]],0)</f>
        <v>0</v>
      </c>
    </row>
    <row r="3329" spans="1:22" x14ac:dyDescent="0.25">
      <c r="A3329" t="s">
        <v>84</v>
      </c>
      <c r="B3329" s="24">
        <v>15</v>
      </c>
      <c r="C3329" t="s">
        <v>176</v>
      </c>
      <c r="D3329" t="s">
        <v>12</v>
      </c>
      <c r="E3329" t="s">
        <v>215</v>
      </c>
      <c r="F3329" t="s">
        <v>73</v>
      </c>
      <c r="H3329" t="s">
        <v>10</v>
      </c>
      <c r="I3329" t="s">
        <v>219</v>
      </c>
      <c r="J3329">
        <v>22</v>
      </c>
      <c r="N3329">
        <f>Таблица1[[#This Row],[Часов на заказчика  в работе]]+Таблица1[[#This Row],[Часов на заказчика  дежурство]]</f>
        <v>0</v>
      </c>
      <c r="O33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29" s="9">
        <v>174000</v>
      </c>
      <c r="R3329" s="9"/>
      <c r="S3329" s="5">
        <v>1</v>
      </c>
      <c r="T33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табеле]])*S3329,0)</f>
        <v>11600</v>
      </c>
      <c r="U3329" s="5">
        <f>IF(Таблица1[[#This Row],[ТТН]]&gt;0,Таблица1[[#This Row],[Ставка за ТТН]]*Таблица1[[#This Row],[ТТН]],0)</f>
        <v>0</v>
      </c>
    </row>
    <row r="3330" spans="1:22" x14ac:dyDescent="0.25">
      <c r="A3330" t="s">
        <v>84</v>
      </c>
      <c r="B3330" s="24">
        <v>16</v>
      </c>
      <c r="C3330" t="s">
        <v>176</v>
      </c>
      <c r="D3330" t="s">
        <v>12</v>
      </c>
      <c r="E3330" t="s">
        <v>215</v>
      </c>
      <c r="F3330" t="s">
        <v>73</v>
      </c>
      <c r="H3330" t="s">
        <v>10</v>
      </c>
      <c r="I3330" t="s">
        <v>219</v>
      </c>
      <c r="J3330">
        <v>11</v>
      </c>
      <c r="N3330">
        <f>Таблица1[[#This Row],[Часов на заказчика  в работе]]+Таблица1[[#This Row],[Часов на заказчика  дежурство]]</f>
        <v>0</v>
      </c>
      <c r="O33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0" s="9">
        <v>174000</v>
      </c>
      <c r="R3330" s="9"/>
      <c r="S3330" s="5">
        <v>1</v>
      </c>
      <c r="T33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табеле]])*S3330,0)</f>
        <v>5800</v>
      </c>
      <c r="U3330" s="5">
        <f>IF(Таблица1[[#This Row],[ТТН]]&gt;0,Таблица1[[#This Row],[Ставка за ТТН]]*Таблица1[[#This Row],[ТТН]],0)</f>
        <v>0</v>
      </c>
    </row>
    <row r="3331" spans="1:22" x14ac:dyDescent="0.25">
      <c r="A3331" t="s">
        <v>84</v>
      </c>
      <c r="B3331" s="24">
        <v>17</v>
      </c>
      <c r="C3331" t="s">
        <v>176</v>
      </c>
      <c r="D3331" t="s">
        <v>12</v>
      </c>
      <c r="E3331" t="s">
        <v>215</v>
      </c>
      <c r="F3331" t="s">
        <v>73</v>
      </c>
      <c r="H3331" t="s">
        <v>10</v>
      </c>
      <c r="I3331" t="s">
        <v>219</v>
      </c>
      <c r="J3331">
        <v>11</v>
      </c>
      <c r="N3331">
        <f>Таблица1[[#This Row],[Часов на заказчика  в работе]]+Таблица1[[#This Row],[Часов на заказчика  дежурство]]</f>
        <v>0</v>
      </c>
      <c r="O33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1" s="9">
        <v>174000</v>
      </c>
      <c r="R3331" s="9"/>
      <c r="S3331" s="5">
        <v>1</v>
      </c>
      <c r="T33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табеле]])*S3331,0)</f>
        <v>5800</v>
      </c>
      <c r="U3331" s="5">
        <f>IF(Таблица1[[#This Row],[ТТН]]&gt;0,Таблица1[[#This Row],[Ставка за ТТН]]*Таблица1[[#This Row],[ТТН]],0)</f>
        <v>0</v>
      </c>
    </row>
    <row r="3332" spans="1:22" x14ac:dyDescent="0.25">
      <c r="A3332" t="s">
        <v>84</v>
      </c>
      <c r="B3332" s="24">
        <v>18</v>
      </c>
      <c r="C3332" t="s">
        <v>176</v>
      </c>
      <c r="D3332" t="s">
        <v>12</v>
      </c>
      <c r="E3332" t="s">
        <v>215</v>
      </c>
      <c r="F3332" t="s">
        <v>73</v>
      </c>
      <c r="H3332" t="s">
        <v>10</v>
      </c>
      <c r="I3332" t="s">
        <v>219</v>
      </c>
      <c r="J3332">
        <v>11</v>
      </c>
      <c r="K3332">
        <v>1</v>
      </c>
      <c r="N3332">
        <f>Таблица1[[#This Row],[Часов на заказчика  в работе]]+Таблица1[[#This Row],[Часов на заказчика  дежурство]]</f>
        <v>0</v>
      </c>
      <c r="O33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2" s="9">
        <v>174000</v>
      </c>
      <c r="R3332" s="9">
        <v>5000</v>
      </c>
      <c r="S3332" s="5">
        <v>1</v>
      </c>
      <c r="T33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табеле]])*S3332,0)</f>
        <v>5800</v>
      </c>
      <c r="U3332" s="5">
        <f>IF(Таблица1[[#This Row],[ТТН]]&gt;0,Таблица1[[#This Row],[Ставка за ТТН]]*Таблица1[[#This Row],[ТТН]],0)</f>
        <v>5000</v>
      </c>
    </row>
    <row r="3333" spans="1:22" x14ac:dyDescent="0.25">
      <c r="A3333" t="s">
        <v>84</v>
      </c>
      <c r="B3333" s="24">
        <v>19</v>
      </c>
      <c r="C3333" t="s">
        <v>176</v>
      </c>
      <c r="D3333" t="s">
        <v>12</v>
      </c>
      <c r="E3333" t="s">
        <v>215</v>
      </c>
      <c r="F3333" t="s">
        <v>73</v>
      </c>
      <c r="H3333" t="s">
        <v>10</v>
      </c>
      <c r="I3333" t="s">
        <v>219</v>
      </c>
      <c r="J3333">
        <v>22</v>
      </c>
      <c r="N3333">
        <f>Таблица1[[#This Row],[Часов на заказчика  в работе]]+Таблица1[[#This Row],[Часов на заказчика  дежурство]]</f>
        <v>0</v>
      </c>
      <c r="O33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3" s="9">
        <v>174000</v>
      </c>
      <c r="R3333" s="9"/>
      <c r="S3333" s="5">
        <v>1</v>
      </c>
      <c r="T33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табеле]])*S3333,0)</f>
        <v>11600</v>
      </c>
      <c r="U3333" s="5">
        <f>IF(Таблица1[[#This Row],[ТТН]]&gt;0,Таблица1[[#This Row],[Ставка за ТТН]]*Таблица1[[#This Row],[ТТН]],0)</f>
        <v>0</v>
      </c>
    </row>
    <row r="3334" spans="1:22" x14ac:dyDescent="0.25">
      <c r="A3334" t="s">
        <v>84</v>
      </c>
      <c r="B3334" s="24">
        <v>20</v>
      </c>
      <c r="C3334" t="s">
        <v>176</v>
      </c>
      <c r="D3334" t="s">
        <v>12</v>
      </c>
      <c r="E3334" t="s">
        <v>215</v>
      </c>
      <c r="F3334" t="s">
        <v>73</v>
      </c>
      <c r="H3334" t="s">
        <v>10</v>
      </c>
      <c r="I3334" t="s">
        <v>219</v>
      </c>
      <c r="J3334">
        <v>11</v>
      </c>
      <c r="N3334">
        <f>Таблица1[[#This Row],[Часов на заказчика  в работе]]+Таблица1[[#This Row],[Часов на заказчика  дежурство]]</f>
        <v>0</v>
      </c>
      <c r="O33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4" s="9">
        <v>174000</v>
      </c>
      <c r="R3334" s="9"/>
      <c r="S3334" s="5">
        <v>1</v>
      </c>
      <c r="T33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табеле]])*S3334,0)</f>
        <v>5800</v>
      </c>
      <c r="U3334" s="5">
        <f>IF(Таблица1[[#This Row],[ТТН]]&gt;0,Таблица1[[#This Row],[Ставка за ТТН]]*Таблица1[[#This Row],[ТТН]],0)</f>
        <v>0</v>
      </c>
    </row>
    <row r="3335" spans="1:22" x14ac:dyDescent="0.25">
      <c r="A3335" t="s">
        <v>84</v>
      </c>
      <c r="B3335" s="24">
        <v>21</v>
      </c>
      <c r="C3335" t="s">
        <v>176</v>
      </c>
      <c r="D3335" t="s">
        <v>12</v>
      </c>
      <c r="E3335" t="s">
        <v>215</v>
      </c>
      <c r="F3335" t="s">
        <v>73</v>
      </c>
      <c r="H3335" t="s">
        <v>10</v>
      </c>
      <c r="I3335" t="s">
        <v>219</v>
      </c>
      <c r="J3335">
        <v>11</v>
      </c>
      <c r="K3335">
        <v>1</v>
      </c>
      <c r="N3335">
        <f>Таблица1[[#This Row],[Часов на заказчика  в работе]]+Таблица1[[#This Row],[Часов на заказчика  дежурство]]</f>
        <v>0</v>
      </c>
      <c r="O33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5" s="9">
        <v>174000</v>
      </c>
      <c r="R3335" s="9">
        <v>5000</v>
      </c>
      <c r="S3335" s="5">
        <v>1</v>
      </c>
      <c r="T33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табеле]])*S3335,0)</f>
        <v>5800</v>
      </c>
      <c r="U3335" s="5">
        <f>IF(Таблица1[[#This Row],[ТТН]]&gt;0,Таблица1[[#This Row],[Ставка за ТТН]]*Таблица1[[#This Row],[ТТН]],0)</f>
        <v>5000</v>
      </c>
      <c r="V3335" t="s">
        <v>80</v>
      </c>
    </row>
    <row r="3336" spans="1:22" x14ac:dyDescent="0.25">
      <c r="A3336" t="s">
        <v>84</v>
      </c>
      <c r="B3336" s="24">
        <v>22</v>
      </c>
      <c r="C3336" t="s">
        <v>176</v>
      </c>
      <c r="D3336" t="s">
        <v>12</v>
      </c>
      <c r="E3336" t="s">
        <v>215</v>
      </c>
      <c r="F3336" t="s">
        <v>73</v>
      </c>
      <c r="H3336" t="s">
        <v>10</v>
      </c>
      <c r="I3336" t="s">
        <v>219</v>
      </c>
      <c r="J3336">
        <v>22</v>
      </c>
      <c r="N3336">
        <f>Таблица1[[#This Row],[Часов на заказчика  в работе]]+Таблица1[[#This Row],[Часов на заказчика  дежурство]]</f>
        <v>0</v>
      </c>
      <c r="O33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6" s="9">
        <v>174000</v>
      </c>
      <c r="R3336" s="9"/>
      <c r="S3336" s="5">
        <v>1</v>
      </c>
      <c r="T33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табеле]])*S3336,0)</f>
        <v>11600</v>
      </c>
      <c r="U3336" s="5">
        <f>IF(Таблица1[[#This Row],[ТТН]]&gt;0,Таблица1[[#This Row],[Ставка за ТТН]]*Таблица1[[#This Row],[ТТН]],0)</f>
        <v>0</v>
      </c>
    </row>
    <row r="3337" spans="1:22" x14ac:dyDescent="0.25">
      <c r="A3337" t="s">
        <v>84</v>
      </c>
      <c r="B3337" s="24">
        <v>23</v>
      </c>
      <c r="C3337" t="s">
        <v>176</v>
      </c>
      <c r="D3337" t="s">
        <v>12</v>
      </c>
      <c r="E3337" t="s">
        <v>215</v>
      </c>
      <c r="F3337" t="s">
        <v>73</v>
      </c>
      <c r="H3337" t="s">
        <v>10</v>
      </c>
      <c r="I3337" t="s">
        <v>219</v>
      </c>
      <c r="J3337">
        <v>11</v>
      </c>
      <c r="N3337">
        <f>Таблица1[[#This Row],[Часов на заказчика  в работе]]+Таблица1[[#This Row],[Часов на заказчика  дежурство]]</f>
        <v>0</v>
      </c>
      <c r="O33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7" s="9">
        <v>174000</v>
      </c>
      <c r="R3337" s="9"/>
      <c r="S3337" s="5">
        <v>1</v>
      </c>
      <c r="T33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табеле]])*S3337,0)</f>
        <v>5800</v>
      </c>
      <c r="U3337" s="5">
        <f>IF(Таблица1[[#This Row],[ТТН]]&gt;0,Таблица1[[#This Row],[Ставка за ТТН]]*Таблица1[[#This Row],[ТТН]],0)</f>
        <v>0</v>
      </c>
    </row>
    <row r="3338" spans="1:22" x14ac:dyDescent="0.25">
      <c r="A3338" t="s">
        <v>84</v>
      </c>
      <c r="B3338" s="24">
        <v>24</v>
      </c>
      <c r="C3338" t="s">
        <v>176</v>
      </c>
      <c r="D3338" t="s">
        <v>12</v>
      </c>
      <c r="E3338" t="s">
        <v>215</v>
      </c>
      <c r="F3338" t="s">
        <v>73</v>
      </c>
      <c r="H3338" t="s">
        <v>10</v>
      </c>
      <c r="I3338" t="s">
        <v>219</v>
      </c>
      <c r="J3338">
        <v>22</v>
      </c>
      <c r="N3338">
        <f>Таблица1[[#This Row],[Часов на заказчика  в работе]]+Таблица1[[#This Row],[Часов на заказчика  дежурство]]</f>
        <v>0</v>
      </c>
      <c r="O33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8" s="9">
        <v>174000</v>
      </c>
      <c r="R3338" s="9"/>
      <c r="S3338" s="5">
        <v>1</v>
      </c>
      <c r="T33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табеле]])*S3338,0)</f>
        <v>11600</v>
      </c>
      <c r="U3338" s="5">
        <f>IF(Таблица1[[#This Row],[ТТН]]&gt;0,Таблица1[[#This Row],[Ставка за ТТН]]*Таблица1[[#This Row],[ТТН]],0)</f>
        <v>0</v>
      </c>
    </row>
    <row r="3339" spans="1:22" x14ac:dyDescent="0.25">
      <c r="A3339" t="s">
        <v>84</v>
      </c>
      <c r="B3339" s="24">
        <v>25</v>
      </c>
      <c r="C3339" t="s">
        <v>176</v>
      </c>
      <c r="D3339" t="s">
        <v>12</v>
      </c>
      <c r="E3339" t="s">
        <v>215</v>
      </c>
      <c r="F3339" t="s">
        <v>73</v>
      </c>
      <c r="H3339" t="s">
        <v>10</v>
      </c>
      <c r="I3339" t="s">
        <v>219</v>
      </c>
      <c r="J3339">
        <v>11</v>
      </c>
      <c r="N3339">
        <f>Таблица1[[#This Row],[Часов на заказчика  в работе]]+Таблица1[[#This Row],[Часов на заказчика  дежурство]]</f>
        <v>0</v>
      </c>
      <c r="O33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39" s="9">
        <v>174000</v>
      </c>
      <c r="R3339" s="9"/>
      <c r="S3339" s="5">
        <v>1</v>
      </c>
      <c r="T33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табеле]])*S3339,0)</f>
        <v>5800</v>
      </c>
      <c r="U3339" s="5">
        <f>IF(Таблица1[[#This Row],[ТТН]]&gt;0,Таблица1[[#This Row],[Ставка за ТТН]]*Таблица1[[#This Row],[ТТН]],0)</f>
        <v>0</v>
      </c>
    </row>
    <row r="3340" spans="1:22" x14ac:dyDescent="0.25">
      <c r="A3340" t="s">
        <v>84</v>
      </c>
      <c r="B3340" s="24">
        <v>26</v>
      </c>
      <c r="C3340" t="s">
        <v>176</v>
      </c>
      <c r="D3340" t="s">
        <v>12</v>
      </c>
      <c r="E3340" t="s">
        <v>215</v>
      </c>
      <c r="F3340" t="s">
        <v>73</v>
      </c>
      <c r="H3340" t="s">
        <v>10</v>
      </c>
      <c r="I3340" t="s">
        <v>219</v>
      </c>
      <c r="J3340">
        <v>11</v>
      </c>
      <c r="N3340">
        <f>Таблица1[[#This Row],[Часов на заказчика  в работе]]+Таблица1[[#This Row],[Часов на заказчика  дежурство]]</f>
        <v>0</v>
      </c>
      <c r="O33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0" s="9">
        <v>174000</v>
      </c>
      <c r="R3340" s="9"/>
      <c r="S3340" s="5">
        <v>1</v>
      </c>
      <c r="T33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табеле]])*S3340,0)</f>
        <v>5800</v>
      </c>
      <c r="U3340" s="5">
        <f>IF(Таблица1[[#This Row],[ТТН]]&gt;0,Таблица1[[#This Row],[Ставка за ТТН]]*Таблица1[[#This Row],[ТТН]],0)</f>
        <v>0</v>
      </c>
    </row>
    <row r="3341" spans="1:22" x14ac:dyDescent="0.25">
      <c r="A3341" t="s">
        <v>84</v>
      </c>
      <c r="B3341" s="24">
        <v>27</v>
      </c>
      <c r="C3341" t="s">
        <v>176</v>
      </c>
      <c r="D3341" t="s">
        <v>12</v>
      </c>
      <c r="E3341" t="s">
        <v>215</v>
      </c>
      <c r="F3341" t="s">
        <v>73</v>
      </c>
      <c r="H3341" t="s">
        <v>10</v>
      </c>
      <c r="I3341" t="s">
        <v>219</v>
      </c>
      <c r="J3341">
        <v>11</v>
      </c>
      <c r="N3341">
        <f>Таблица1[[#This Row],[Часов на заказчика  в работе]]+Таблица1[[#This Row],[Часов на заказчика  дежурство]]</f>
        <v>0</v>
      </c>
      <c r="O33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1" s="9">
        <v>174000</v>
      </c>
      <c r="R3341" s="9"/>
      <c r="S3341" s="5">
        <v>1</v>
      </c>
      <c r="T33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табеле]])*S3341,0)</f>
        <v>5800</v>
      </c>
      <c r="U3341" s="5">
        <f>IF(Таблица1[[#This Row],[ТТН]]&gt;0,Таблица1[[#This Row],[Ставка за ТТН]]*Таблица1[[#This Row],[ТТН]],0)</f>
        <v>0</v>
      </c>
    </row>
    <row r="3342" spans="1:22" x14ac:dyDescent="0.25">
      <c r="A3342" t="s">
        <v>84</v>
      </c>
      <c r="B3342" s="24">
        <v>28</v>
      </c>
      <c r="C3342" t="s">
        <v>176</v>
      </c>
      <c r="D3342" t="s">
        <v>12</v>
      </c>
      <c r="E3342" t="s">
        <v>215</v>
      </c>
      <c r="F3342" t="s">
        <v>73</v>
      </c>
      <c r="H3342" t="s">
        <v>10</v>
      </c>
      <c r="I3342" t="s">
        <v>219</v>
      </c>
      <c r="J3342">
        <v>11</v>
      </c>
      <c r="N3342">
        <f>Таблица1[[#This Row],[Часов на заказчика  в работе]]+Таблица1[[#This Row],[Часов на заказчика  дежурство]]</f>
        <v>0</v>
      </c>
      <c r="O33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2" s="9">
        <v>174000</v>
      </c>
      <c r="R3342" s="9"/>
      <c r="S3342" s="5">
        <v>1</v>
      </c>
      <c r="T33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табеле]])*S3342,0)</f>
        <v>5800</v>
      </c>
      <c r="U3342" s="5">
        <f>IF(Таблица1[[#This Row],[ТТН]]&gt;0,Таблица1[[#This Row],[Ставка за ТТН]]*Таблица1[[#This Row],[ТТН]],0)</f>
        <v>0</v>
      </c>
    </row>
    <row r="3343" spans="1:22" x14ac:dyDescent="0.25">
      <c r="A3343" t="s">
        <v>84</v>
      </c>
      <c r="B3343" s="24">
        <v>29</v>
      </c>
      <c r="C3343" t="s">
        <v>176</v>
      </c>
      <c r="D3343" t="s">
        <v>12</v>
      </c>
      <c r="E3343" t="s">
        <v>215</v>
      </c>
      <c r="F3343" t="s">
        <v>73</v>
      </c>
      <c r="H3343" t="s">
        <v>10</v>
      </c>
      <c r="I3343" t="s">
        <v>219</v>
      </c>
      <c r="J3343">
        <v>11</v>
      </c>
      <c r="N3343">
        <f>Таблица1[[#This Row],[Часов на заказчика  в работе]]+Таблица1[[#This Row],[Часов на заказчика  дежурство]]</f>
        <v>0</v>
      </c>
      <c r="O33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3" s="9">
        <v>174000</v>
      </c>
      <c r="R3343" s="9"/>
      <c r="S3343" s="5">
        <v>1</v>
      </c>
      <c r="T33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табеле]])*S3343,0)</f>
        <v>5800</v>
      </c>
      <c r="U3343" s="5">
        <f>IF(Таблица1[[#This Row],[ТТН]]&gt;0,Таблица1[[#This Row],[Ставка за ТТН]]*Таблица1[[#This Row],[ТТН]],0)</f>
        <v>0</v>
      </c>
    </row>
    <row r="3344" spans="1:22" x14ac:dyDescent="0.25">
      <c r="A3344" t="s">
        <v>84</v>
      </c>
      <c r="B3344" s="24">
        <v>30</v>
      </c>
      <c r="C3344" t="s">
        <v>196</v>
      </c>
      <c r="D3344" t="s">
        <v>12</v>
      </c>
      <c r="E3344" t="s">
        <v>215</v>
      </c>
      <c r="F3344" t="s">
        <v>73</v>
      </c>
      <c r="H3344" t="s">
        <v>10</v>
      </c>
      <c r="I3344" t="s">
        <v>219</v>
      </c>
      <c r="J3344">
        <v>11</v>
      </c>
      <c r="N3344">
        <f>Таблица1[[#This Row],[Часов на заказчика  в работе]]+Таблица1[[#This Row],[Часов на заказчика  дежурство]]</f>
        <v>0</v>
      </c>
      <c r="O33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4" s="9">
        <v>174000</v>
      </c>
      <c r="R3344" s="9"/>
      <c r="S3344" s="5">
        <v>1</v>
      </c>
      <c r="T33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табеле]])*S3344,0)</f>
        <v>5800</v>
      </c>
      <c r="U3344" s="5">
        <f>IF(Таблица1[[#This Row],[ТТН]]&gt;0,Таблица1[[#This Row],[Ставка за ТТН]]*Таблица1[[#This Row],[ТТН]],0)</f>
        <v>0</v>
      </c>
    </row>
    <row r="3345" spans="1:21" x14ac:dyDescent="0.25">
      <c r="A3345" t="s">
        <v>84</v>
      </c>
      <c r="B3345" s="24">
        <v>1</v>
      </c>
      <c r="C3345" t="s">
        <v>196</v>
      </c>
      <c r="D3345" t="s">
        <v>12</v>
      </c>
      <c r="E3345" t="s">
        <v>215</v>
      </c>
      <c r="F3345" t="s">
        <v>66</v>
      </c>
      <c r="H3345" t="s">
        <v>10</v>
      </c>
      <c r="I3345" t="s">
        <v>219</v>
      </c>
      <c r="J3345">
        <v>11</v>
      </c>
      <c r="K3345">
        <v>1</v>
      </c>
      <c r="N3345">
        <f>Таблица1[[#This Row],[Часов на заказчика  в работе]]+Таблица1[[#This Row],[Часов на заказчика  дежурство]]</f>
        <v>0</v>
      </c>
      <c r="O33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5" s="9">
        <v>162000</v>
      </c>
      <c r="R3345" s="9">
        <v>5000</v>
      </c>
      <c r="S3345" s="5">
        <v>1</v>
      </c>
      <c r="T33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табеле]])*S3345,0)</f>
        <v>5400</v>
      </c>
      <c r="U3345" s="5">
        <f>IF(Таблица1[[#This Row],[ТТН]]&gt;0,Таблица1[[#This Row],[Ставка за ТТН]]*Таблица1[[#This Row],[ТТН]],0)</f>
        <v>5000</v>
      </c>
    </row>
    <row r="3346" spans="1:21" x14ac:dyDescent="0.25">
      <c r="A3346" t="s">
        <v>84</v>
      </c>
      <c r="B3346" s="24">
        <v>2</v>
      </c>
      <c r="C3346" t="s">
        <v>196</v>
      </c>
      <c r="D3346" t="s">
        <v>12</v>
      </c>
      <c r="E3346" t="s">
        <v>215</v>
      </c>
      <c r="F3346" t="s">
        <v>66</v>
      </c>
      <c r="H3346" t="s">
        <v>10</v>
      </c>
      <c r="I3346" t="s">
        <v>219</v>
      </c>
      <c r="J3346">
        <v>22</v>
      </c>
      <c r="N3346">
        <f>Таблица1[[#This Row],[Часов на заказчика  в работе]]+Таблица1[[#This Row],[Часов на заказчика  дежурство]]</f>
        <v>0</v>
      </c>
      <c r="O33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6" s="9">
        <v>162000</v>
      </c>
      <c r="R3346" s="9"/>
      <c r="S3346" s="5">
        <v>1</v>
      </c>
      <c r="T33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табеле]])*S3346,0)</f>
        <v>10800</v>
      </c>
      <c r="U3346" s="5">
        <f>IF(Таблица1[[#This Row],[ТТН]]&gt;0,Таблица1[[#This Row],[Ставка за ТТН]]*Таблица1[[#This Row],[ТТН]],0)</f>
        <v>0</v>
      </c>
    </row>
    <row r="3347" spans="1:21" x14ac:dyDescent="0.25">
      <c r="A3347" t="s">
        <v>84</v>
      </c>
      <c r="B3347" s="24">
        <v>3</v>
      </c>
      <c r="C3347" t="s">
        <v>196</v>
      </c>
      <c r="D3347" t="s">
        <v>12</v>
      </c>
      <c r="E3347" t="s">
        <v>215</v>
      </c>
      <c r="F3347" t="s">
        <v>66</v>
      </c>
      <c r="H3347" t="s">
        <v>10</v>
      </c>
      <c r="I3347" t="s">
        <v>219</v>
      </c>
      <c r="J3347">
        <v>22</v>
      </c>
      <c r="N3347">
        <f>Таблица1[[#This Row],[Часов на заказчика  в работе]]+Таблица1[[#This Row],[Часов на заказчика  дежурство]]</f>
        <v>0</v>
      </c>
      <c r="O33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7" s="9">
        <v>162000</v>
      </c>
      <c r="R3347" s="9"/>
      <c r="S3347" s="5">
        <v>1</v>
      </c>
      <c r="T33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табеле]])*S3347,0)</f>
        <v>10800</v>
      </c>
      <c r="U3347" s="5">
        <f>IF(Таблица1[[#This Row],[ТТН]]&gt;0,Таблица1[[#This Row],[Ставка за ТТН]]*Таблица1[[#This Row],[ТТН]],0)</f>
        <v>0</v>
      </c>
    </row>
    <row r="3348" spans="1:21" x14ac:dyDescent="0.25">
      <c r="A3348" t="s">
        <v>84</v>
      </c>
      <c r="B3348" s="24">
        <v>4</v>
      </c>
      <c r="C3348" t="s">
        <v>196</v>
      </c>
      <c r="D3348" t="s">
        <v>12</v>
      </c>
      <c r="E3348" t="s">
        <v>215</v>
      </c>
      <c r="F3348" t="s">
        <v>66</v>
      </c>
      <c r="H3348" t="s">
        <v>10</v>
      </c>
      <c r="I3348" t="s">
        <v>219</v>
      </c>
      <c r="J3348">
        <v>11</v>
      </c>
      <c r="K3348">
        <v>1</v>
      </c>
      <c r="N3348">
        <f>Таблица1[[#This Row],[Часов на заказчика  в работе]]+Таблица1[[#This Row],[Часов на заказчика  дежурство]]</f>
        <v>0</v>
      </c>
      <c r="O33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8" s="9">
        <v>162000</v>
      </c>
      <c r="R3348" s="9">
        <v>5000</v>
      </c>
      <c r="S3348" s="5">
        <v>1</v>
      </c>
      <c r="T33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табеле]])*S3348,0)</f>
        <v>5400</v>
      </c>
      <c r="U3348" s="5">
        <f>IF(Таблица1[[#This Row],[ТТН]]&gt;0,Таблица1[[#This Row],[Ставка за ТТН]]*Таблица1[[#This Row],[ТТН]],0)</f>
        <v>5000</v>
      </c>
    </row>
    <row r="3349" spans="1:21" x14ac:dyDescent="0.25">
      <c r="A3349" t="s">
        <v>84</v>
      </c>
      <c r="B3349" s="24">
        <v>5</v>
      </c>
      <c r="C3349" t="s">
        <v>196</v>
      </c>
      <c r="D3349" t="s">
        <v>12</v>
      </c>
      <c r="E3349" t="s">
        <v>215</v>
      </c>
      <c r="F3349" t="s">
        <v>66</v>
      </c>
      <c r="H3349" t="s">
        <v>10</v>
      </c>
      <c r="I3349" t="s">
        <v>219</v>
      </c>
      <c r="J3349">
        <v>22</v>
      </c>
      <c r="N3349">
        <f>Таблица1[[#This Row],[Часов на заказчика  в работе]]+Таблица1[[#This Row],[Часов на заказчика  дежурство]]</f>
        <v>0</v>
      </c>
      <c r="O33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49" s="9">
        <v>162000</v>
      </c>
      <c r="R3349" s="9"/>
      <c r="S3349" s="5">
        <v>1</v>
      </c>
      <c r="T33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табеле]])*S3349,0)</f>
        <v>10800</v>
      </c>
      <c r="U3349" s="5">
        <f>IF(Таблица1[[#This Row],[ТТН]]&gt;0,Таблица1[[#This Row],[Ставка за ТТН]]*Таблица1[[#This Row],[ТТН]],0)</f>
        <v>0</v>
      </c>
    </row>
    <row r="3350" spans="1:21" x14ac:dyDescent="0.25">
      <c r="A3350" t="s">
        <v>84</v>
      </c>
      <c r="B3350" s="24">
        <v>6</v>
      </c>
      <c r="C3350" t="s">
        <v>196</v>
      </c>
      <c r="D3350" t="s">
        <v>12</v>
      </c>
      <c r="E3350" t="s">
        <v>215</v>
      </c>
      <c r="F3350" t="s">
        <v>66</v>
      </c>
      <c r="H3350" t="s">
        <v>10</v>
      </c>
      <c r="I3350" t="s">
        <v>219</v>
      </c>
      <c r="J3350">
        <v>11</v>
      </c>
      <c r="N3350">
        <f>Таблица1[[#This Row],[Часов на заказчика  в работе]]+Таблица1[[#This Row],[Часов на заказчика  дежурство]]</f>
        <v>0</v>
      </c>
      <c r="O33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0" s="9">
        <v>162000</v>
      </c>
      <c r="R3350" s="9"/>
      <c r="S3350" s="5">
        <v>1</v>
      </c>
      <c r="T33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табеле]])*S3350,0)</f>
        <v>5400</v>
      </c>
      <c r="U3350" s="5">
        <f>IF(Таблица1[[#This Row],[ТТН]]&gt;0,Таблица1[[#This Row],[Ставка за ТТН]]*Таблица1[[#This Row],[ТТН]],0)</f>
        <v>0</v>
      </c>
    </row>
    <row r="3351" spans="1:21" x14ac:dyDescent="0.25">
      <c r="A3351" t="s">
        <v>84</v>
      </c>
      <c r="B3351" s="24">
        <v>7</v>
      </c>
      <c r="C3351" t="s">
        <v>196</v>
      </c>
      <c r="D3351" t="s">
        <v>12</v>
      </c>
      <c r="E3351" t="s">
        <v>215</v>
      </c>
      <c r="F3351" t="s">
        <v>66</v>
      </c>
      <c r="H3351" t="s">
        <v>10</v>
      </c>
      <c r="I3351" t="s">
        <v>219</v>
      </c>
      <c r="J3351">
        <v>22</v>
      </c>
      <c r="N3351">
        <f>Таблица1[[#This Row],[Часов на заказчика  в работе]]+Таблица1[[#This Row],[Часов на заказчика  дежурство]]</f>
        <v>0</v>
      </c>
      <c r="O33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1" s="9">
        <v>162000</v>
      </c>
      <c r="R3351" s="9"/>
      <c r="S3351" s="5">
        <v>1</v>
      </c>
      <c r="T33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табеле]])*S3351,0)</f>
        <v>10800</v>
      </c>
      <c r="U3351" s="5">
        <f>IF(Таблица1[[#This Row],[ТТН]]&gt;0,Таблица1[[#This Row],[Ставка за ТТН]]*Таблица1[[#This Row],[ТТН]],0)</f>
        <v>0</v>
      </c>
    </row>
    <row r="3352" spans="1:21" x14ac:dyDescent="0.25">
      <c r="A3352" t="s">
        <v>84</v>
      </c>
      <c r="B3352" s="24">
        <v>8</v>
      </c>
      <c r="C3352" t="s">
        <v>196</v>
      </c>
      <c r="D3352" t="s">
        <v>12</v>
      </c>
      <c r="E3352" t="s">
        <v>215</v>
      </c>
      <c r="F3352" t="s">
        <v>66</v>
      </c>
      <c r="H3352" t="s">
        <v>10</v>
      </c>
      <c r="I3352" t="s">
        <v>219</v>
      </c>
      <c r="J3352">
        <v>11</v>
      </c>
      <c r="N3352">
        <f>Таблица1[[#This Row],[Часов на заказчика  в работе]]+Таблица1[[#This Row],[Часов на заказчика  дежурство]]</f>
        <v>0</v>
      </c>
      <c r="O33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2" s="9">
        <v>162000</v>
      </c>
      <c r="R3352" s="9"/>
      <c r="S3352" s="5">
        <v>1</v>
      </c>
      <c r="T33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табеле]])*S3352,0)</f>
        <v>5400</v>
      </c>
      <c r="U3352" s="5">
        <f>IF(Таблица1[[#This Row],[ТТН]]&gt;0,Таблица1[[#This Row],[Ставка за ТТН]]*Таблица1[[#This Row],[ТТН]],0)</f>
        <v>0</v>
      </c>
    </row>
    <row r="3353" spans="1:21" x14ac:dyDescent="0.25">
      <c r="A3353" t="s">
        <v>84</v>
      </c>
      <c r="B3353" s="24">
        <v>9</v>
      </c>
      <c r="C3353" t="s">
        <v>196</v>
      </c>
      <c r="D3353" t="s">
        <v>12</v>
      </c>
      <c r="E3353" t="s">
        <v>215</v>
      </c>
      <c r="F3353" t="s">
        <v>66</v>
      </c>
      <c r="H3353" t="s">
        <v>10</v>
      </c>
      <c r="I3353" t="s">
        <v>219</v>
      </c>
      <c r="J3353">
        <v>22</v>
      </c>
      <c r="N3353">
        <f>Таблица1[[#This Row],[Часов на заказчика  в работе]]+Таблица1[[#This Row],[Часов на заказчика  дежурство]]</f>
        <v>0</v>
      </c>
      <c r="O33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3" s="9">
        <v>162000</v>
      </c>
      <c r="R3353" s="9"/>
      <c r="S3353" s="5">
        <v>1</v>
      </c>
      <c r="T33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табеле]])*S3353,0)</f>
        <v>10800</v>
      </c>
      <c r="U3353" s="5">
        <f>IF(Таблица1[[#This Row],[ТТН]]&gt;0,Таблица1[[#This Row],[Ставка за ТТН]]*Таблица1[[#This Row],[ТТН]],0)</f>
        <v>0</v>
      </c>
    </row>
    <row r="3354" spans="1:21" x14ac:dyDescent="0.25">
      <c r="A3354" t="s">
        <v>84</v>
      </c>
      <c r="B3354" s="24">
        <v>10</v>
      </c>
      <c r="C3354" t="s">
        <v>196</v>
      </c>
      <c r="D3354" t="s">
        <v>12</v>
      </c>
      <c r="E3354" t="s">
        <v>215</v>
      </c>
      <c r="F3354" t="s">
        <v>66</v>
      </c>
      <c r="H3354" t="s">
        <v>10</v>
      </c>
      <c r="I3354" t="s">
        <v>219</v>
      </c>
      <c r="J3354">
        <v>11</v>
      </c>
      <c r="N3354">
        <f>Таблица1[[#This Row],[Часов на заказчика  в работе]]+Таблица1[[#This Row],[Часов на заказчика  дежурство]]</f>
        <v>0</v>
      </c>
      <c r="O33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4" s="9">
        <v>162000</v>
      </c>
      <c r="R3354" s="9"/>
      <c r="S3354" s="5">
        <v>1</v>
      </c>
      <c r="T33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табеле]])*S3354,0)</f>
        <v>5400</v>
      </c>
      <c r="U3354" s="5">
        <f>IF(Таблица1[[#This Row],[ТТН]]&gt;0,Таблица1[[#This Row],[Ставка за ТТН]]*Таблица1[[#This Row],[ТТН]],0)</f>
        <v>0</v>
      </c>
    </row>
    <row r="3355" spans="1:21" x14ac:dyDescent="0.25">
      <c r="A3355" t="s">
        <v>84</v>
      </c>
      <c r="B3355" s="24">
        <v>11</v>
      </c>
      <c r="C3355" t="s">
        <v>196</v>
      </c>
      <c r="D3355" t="s">
        <v>12</v>
      </c>
      <c r="E3355" t="s">
        <v>215</v>
      </c>
      <c r="F3355" t="s">
        <v>66</v>
      </c>
      <c r="H3355" t="s">
        <v>10</v>
      </c>
      <c r="I3355" t="s">
        <v>219</v>
      </c>
      <c r="J3355">
        <v>22</v>
      </c>
      <c r="K3355">
        <v>1</v>
      </c>
      <c r="N3355">
        <f>Таблица1[[#This Row],[Часов на заказчика  в работе]]+Таблица1[[#This Row],[Часов на заказчика  дежурство]]</f>
        <v>0</v>
      </c>
      <c r="O33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5" s="9">
        <v>162000</v>
      </c>
      <c r="R3355" s="9">
        <v>5000</v>
      </c>
      <c r="S3355" s="5">
        <v>1</v>
      </c>
      <c r="T33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табеле]])*S3355,0)</f>
        <v>10800</v>
      </c>
      <c r="U3355" s="5">
        <f>IF(Таблица1[[#This Row],[ТТН]]&gt;0,Таблица1[[#This Row],[Ставка за ТТН]]*Таблица1[[#This Row],[ТТН]],0)</f>
        <v>5000</v>
      </c>
    </row>
    <row r="3356" spans="1:21" x14ac:dyDescent="0.25">
      <c r="A3356" t="s">
        <v>84</v>
      </c>
      <c r="B3356" s="24">
        <v>12</v>
      </c>
      <c r="C3356" t="s">
        <v>196</v>
      </c>
      <c r="D3356" t="s">
        <v>12</v>
      </c>
      <c r="E3356" t="s">
        <v>215</v>
      </c>
      <c r="F3356" t="s">
        <v>66</v>
      </c>
      <c r="H3356" t="s">
        <v>10</v>
      </c>
      <c r="I3356" t="s">
        <v>219</v>
      </c>
      <c r="J3356">
        <v>22</v>
      </c>
      <c r="N3356">
        <f>Таблица1[[#This Row],[Часов на заказчика  в работе]]+Таблица1[[#This Row],[Часов на заказчика  дежурство]]</f>
        <v>0</v>
      </c>
      <c r="O33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6" s="9">
        <v>162000</v>
      </c>
      <c r="R3356" s="9"/>
      <c r="S3356" s="5">
        <v>1</v>
      </c>
      <c r="T33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табеле]])*S3356,0)</f>
        <v>10800</v>
      </c>
      <c r="U3356" s="5">
        <f>IF(Таблица1[[#This Row],[ТТН]]&gt;0,Таблица1[[#This Row],[Ставка за ТТН]]*Таблица1[[#This Row],[ТТН]],0)</f>
        <v>0</v>
      </c>
    </row>
    <row r="3357" spans="1:21" x14ac:dyDescent="0.25">
      <c r="A3357" t="s">
        <v>84</v>
      </c>
      <c r="B3357" s="24">
        <v>13</v>
      </c>
      <c r="C3357" t="s">
        <v>196</v>
      </c>
      <c r="D3357" t="s">
        <v>12</v>
      </c>
      <c r="E3357" t="s">
        <v>215</v>
      </c>
      <c r="F3357" t="s">
        <v>66</v>
      </c>
      <c r="H3357" t="s">
        <v>10</v>
      </c>
      <c r="I3357" t="s">
        <v>219</v>
      </c>
      <c r="J3357">
        <v>11</v>
      </c>
      <c r="K3357">
        <v>1</v>
      </c>
      <c r="N3357">
        <f>Таблица1[[#This Row],[Часов на заказчика  в работе]]+Таблица1[[#This Row],[Часов на заказчика  дежурство]]</f>
        <v>0</v>
      </c>
      <c r="O33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7" s="9">
        <v>162000</v>
      </c>
      <c r="R3357" s="9">
        <v>5000</v>
      </c>
      <c r="S3357" s="5">
        <v>1</v>
      </c>
      <c r="T33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табеле]])*S3357,0)</f>
        <v>5400</v>
      </c>
      <c r="U3357" s="5">
        <f>IF(Таблица1[[#This Row],[ТТН]]&gt;0,Таблица1[[#This Row],[Ставка за ТТН]]*Таблица1[[#This Row],[ТТН]],0)</f>
        <v>5000</v>
      </c>
    </row>
    <row r="3358" spans="1:21" x14ac:dyDescent="0.25">
      <c r="A3358" t="s">
        <v>84</v>
      </c>
      <c r="B3358" s="24">
        <v>14</v>
      </c>
      <c r="C3358" t="s">
        <v>196</v>
      </c>
      <c r="D3358" t="s">
        <v>12</v>
      </c>
      <c r="E3358" t="s">
        <v>215</v>
      </c>
      <c r="F3358" t="s">
        <v>66</v>
      </c>
      <c r="H3358" t="s">
        <v>10</v>
      </c>
      <c r="I3358" t="s">
        <v>219</v>
      </c>
      <c r="J3358">
        <v>22</v>
      </c>
      <c r="N3358">
        <f>Таблица1[[#This Row],[Часов на заказчика  в работе]]+Таблица1[[#This Row],[Часов на заказчика  дежурство]]</f>
        <v>0</v>
      </c>
      <c r="O33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8" s="9">
        <v>162000</v>
      </c>
      <c r="R3358" s="9"/>
      <c r="S3358" s="5">
        <v>1</v>
      </c>
      <c r="T33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табеле]])*S3358,0)</f>
        <v>10800</v>
      </c>
      <c r="U3358" s="5">
        <f>IF(Таблица1[[#This Row],[ТТН]]&gt;0,Таблица1[[#This Row],[Ставка за ТТН]]*Таблица1[[#This Row],[ТТН]],0)</f>
        <v>0</v>
      </c>
    </row>
    <row r="3359" spans="1:21" x14ac:dyDescent="0.25">
      <c r="A3359" t="s">
        <v>84</v>
      </c>
      <c r="B3359" s="24">
        <v>15</v>
      </c>
      <c r="C3359" t="s">
        <v>196</v>
      </c>
      <c r="D3359" t="s">
        <v>12</v>
      </c>
      <c r="E3359" t="s">
        <v>215</v>
      </c>
      <c r="F3359" t="s">
        <v>66</v>
      </c>
      <c r="H3359" t="s">
        <v>10</v>
      </c>
      <c r="I3359" t="s">
        <v>219</v>
      </c>
      <c r="J3359">
        <v>11</v>
      </c>
      <c r="N3359">
        <f>Таблица1[[#This Row],[Часов на заказчика  в работе]]+Таблица1[[#This Row],[Часов на заказчика  дежурство]]</f>
        <v>0</v>
      </c>
      <c r="O33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59" s="9">
        <v>162000</v>
      </c>
      <c r="R3359" s="9"/>
      <c r="S3359" s="5">
        <v>1</v>
      </c>
      <c r="T33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табеле]])*S3359,0)</f>
        <v>5400</v>
      </c>
      <c r="U3359" s="5">
        <f>IF(Таблица1[[#This Row],[ТТН]]&gt;0,Таблица1[[#This Row],[Ставка за ТТН]]*Таблица1[[#This Row],[ТТН]],0)</f>
        <v>0</v>
      </c>
    </row>
    <row r="3360" spans="1:21" x14ac:dyDescent="0.25">
      <c r="A3360" t="s">
        <v>84</v>
      </c>
      <c r="B3360" s="24">
        <v>16</v>
      </c>
      <c r="C3360" t="s">
        <v>196</v>
      </c>
      <c r="D3360" t="s">
        <v>12</v>
      </c>
      <c r="E3360" t="s">
        <v>215</v>
      </c>
      <c r="F3360" t="s">
        <v>66</v>
      </c>
      <c r="H3360" t="s">
        <v>10</v>
      </c>
      <c r="I3360" t="s">
        <v>219</v>
      </c>
      <c r="J3360">
        <v>22</v>
      </c>
      <c r="N3360">
        <f>Таблица1[[#This Row],[Часов на заказчика  в работе]]+Таблица1[[#This Row],[Часов на заказчика  дежурство]]</f>
        <v>0</v>
      </c>
      <c r="O33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0" s="9">
        <v>162000</v>
      </c>
      <c r="R3360" s="9"/>
      <c r="S3360" s="5">
        <v>1</v>
      </c>
      <c r="T33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табеле]])*S3360,0)</f>
        <v>10800</v>
      </c>
      <c r="U3360" s="5">
        <f>IF(Таблица1[[#This Row],[ТТН]]&gt;0,Таблица1[[#This Row],[Ставка за ТТН]]*Таблица1[[#This Row],[ТТН]],0)</f>
        <v>0</v>
      </c>
    </row>
    <row r="3361" spans="1:21" x14ac:dyDescent="0.25">
      <c r="A3361" t="s">
        <v>84</v>
      </c>
      <c r="B3361" s="24">
        <v>17</v>
      </c>
      <c r="C3361" t="s">
        <v>196</v>
      </c>
      <c r="D3361" t="s">
        <v>12</v>
      </c>
      <c r="E3361" t="s">
        <v>215</v>
      </c>
      <c r="F3361" t="s">
        <v>66</v>
      </c>
      <c r="H3361" t="s">
        <v>10</v>
      </c>
      <c r="I3361" t="s">
        <v>219</v>
      </c>
      <c r="J3361">
        <v>11</v>
      </c>
      <c r="N3361">
        <f>Таблица1[[#This Row],[Часов на заказчика  в работе]]+Таблица1[[#This Row],[Часов на заказчика  дежурство]]</f>
        <v>0</v>
      </c>
      <c r="O33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1" s="9">
        <v>162000</v>
      </c>
      <c r="R3361" s="9"/>
      <c r="S3361" s="5">
        <v>1</v>
      </c>
      <c r="T33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табеле]])*S3361,0)</f>
        <v>5400</v>
      </c>
      <c r="U3361" s="5">
        <f>IF(Таблица1[[#This Row],[ТТН]]&gt;0,Таблица1[[#This Row],[Ставка за ТТН]]*Таблица1[[#This Row],[ТТН]],0)</f>
        <v>0</v>
      </c>
    </row>
    <row r="3362" spans="1:21" x14ac:dyDescent="0.25">
      <c r="A3362" t="s">
        <v>84</v>
      </c>
      <c r="B3362" s="24">
        <v>18</v>
      </c>
      <c r="C3362" t="s">
        <v>196</v>
      </c>
      <c r="D3362" t="s">
        <v>12</v>
      </c>
      <c r="E3362" t="s">
        <v>215</v>
      </c>
      <c r="F3362" t="s">
        <v>66</v>
      </c>
      <c r="H3362" t="s">
        <v>23</v>
      </c>
      <c r="I3362" t="s">
        <v>217</v>
      </c>
      <c r="J3362">
        <v>11</v>
      </c>
      <c r="N3362">
        <f>Таблица1[[#This Row],[Часов на заказчика  в работе]]+Таблица1[[#This Row],[Часов на заказчика  дежурство]]</f>
        <v>0</v>
      </c>
      <c r="O33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2" s="9">
        <v>162000</v>
      </c>
      <c r="R3362" s="9"/>
      <c r="S3362" s="5">
        <v>1</v>
      </c>
      <c r="T33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табеле]])*S3362,0)</f>
        <v>5400</v>
      </c>
      <c r="U3362" s="5">
        <f>IF(Таблица1[[#This Row],[ТТН]]&gt;0,Таблица1[[#This Row],[Ставка за ТТН]]*Таблица1[[#This Row],[ТТН]],0)</f>
        <v>0</v>
      </c>
    </row>
    <row r="3363" spans="1:21" x14ac:dyDescent="0.25">
      <c r="A3363" t="s">
        <v>84</v>
      </c>
      <c r="B3363" s="24">
        <v>19</v>
      </c>
      <c r="C3363" t="s">
        <v>196</v>
      </c>
      <c r="D3363" t="s">
        <v>12</v>
      </c>
      <c r="E3363" t="s">
        <v>215</v>
      </c>
      <c r="F3363" t="s">
        <v>66</v>
      </c>
      <c r="H3363" t="s">
        <v>23</v>
      </c>
      <c r="I3363" t="s">
        <v>217</v>
      </c>
      <c r="J3363">
        <v>11</v>
      </c>
      <c r="N3363">
        <f>Таблица1[[#This Row],[Часов на заказчика  в работе]]+Таблица1[[#This Row],[Часов на заказчика  дежурство]]</f>
        <v>0</v>
      </c>
      <c r="O33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3" s="9">
        <v>162000</v>
      </c>
      <c r="R3363" s="9"/>
      <c r="S3363" s="5">
        <v>1</v>
      </c>
      <c r="T33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табеле]])*S3363,0)</f>
        <v>5400</v>
      </c>
      <c r="U3363" s="5">
        <f>IF(Таблица1[[#This Row],[ТТН]]&gt;0,Таблица1[[#This Row],[Ставка за ТТН]]*Таблица1[[#This Row],[ТТН]],0)</f>
        <v>0</v>
      </c>
    </row>
    <row r="3364" spans="1:21" x14ac:dyDescent="0.25">
      <c r="A3364" t="s">
        <v>84</v>
      </c>
      <c r="B3364" s="24">
        <v>20</v>
      </c>
      <c r="C3364" t="s">
        <v>196</v>
      </c>
      <c r="D3364" t="s">
        <v>12</v>
      </c>
      <c r="E3364" t="s">
        <v>215</v>
      </c>
      <c r="F3364" t="s">
        <v>66</v>
      </c>
      <c r="H3364" t="s">
        <v>38</v>
      </c>
      <c r="I3364" t="s">
        <v>217</v>
      </c>
      <c r="J3364">
        <v>11</v>
      </c>
      <c r="N3364">
        <f>Таблица1[[#This Row],[Часов на заказчика  в работе]]+Таблица1[[#This Row],[Часов на заказчика  дежурство]]</f>
        <v>0</v>
      </c>
      <c r="O33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4" s="9">
        <v>162000</v>
      </c>
      <c r="R3364" s="9"/>
      <c r="S3364" s="5">
        <v>1</v>
      </c>
      <c r="T33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табеле]])*S3364,0)</f>
        <v>5400</v>
      </c>
      <c r="U3364" s="5">
        <f>IF(Таблица1[[#This Row],[ТТН]]&gt;0,Таблица1[[#This Row],[Ставка за ТТН]]*Таблица1[[#This Row],[ТТН]],0)</f>
        <v>0</v>
      </c>
    </row>
    <row r="3365" spans="1:21" x14ac:dyDescent="0.25">
      <c r="A3365" t="s">
        <v>84</v>
      </c>
      <c r="B3365" s="24">
        <v>21</v>
      </c>
      <c r="C3365" t="s">
        <v>196</v>
      </c>
      <c r="D3365" t="s">
        <v>12</v>
      </c>
      <c r="E3365" t="s">
        <v>215</v>
      </c>
      <c r="F3365" t="s">
        <v>66</v>
      </c>
      <c r="H3365" t="s">
        <v>30</v>
      </c>
      <c r="I3365" t="s">
        <v>217</v>
      </c>
      <c r="J3365">
        <v>1</v>
      </c>
      <c r="N3365">
        <f>Таблица1[[#This Row],[Часов на заказчика  в работе]]+Таблица1[[#This Row],[Часов на заказчика  дежурство]]</f>
        <v>0</v>
      </c>
      <c r="O33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5" s="9">
        <v>162000</v>
      </c>
      <c r="R3365" s="9"/>
      <c r="S3365" s="5">
        <v>1</v>
      </c>
      <c r="T33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табеле]])*S3365,0)</f>
        <v>0</v>
      </c>
      <c r="U3365" s="5">
        <f>IF(Таблица1[[#This Row],[ТТН]]&gt;0,Таблица1[[#This Row],[Ставка за ТТН]]*Таблица1[[#This Row],[ТТН]],0)</f>
        <v>0</v>
      </c>
    </row>
    <row r="3366" spans="1:21" x14ac:dyDescent="0.25">
      <c r="A3366" t="s">
        <v>84</v>
      </c>
      <c r="B3366" s="24">
        <v>22</v>
      </c>
      <c r="C3366" t="s">
        <v>196</v>
      </c>
      <c r="D3366" t="s">
        <v>12</v>
      </c>
      <c r="E3366" t="s">
        <v>215</v>
      </c>
      <c r="F3366" t="s">
        <v>66</v>
      </c>
      <c r="H3366" t="s">
        <v>30</v>
      </c>
      <c r="I3366" t="s">
        <v>217</v>
      </c>
      <c r="J3366">
        <v>1</v>
      </c>
      <c r="N3366">
        <f>Таблица1[[#This Row],[Часов на заказчика  в работе]]+Таблица1[[#This Row],[Часов на заказчика  дежурство]]</f>
        <v>0</v>
      </c>
      <c r="O33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6" s="9">
        <v>162000</v>
      </c>
      <c r="R3366" s="9"/>
      <c r="S3366" s="5">
        <v>1</v>
      </c>
      <c r="T33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табеле]])*S3366,0)</f>
        <v>0</v>
      </c>
      <c r="U3366" s="5">
        <f>IF(Таблица1[[#This Row],[ТТН]]&gt;0,Таблица1[[#This Row],[Ставка за ТТН]]*Таблица1[[#This Row],[ТТН]],0)</f>
        <v>0</v>
      </c>
    </row>
    <row r="3367" spans="1:21" x14ac:dyDescent="0.25">
      <c r="A3367" t="s">
        <v>84</v>
      </c>
      <c r="B3367" s="24">
        <v>23</v>
      </c>
      <c r="C3367" t="s">
        <v>196</v>
      </c>
      <c r="D3367" t="s">
        <v>12</v>
      </c>
      <c r="E3367" t="s">
        <v>215</v>
      </c>
      <c r="F3367" t="s">
        <v>66</v>
      </c>
      <c r="H3367" t="s">
        <v>24</v>
      </c>
      <c r="I3367" t="s">
        <v>217</v>
      </c>
      <c r="J3367">
        <v>8</v>
      </c>
      <c r="N3367">
        <f>Таблица1[[#This Row],[Часов на заказчика  в работе]]+Таблица1[[#This Row],[Часов на заказчика  дежурство]]</f>
        <v>0</v>
      </c>
      <c r="O33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7" s="9">
        <v>162000</v>
      </c>
      <c r="R3367" s="9"/>
      <c r="S3367" s="5">
        <v>1</v>
      </c>
      <c r="T33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табеле]])*S3367,0)</f>
        <v>0</v>
      </c>
      <c r="U3367" s="5">
        <f>IF(Таблица1[[#This Row],[ТТН]]&gt;0,Таблица1[[#This Row],[Ставка за ТТН]]*Таблица1[[#This Row],[ТТН]],0)</f>
        <v>0</v>
      </c>
    </row>
    <row r="3368" spans="1:21" x14ac:dyDescent="0.25">
      <c r="A3368" t="s">
        <v>84</v>
      </c>
      <c r="B3368" s="24">
        <v>24</v>
      </c>
      <c r="C3368" t="s">
        <v>196</v>
      </c>
      <c r="D3368" t="s">
        <v>12</v>
      </c>
      <c r="E3368" t="s">
        <v>215</v>
      </c>
      <c r="F3368" t="s">
        <v>66</v>
      </c>
      <c r="H3368" t="s">
        <v>24</v>
      </c>
      <c r="I3368" t="s">
        <v>217</v>
      </c>
      <c r="J3368">
        <v>8</v>
      </c>
      <c r="N3368">
        <f>Таблица1[[#This Row],[Часов на заказчика  в работе]]+Таблица1[[#This Row],[Часов на заказчика  дежурство]]</f>
        <v>0</v>
      </c>
      <c r="O33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8" s="9">
        <v>162000</v>
      </c>
      <c r="R3368" s="9"/>
      <c r="S3368" s="5">
        <v>1</v>
      </c>
      <c r="T33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табеле]])*S3368,0)</f>
        <v>0</v>
      </c>
      <c r="U3368" s="5">
        <f>IF(Таблица1[[#This Row],[ТТН]]&gt;0,Таблица1[[#This Row],[Ставка за ТТН]]*Таблица1[[#This Row],[ТТН]],0)</f>
        <v>0</v>
      </c>
    </row>
    <row r="3369" spans="1:21" x14ac:dyDescent="0.25">
      <c r="A3369" t="s">
        <v>84</v>
      </c>
      <c r="B3369" s="24">
        <v>25</v>
      </c>
      <c r="C3369" t="s">
        <v>196</v>
      </c>
      <c r="D3369" t="s">
        <v>12</v>
      </c>
      <c r="E3369" t="s">
        <v>215</v>
      </c>
      <c r="F3369" t="s">
        <v>66</v>
      </c>
      <c r="H3369" t="s">
        <v>29</v>
      </c>
      <c r="I3369" t="s">
        <v>217</v>
      </c>
      <c r="J3369">
        <v>8</v>
      </c>
      <c r="N3369">
        <f>Таблица1[[#This Row],[Часов на заказчика  в работе]]+Таблица1[[#This Row],[Часов на заказчика  дежурство]]</f>
        <v>0</v>
      </c>
      <c r="O33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69" s="9">
        <v>162000</v>
      </c>
      <c r="R3369" s="9"/>
      <c r="S3369" s="5">
        <v>1</v>
      </c>
      <c r="T33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табеле]])*S3369,0)</f>
        <v>0</v>
      </c>
      <c r="U3369" s="5">
        <f>IF(Таблица1[[#This Row],[ТТН]]&gt;0,Таблица1[[#This Row],[Ставка за ТТН]]*Таблица1[[#This Row],[ТТН]],0)</f>
        <v>0</v>
      </c>
    </row>
    <row r="3370" spans="1:21" x14ac:dyDescent="0.25">
      <c r="A3370" t="s">
        <v>84</v>
      </c>
      <c r="B3370" s="24">
        <v>26</v>
      </c>
      <c r="C3370" t="s">
        <v>196</v>
      </c>
      <c r="D3370" t="s">
        <v>12</v>
      </c>
      <c r="E3370" t="s">
        <v>215</v>
      </c>
      <c r="F3370" t="s">
        <v>66</v>
      </c>
      <c r="H3370" t="s">
        <v>29</v>
      </c>
      <c r="I3370" t="s">
        <v>217</v>
      </c>
      <c r="J3370">
        <v>8</v>
      </c>
      <c r="N3370">
        <f>Таблица1[[#This Row],[Часов на заказчика  в работе]]+Таблица1[[#This Row],[Часов на заказчика  дежурство]]</f>
        <v>0</v>
      </c>
      <c r="O33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0" s="9">
        <v>162000</v>
      </c>
      <c r="R3370" s="9"/>
      <c r="S3370" s="5">
        <v>1</v>
      </c>
      <c r="T33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табеле]])*S3370,0)</f>
        <v>0</v>
      </c>
      <c r="U3370" s="5">
        <f>IF(Таблица1[[#This Row],[ТТН]]&gt;0,Таблица1[[#This Row],[Ставка за ТТН]]*Таблица1[[#This Row],[ТТН]],0)</f>
        <v>0</v>
      </c>
    </row>
    <row r="3371" spans="1:21" x14ac:dyDescent="0.25">
      <c r="A3371" t="s">
        <v>84</v>
      </c>
      <c r="B3371" s="24">
        <v>27</v>
      </c>
      <c r="C3371" t="s">
        <v>196</v>
      </c>
      <c r="D3371" t="s">
        <v>12</v>
      </c>
      <c r="E3371" t="s">
        <v>215</v>
      </c>
      <c r="F3371" t="s">
        <v>66</v>
      </c>
      <c r="H3371" t="s">
        <v>30</v>
      </c>
      <c r="I3371" t="s">
        <v>217</v>
      </c>
      <c r="J3371">
        <v>1</v>
      </c>
      <c r="N3371">
        <f>Таблица1[[#This Row],[Часов на заказчика  в работе]]+Таблица1[[#This Row],[Часов на заказчика  дежурство]]</f>
        <v>0</v>
      </c>
      <c r="O33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1" s="9">
        <v>162000</v>
      </c>
      <c r="R3371" s="9"/>
      <c r="S3371" s="5">
        <v>1</v>
      </c>
      <c r="T33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табеле]])*S3371,0)</f>
        <v>0</v>
      </c>
      <c r="U3371" s="5">
        <f>IF(Таблица1[[#This Row],[ТТН]]&gt;0,Таблица1[[#This Row],[Ставка за ТТН]]*Таблица1[[#This Row],[ТТН]],0)</f>
        <v>0</v>
      </c>
    </row>
    <row r="3372" spans="1:21" x14ac:dyDescent="0.25">
      <c r="A3372" t="s">
        <v>84</v>
      </c>
      <c r="B3372" s="24">
        <v>28</v>
      </c>
      <c r="C3372" t="s">
        <v>196</v>
      </c>
      <c r="D3372" t="s">
        <v>12</v>
      </c>
      <c r="E3372" t="s">
        <v>215</v>
      </c>
      <c r="F3372" t="s">
        <v>66</v>
      </c>
      <c r="H3372" t="s">
        <v>30</v>
      </c>
      <c r="I3372" t="s">
        <v>217</v>
      </c>
      <c r="J3372">
        <v>1</v>
      </c>
      <c r="N3372">
        <f>Таблица1[[#This Row],[Часов на заказчика  в работе]]+Таблица1[[#This Row],[Часов на заказчика  дежурство]]</f>
        <v>0</v>
      </c>
      <c r="O33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2" s="9">
        <v>162000</v>
      </c>
      <c r="R3372" s="9"/>
      <c r="S3372" s="5">
        <v>1</v>
      </c>
      <c r="T33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табеле]])*S3372,0)</f>
        <v>0</v>
      </c>
      <c r="U3372" s="5">
        <f>IF(Таблица1[[#This Row],[ТТН]]&gt;0,Таблица1[[#This Row],[Ставка за ТТН]]*Таблица1[[#This Row],[ТТН]],0)</f>
        <v>0</v>
      </c>
    </row>
    <row r="3373" spans="1:21" x14ac:dyDescent="0.25">
      <c r="A3373" t="s">
        <v>84</v>
      </c>
      <c r="B3373" s="24">
        <v>29</v>
      </c>
      <c r="C3373" t="s">
        <v>196</v>
      </c>
      <c r="D3373" t="s">
        <v>12</v>
      </c>
      <c r="E3373" t="s">
        <v>215</v>
      </c>
      <c r="F3373" t="s">
        <v>66</v>
      </c>
      <c r="H3373" t="s">
        <v>29</v>
      </c>
      <c r="I3373" t="s">
        <v>217</v>
      </c>
      <c r="J3373">
        <v>8</v>
      </c>
      <c r="N3373">
        <f>Таблица1[[#This Row],[Часов на заказчика  в работе]]+Таблица1[[#This Row],[Часов на заказчика  дежурство]]</f>
        <v>0</v>
      </c>
      <c r="O33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3" s="9">
        <v>162000</v>
      </c>
      <c r="R3373" s="9"/>
      <c r="S3373" s="5">
        <v>1</v>
      </c>
      <c r="T33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табеле]])*S3373,0)</f>
        <v>0</v>
      </c>
      <c r="U3373" s="5">
        <f>IF(Таблица1[[#This Row],[ТТН]]&gt;0,Таблица1[[#This Row],[Ставка за ТТН]]*Таблица1[[#This Row],[ТТН]],0)</f>
        <v>0</v>
      </c>
    </row>
    <row r="3374" spans="1:21" x14ac:dyDescent="0.25">
      <c r="A3374" t="s">
        <v>84</v>
      </c>
      <c r="B3374" s="24">
        <v>30</v>
      </c>
      <c r="C3374" t="s">
        <v>197</v>
      </c>
      <c r="D3374" t="s">
        <v>12</v>
      </c>
      <c r="E3374" t="s">
        <v>215</v>
      </c>
      <c r="F3374" t="s">
        <v>66</v>
      </c>
      <c r="H3374" t="s">
        <v>29</v>
      </c>
      <c r="I3374" t="s">
        <v>217</v>
      </c>
      <c r="J3374">
        <v>8</v>
      </c>
      <c r="N3374">
        <f>Таблица1[[#This Row],[Часов на заказчика  в работе]]+Таблица1[[#This Row],[Часов на заказчика  дежурство]]</f>
        <v>0</v>
      </c>
      <c r="O33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4" s="9">
        <v>162000</v>
      </c>
      <c r="R3374" s="9"/>
      <c r="S3374" s="5">
        <v>1</v>
      </c>
      <c r="T33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табеле]])*S3374,0)</f>
        <v>0</v>
      </c>
      <c r="U3374" s="5">
        <f>IF(Таблица1[[#This Row],[ТТН]]&gt;0,Таблица1[[#This Row],[Ставка за ТТН]]*Таблица1[[#This Row],[ТТН]],0)</f>
        <v>0</v>
      </c>
    </row>
    <row r="3375" spans="1:21" x14ac:dyDescent="0.25">
      <c r="A3375" t="s">
        <v>84</v>
      </c>
      <c r="B3375" s="24">
        <v>1</v>
      </c>
      <c r="C3375" t="s">
        <v>197</v>
      </c>
      <c r="D3375" t="s">
        <v>12</v>
      </c>
      <c r="E3375" t="s">
        <v>215</v>
      </c>
      <c r="F3375" t="s">
        <v>66</v>
      </c>
      <c r="H3375" t="s">
        <v>10</v>
      </c>
      <c r="I3375" t="s">
        <v>219</v>
      </c>
      <c r="J3375">
        <v>11</v>
      </c>
      <c r="N3375">
        <f>Таблица1[[#This Row],[Часов на заказчика  в работе]]+Таблица1[[#This Row],[Часов на заказчика  дежурство]]</f>
        <v>0</v>
      </c>
      <c r="O33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5" s="9">
        <v>162000</v>
      </c>
      <c r="R3375" s="9"/>
      <c r="S3375" s="5">
        <v>1</v>
      </c>
      <c r="T33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табеле]])*S3375,0)</f>
        <v>5400</v>
      </c>
      <c r="U3375" s="5">
        <f>IF(Таблица1[[#This Row],[ТТН]]&gt;0,Таблица1[[#This Row],[Ставка за ТТН]]*Таблица1[[#This Row],[ТТН]],0)</f>
        <v>0</v>
      </c>
    </row>
    <row r="3376" spans="1:21" x14ac:dyDescent="0.25">
      <c r="A3376" t="s">
        <v>84</v>
      </c>
      <c r="B3376" s="24">
        <v>2</v>
      </c>
      <c r="C3376" t="s">
        <v>197</v>
      </c>
      <c r="D3376" t="s">
        <v>12</v>
      </c>
      <c r="E3376" t="s">
        <v>215</v>
      </c>
      <c r="F3376" t="s">
        <v>66</v>
      </c>
      <c r="H3376" t="s">
        <v>10</v>
      </c>
      <c r="I3376" t="s">
        <v>219</v>
      </c>
      <c r="J3376">
        <v>11</v>
      </c>
      <c r="N3376">
        <f>Таблица1[[#This Row],[Часов на заказчика  в работе]]+Таблица1[[#This Row],[Часов на заказчика  дежурство]]</f>
        <v>0</v>
      </c>
      <c r="O33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6" s="9">
        <v>162000</v>
      </c>
      <c r="R3376" s="9"/>
      <c r="S3376" s="5">
        <v>1</v>
      </c>
      <c r="T33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табеле]])*S3376,0)</f>
        <v>5400</v>
      </c>
      <c r="U3376" s="5">
        <f>IF(Таблица1[[#This Row],[ТТН]]&gt;0,Таблица1[[#This Row],[Ставка за ТТН]]*Таблица1[[#This Row],[ТТН]],0)</f>
        <v>0</v>
      </c>
    </row>
    <row r="3377" spans="1:21" x14ac:dyDescent="0.25">
      <c r="A3377" t="s">
        <v>84</v>
      </c>
      <c r="B3377" s="24">
        <v>3</v>
      </c>
      <c r="C3377" t="s">
        <v>197</v>
      </c>
      <c r="D3377" t="s">
        <v>12</v>
      </c>
      <c r="E3377" t="s">
        <v>215</v>
      </c>
      <c r="F3377" t="s">
        <v>66</v>
      </c>
      <c r="H3377" t="s">
        <v>38</v>
      </c>
      <c r="I3377" t="s">
        <v>219</v>
      </c>
      <c r="J3377">
        <v>11</v>
      </c>
      <c r="N3377">
        <f>Таблица1[[#This Row],[Часов на заказчика  в работе]]+Таблица1[[#This Row],[Часов на заказчика  дежурство]]</f>
        <v>0</v>
      </c>
      <c r="O33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7" s="9">
        <v>162000</v>
      </c>
      <c r="R3377" s="9"/>
      <c r="S3377" s="5">
        <v>1</v>
      </c>
      <c r="T33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табеле]])*S3377,0)</f>
        <v>5400</v>
      </c>
      <c r="U3377" s="5">
        <f>IF(Таблица1[[#This Row],[ТТН]]&gt;0,Таблица1[[#This Row],[Ставка за ТТН]]*Таблица1[[#This Row],[ТТН]],0)</f>
        <v>0</v>
      </c>
    </row>
    <row r="3378" spans="1:21" x14ac:dyDescent="0.25">
      <c r="A3378" t="s">
        <v>84</v>
      </c>
      <c r="B3378" s="24">
        <v>4</v>
      </c>
      <c r="C3378" t="s">
        <v>197</v>
      </c>
      <c r="D3378" t="s">
        <v>12</v>
      </c>
      <c r="E3378" t="s">
        <v>215</v>
      </c>
      <c r="F3378" t="s">
        <v>66</v>
      </c>
      <c r="H3378" t="s">
        <v>10</v>
      </c>
      <c r="I3378" t="s">
        <v>219</v>
      </c>
      <c r="J3378">
        <v>11</v>
      </c>
      <c r="K3378">
        <v>1</v>
      </c>
      <c r="N3378">
        <f>Таблица1[[#This Row],[Часов на заказчика  в работе]]+Таблица1[[#This Row],[Часов на заказчика  дежурство]]</f>
        <v>0</v>
      </c>
      <c r="O33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8" s="9">
        <v>162000</v>
      </c>
      <c r="R3378" s="9">
        <v>5000</v>
      </c>
      <c r="S3378" s="5">
        <v>1</v>
      </c>
      <c r="T33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табеле]])*S3378,0)</f>
        <v>5400</v>
      </c>
      <c r="U3378" s="5">
        <f>IF(Таблица1[[#This Row],[ТТН]]&gt;0,Таблица1[[#This Row],[Ставка за ТТН]]*Таблица1[[#This Row],[ТТН]],0)</f>
        <v>5000</v>
      </c>
    </row>
    <row r="3379" spans="1:21" x14ac:dyDescent="0.25">
      <c r="A3379" t="s">
        <v>84</v>
      </c>
      <c r="B3379" s="24">
        <v>5</v>
      </c>
      <c r="C3379" t="s">
        <v>197</v>
      </c>
      <c r="D3379" t="s">
        <v>12</v>
      </c>
      <c r="E3379" t="s">
        <v>215</v>
      </c>
      <c r="F3379" t="s">
        <v>66</v>
      </c>
      <c r="H3379" t="s">
        <v>10</v>
      </c>
      <c r="I3379" t="s">
        <v>219</v>
      </c>
      <c r="J3379">
        <v>22</v>
      </c>
      <c r="N3379">
        <f>Таблица1[[#This Row],[Часов на заказчика  в работе]]+Таблица1[[#This Row],[Часов на заказчика  дежурство]]</f>
        <v>0</v>
      </c>
      <c r="O33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79" s="9">
        <v>162000</v>
      </c>
      <c r="R3379" s="9"/>
      <c r="S3379" s="5">
        <v>1</v>
      </c>
      <c r="T33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табеле]])*S3379,0)</f>
        <v>10800</v>
      </c>
      <c r="U3379" s="5">
        <f>IF(Таблица1[[#This Row],[ТТН]]&gt;0,Таблица1[[#This Row],[Ставка за ТТН]]*Таблица1[[#This Row],[ТТН]],0)</f>
        <v>0</v>
      </c>
    </row>
    <row r="3380" spans="1:21" x14ac:dyDescent="0.25">
      <c r="A3380" t="s">
        <v>84</v>
      </c>
      <c r="B3380" s="24">
        <v>6</v>
      </c>
      <c r="C3380" t="s">
        <v>197</v>
      </c>
      <c r="D3380" t="s">
        <v>12</v>
      </c>
      <c r="E3380" t="s">
        <v>215</v>
      </c>
      <c r="F3380" t="s">
        <v>66</v>
      </c>
      <c r="H3380" t="s">
        <v>10</v>
      </c>
      <c r="I3380" t="s">
        <v>219</v>
      </c>
      <c r="J3380">
        <v>11</v>
      </c>
      <c r="N3380">
        <f>Таблица1[[#This Row],[Часов на заказчика  в работе]]+Таблица1[[#This Row],[Часов на заказчика  дежурство]]</f>
        <v>0</v>
      </c>
      <c r="O33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0" s="9">
        <v>162000</v>
      </c>
      <c r="R3380" s="9"/>
      <c r="S3380" s="5">
        <v>1</v>
      </c>
      <c r="T33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табеле]])*S3380,0)</f>
        <v>5400</v>
      </c>
      <c r="U3380" s="5">
        <f>IF(Таблица1[[#This Row],[ТТН]]&gt;0,Таблица1[[#This Row],[Ставка за ТТН]]*Таблица1[[#This Row],[ТТН]],0)</f>
        <v>0</v>
      </c>
    </row>
    <row r="3381" spans="1:21" x14ac:dyDescent="0.25">
      <c r="A3381" t="s">
        <v>84</v>
      </c>
      <c r="B3381" s="24">
        <v>7</v>
      </c>
      <c r="C3381" t="s">
        <v>197</v>
      </c>
      <c r="D3381" t="s">
        <v>12</v>
      </c>
      <c r="E3381" t="s">
        <v>215</v>
      </c>
      <c r="F3381" t="s">
        <v>66</v>
      </c>
      <c r="H3381" t="s">
        <v>10</v>
      </c>
      <c r="I3381" t="s">
        <v>219</v>
      </c>
      <c r="J3381">
        <v>22</v>
      </c>
      <c r="N3381">
        <f>Таблица1[[#This Row],[Часов на заказчика  в работе]]+Таблица1[[#This Row],[Часов на заказчика  дежурство]]</f>
        <v>0</v>
      </c>
      <c r="O33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1" s="9">
        <v>162000</v>
      </c>
      <c r="R3381" s="9"/>
      <c r="S3381" s="5">
        <v>1</v>
      </c>
      <c r="T33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табеле]])*S3381,0)</f>
        <v>10800</v>
      </c>
      <c r="U3381" s="5">
        <f>IF(Таблица1[[#This Row],[ТТН]]&gt;0,Таблица1[[#This Row],[Ставка за ТТН]]*Таблица1[[#This Row],[ТТН]],0)</f>
        <v>0</v>
      </c>
    </row>
    <row r="3382" spans="1:21" x14ac:dyDescent="0.25">
      <c r="A3382" t="s">
        <v>84</v>
      </c>
      <c r="B3382" s="24">
        <v>8</v>
      </c>
      <c r="C3382" t="s">
        <v>197</v>
      </c>
      <c r="D3382" t="s">
        <v>12</v>
      </c>
      <c r="E3382" t="s">
        <v>215</v>
      </c>
      <c r="F3382" t="s">
        <v>66</v>
      </c>
      <c r="H3382" t="s">
        <v>10</v>
      </c>
      <c r="I3382" t="s">
        <v>219</v>
      </c>
      <c r="J3382">
        <v>22</v>
      </c>
      <c r="N3382">
        <f>Таблица1[[#This Row],[Часов на заказчика  в работе]]+Таблица1[[#This Row],[Часов на заказчика  дежурство]]</f>
        <v>0</v>
      </c>
      <c r="O33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2" s="9">
        <v>162000</v>
      </c>
      <c r="R3382" s="9"/>
      <c r="S3382" s="5">
        <v>1</v>
      </c>
      <c r="T33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табеле]])*S3382,0)</f>
        <v>10800</v>
      </c>
      <c r="U3382" s="5">
        <f>IF(Таблица1[[#This Row],[ТТН]]&gt;0,Таблица1[[#This Row],[Ставка за ТТН]]*Таблица1[[#This Row],[ТТН]],0)</f>
        <v>0</v>
      </c>
    </row>
    <row r="3383" spans="1:21" x14ac:dyDescent="0.25">
      <c r="A3383" t="s">
        <v>84</v>
      </c>
      <c r="B3383" s="24">
        <v>9</v>
      </c>
      <c r="C3383" t="s">
        <v>197</v>
      </c>
      <c r="D3383" t="s">
        <v>12</v>
      </c>
      <c r="E3383" t="s">
        <v>215</v>
      </c>
      <c r="F3383" t="s">
        <v>66</v>
      </c>
      <c r="H3383" t="s">
        <v>10</v>
      </c>
      <c r="I3383" t="s">
        <v>219</v>
      </c>
      <c r="J3383">
        <v>11</v>
      </c>
      <c r="K3383">
        <v>1</v>
      </c>
      <c r="N3383">
        <f>Таблица1[[#This Row],[Часов на заказчика  в работе]]+Таблица1[[#This Row],[Часов на заказчика  дежурство]]</f>
        <v>0</v>
      </c>
      <c r="O33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3" s="9">
        <v>162000</v>
      </c>
      <c r="R3383" s="9">
        <v>5000</v>
      </c>
      <c r="S3383" s="5">
        <v>1</v>
      </c>
      <c r="T33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табеле]])*S3383,0)</f>
        <v>5400</v>
      </c>
      <c r="U3383" s="5">
        <f>IF(Таблица1[[#This Row],[ТТН]]&gt;0,Таблица1[[#This Row],[Ставка за ТТН]]*Таблица1[[#This Row],[ТТН]],0)</f>
        <v>5000</v>
      </c>
    </row>
    <row r="3384" spans="1:21" x14ac:dyDescent="0.25">
      <c r="A3384" t="s">
        <v>84</v>
      </c>
      <c r="B3384" s="24">
        <v>10</v>
      </c>
      <c r="C3384" t="s">
        <v>197</v>
      </c>
      <c r="D3384" t="s">
        <v>12</v>
      </c>
      <c r="E3384" t="s">
        <v>215</v>
      </c>
      <c r="F3384" t="s">
        <v>66</v>
      </c>
      <c r="H3384" t="s">
        <v>10</v>
      </c>
      <c r="I3384" t="s">
        <v>219</v>
      </c>
      <c r="J3384">
        <v>22</v>
      </c>
      <c r="N3384">
        <f>Таблица1[[#This Row],[Часов на заказчика  в работе]]+Таблица1[[#This Row],[Часов на заказчика  дежурство]]</f>
        <v>0</v>
      </c>
      <c r="O33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4" s="9">
        <v>162000</v>
      </c>
      <c r="R3384" s="9"/>
      <c r="S3384" s="5">
        <v>1</v>
      </c>
      <c r="T33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табеле]])*S3384,0)</f>
        <v>10800</v>
      </c>
      <c r="U3384" s="5">
        <f>IF(Таблица1[[#This Row],[ТТН]]&gt;0,Таблица1[[#This Row],[Ставка за ТТН]]*Таблица1[[#This Row],[ТТН]],0)</f>
        <v>0</v>
      </c>
    </row>
    <row r="3385" spans="1:21" x14ac:dyDescent="0.25">
      <c r="A3385" t="s">
        <v>84</v>
      </c>
      <c r="B3385" s="24">
        <v>11</v>
      </c>
      <c r="C3385" t="s">
        <v>197</v>
      </c>
      <c r="D3385" t="s">
        <v>12</v>
      </c>
      <c r="E3385" t="s">
        <v>215</v>
      </c>
      <c r="F3385" t="s">
        <v>66</v>
      </c>
      <c r="H3385" t="s">
        <v>10</v>
      </c>
      <c r="I3385" t="s">
        <v>219</v>
      </c>
      <c r="J3385">
        <v>11</v>
      </c>
      <c r="N3385">
        <f>Таблица1[[#This Row],[Часов на заказчика  в работе]]+Таблица1[[#This Row],[Часов на заказчика  дежурство]]</f>
        <v>0</v>
      </c>
      <c r="O33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5" s="9">
        <v>162000</v>
      </c>
      <c r="R3385" s="9"/>
      <c r="S3385" s="5">
        <v>1</v>
      </c>
      <c r="T33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табеле]])*S3385,0)</f>
        <v>5400</v>
      </c>
      <c r="U3385" s="5">
        <f>IF(Таблица1[[#This Row],[ТТН]]&gt;0,Таблица1[[#This Row],[Ставка за ТТН]]*Таблица1[[#This Row],[ТТН]],0)</f>
        <v>0</v>
      </c>
    </row>
    <row r="3386" spans="1:21" x14ac:dyDescent="0.25">
      <c r="A3386" t="s">
        <v>84</v>
      </c>
      <c r="B3386" s="24">
        <v>12</v>
      </c>
      <c r="C3386" t="s">
        <v>197</v>
      </c>
      <c r="D3386" t="s">
        <v>12</v>
      </c>
      <c r="E3386" t="s">
        <v>215</v>
      </c>
      <c r="F3386" t="s">
        <v>66</v>
      </c>
      <c r="H3386" t="s">
        <v>10</v>
      </c>
      <c r="I3386" t="s">
        <v>219</v>
      </c>
      <c r="J3386">
        <v>22</v>
      </c>
      <c r="N3386">
        <f>Таблица1[[#This Row],[Часов на заказчика  в работе]]+Таблица1[[#This Row],[Часов на заказчика  дежурство]]</f>
        <v>0</v>
      </c>
      <c r="O33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6" s="9">
        <v>162000</v>
      </c>
      <c r="R3386" s="9"/>
      <c r="S3386" s="5">
        <v>1</v>
      </c>
      <c r="T33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табеле]])*S3386,0)</f>
        <v>10800</v>
      </c>
      <c r="U3386" s="5">
        <f>IF(Таблица1[[#This Row],[ТТН]]&gt;0,Таблица1[[#This Row],[Ставка за ТТН]]*Таблица1[[#This Row],[ТТН]],0)</f>
        <v>0</v>
      </c>
    </row>
    <row r="3387" spans="1:21" x14ac:dyDescent="0.25">
      <c r="A3387" t="s">
        <v>84</v>
      </c>
      <c r="B3387" s="24">
        <v>13</v>
      </c>
      <c r="C3387" t="s">
        <v>197</v>
      </c>
      <c r="D3387" t="s">
        <v>12</v>
      </c>
      <c r="E3387" t="s">
        <v>215</v>
      </c>
      <c r="F3387" t="s">
        <v>66</v>
      </c>
      <c r="H3387" t="s">
        <v>10</v>
      </c>
      <c r="I3387" t="s">
        <v>219</v>
      </c>
      <c r="J3387">
        <v>22</v>
      </c>
      <c r="N3387">
        <f>Таблица1[[#This Row],[Часов на заказчика  в работе]]+Таблица1[[#This Row],[Часов на заказчика  дежурство]]</f>
        <v>0</v>
      </c>
      <c r="O33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7" s="9">
        <v>162000</v>
      </c>
      <c r="R3387" s="9"/>
      <c r="S3387" s="5">
        <v>1</v>
      </c>
      <c r="T33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табеле]])*S3387,0)</f>
        <v>10800</v>
      </c>
      <c r="U3387" s="5">
        <f>IF(Таблица1[[#This Row],[ТТН]]&gt;0,Таблица1[[#This Row],[Ставка за ТТН]]*Таблица1[[#This Row],[ТТН]],0)</f>
        <v>0</v>
      </c>
    </row>
    <row r="3388" spans="1:21" x14ac:dyDescent="0.25">
      <c r="A3388" t="s">
        <v>84</v>
      </c>
      <c r="B3388" s="24">
        <v>14</v>
      </c>
      <c r="C3388" t="s">
        <v>197</v>
      </c>
      <c r="D3388" t="s">
        <v>12</v>
      </c>
      <c r="E3388" t="s">
        <v>215</v>
      </c>
      <c r="F3388" t="s">
        <v>66</v>
      </c>
      <c r="H3388" t="s">
        <v>10</v>
      </c>
      <c r="I3388" t="s">
        <v>219</v>
      </c>
      <c r="J3388">
        <v>11</v>
      </c>
      <c r="N3388">
        <f>Таблица1[[#This Row],[Часов на заказчика  в работе]]+Таблица1[[#This Row],[Часов на заказчика  дежурство]]</f>
        <v>0</v>
      </c>
      <c r="O33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8" s="9">
        <v>162000</v>
      </c>
      <c r="R3388" s="9"/>
      <c r="S3388" s="5">
        <v>1</v>
      </c>
      <c r="T33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табеле]])*S3388,0)</f>
        <v>5400</v>
      </c>
      <c r="U3388" s="5">
        <f>IF(Таблица1[[#This Row],[ТТН]]&gt;0,Таблица1[[#This Row],[Ставка за ТТН]]*Таблица1[[#This Row],[ТТН]],0)</f>
        <v>0</v>
      </c>
    </row>
    <row r="3389" spans="1:21" x14ac:dyDescent="0.25">
      <c r="A3389" t="s">
        <v>84</v>
      </c>
      <c r="B3389" s="24">
        <v>15</v>
      </c>
      <c r="C3389" t="s">
        <v>197</v>
      </c>
      <c r="D3389" t="s">
        <v>12</v>
      </c>
      <c r="E3389" t="s">
        <v>215</v>
      </c>
      <c r="F3389" t="s">
        <v>66</v>
      </c>
      <c r="H3389" t="s">
        <v>10</v>
      </c>
      <c r="I3389" t="s">
        <v>219</v>
      </c>
      <c r="J3389">
        <v>11</v>
      </c>
      <c r="N3389">
        <f>Таблица1[[#This Row],[Часов на заказчика  в работе]]+Таблица1[[#This Row],[Часов на заказчика  дежурство]]</f>
        <v>0</v>
      </c>
      <c r="O33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89" s="9">
        <v>162000</v>
      </c>
      <c r="R3389" s="9"/>
      <c r="S3389" s="5">
        <v>1</v>
      </c>
      <c r="T33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табеле]])*S3389,0)</f>
        <v>5400</v>
      </c>
      <c r="U3389" s="5">
        <f>IF(Таблица1[[#This Row],[ТТН]]&gt;0,Таблица1[[#This Row],[Ставка за ТТН]]*Таблица1[[#This Row],[ТТН]],0)</f>
        <v>0</v>
      </c>
    </row>
    <row r="3390" spans="1:21" x14ac:dyDescent="0.25">
      <c r="A3390" t="s">
        <v>84</v>
      </c>
      <c r="B3390" s="24">
        <v>16</v>
      </c>
      <c r="C3390" t="s">
        <v>197</v>
      </c>
      <c r="D3390" t="s">
        <v>12</v>
      </c>
      <c r="E3390" t="s">
        <v>215</v>
      </c>
      <c r="F3390" t="s">
        <v>66</v>
      </c>
      <c r="H3390" t="s">
        <v>10</v>
      </c>
      <c r="I3390" t="s">
        <v>219</v>
      </c>
      <c r="J3390">
        <v>11</v>
      </c>
      <c r="K3390">
        <v>1</v>
      </c>
      <c r="N3390">
        <f>Таблица1[[#This Row],[Часов на заказчика  в работе]]+Таблица1[[#This Row],[Часов на заказчика  дежурство]]</f>
        <v>0</v>
      </c>
      <c r="O33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0" s="9">
        <v>162000</v>
      </c>
      <c r="R3390" s="9">
        <v>5000</v>
      </c>
      <c r="S3390" s="5">
        <v>1</v>
      </c>
      <c r="T33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табеле]])*S3390,0)</f>
        <v>5400</v>
      </c>
      <c r="U3390" s="5">
        <f>IF(Таблица1[[#This Row],[ТТН]]&gt;0,Таблица1[[#This Row],[Ставка за ТТН]]*Таблица1[[#This Row],[ТТН]],0)</f>
        <v>5000</v>
      </c>
    </row>
    <row r="3391" spans="1:21" x14ac:dyDescent="0.25">
      <c r="A3391" t="s">
        <v>84</v>
      </c>
      <c r="B3391" s="24">
        <v>17</v>
      </c>
      <c r="C3391" t="s">
        <v>197</v>
      </c>
      <c r="D3391" t="s">
        <v>12</v>
      </c>
      <c r="E3391" t="s">
        <v>215</v>
      </c>
      <c r="F3391" t="s">
        <v>66</v>
      </c>
      <c r="H3391" t="s">
        <v>10</v>
      </c>
      <c r="I3391" t="s">
        <v>219</v>
      </c>
      <c r="J3391">
        <v>22</v>
      </c>
      <c r="N3391">
        <f>Таблица1[[#This Row],[Часов на заказчика  в работе]]+Таблица1[[#This Row],[Часов на заказчика  дежурство]]</f>
        <v>0</v>
      </c>
      <c r="O33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1" s="9">
        <v>162000</v>
      </c>
      <c r="R3391" s="9"/>
      <c r="S3391" s="5">
        <v>1</v>
      </c>
      <c r="T33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табеле]])*S3391,0)</f>
        <v>10800</v>
      </c>
      <c r="U3391" s="5">
        <f>IF(Таблица1[[#This Row],[ТТН]]&gt;0,Таблица1[[#This Row],[Ставка за ТТН]]*Таблица1[[#This Row],[ТТН]],0)</f>
        <v>0</v>
      </c>
    </row>
    <row r="3392" spans="1:21" x14ac:dyDescent="0.25">
      <c r="A3392" t="s">
        <v>84</v>
      </c>
      <c r="B3392" s="24">
        <v>18</v>
      </c>
      <c r="C3392" t="s">
        <v>197</v>
      </c>
      <c r="D3392" t="s">
        <v>12</v>
      </c>
      <c r="E3392" t="s">
        <v>215</v>
      </c>
      <c r="F3392" t="s">
        <v>66</v>
      </c>
      <c r="H3392" t="s">
        <v>10</v>
      </c>
      <c r="I3392" t="s">
        <v>219</v>
      </c>
      <c r="J3392">
        <v>11</v>
      </c>
      <c r="N3392">
        <f>Таблица1[[#This Row],[Часов на заказчика  в работе]]+Таблица1[[#This Row],[Часов на заказчика  дежурство]]</f>
        <v>0</v>
      </c>
      <c r="O33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2" s="9">
        <v>162000</v>
      </c>
      <c r="R3392" s="9"/>
      <c r="S3392" s="5">
        <v>1</v>
      </c>
      <c r="T33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табеле]])*S3392,0)</f>
        <v>5400</v>
      </c>
      <c r="U3392" s="5">
        <f>IF(Таблица1[[#This Row],[ТТН]]&gt;0,Таблица1[[#This Row],[Ставка за ТТН]]*Таблица1[[#This Row],[ТТН]],0)</f>
        <v>0</v>
      </c>
    </row>
    <row r="3393" spans="1:21" x14ac:dyDescent="0.25">
      <c r="A3393" t="s">
        <v>84</v>
      </c>
      <c r="B3393" s="24">
        <v>19</v>
      </c>
      <c r="C3393" t="s">
        <v>197</v>
      </c>
      <c r="D3393" t="s">
        <v>12</v>
      </c>
      <c r="E3393" t="s">
        <v>215</v>
      </c>
      <c r="F3393" t="s">
        <v>66</v>
      </c>
      <c r="H3393" t="s">
        <v>10</v>
      </c>
      <c r="I3393" t="s">
        <v>219</v>
      </c>
      <c r="J3393">
        <v>22</v>
      </c>
      <c r="N3393">
        <f>Таблица1[[#This Row],[Часов на заказчика  в работе]]+Таблица1[[#This Row],[Часов на заказчика  дежурство]]</f>
        <v>0</v>
      </c>
      <c r="O33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3" s="9">
        <v>162000</v>
      </c>
      <c r="R3393" s="9"/>
      <c r="S3393" s="5">
        <v>1</v>
      </c>
      <c r="T33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табеле]])*S3393,0)</f>
        <v>10800</v>
      </c>
      <c r="U3393" s="5">
        <f>IF(Таблица1[[#This Row],[ТТН]]&gt;0,Таблица1[[#This Row],[Ставка за ТТН]]*Таблица1[[#This Row],[ТТН]],0)</f>
        <v>0</v>
      </c>
    </row>
    <row r="3394" spans="1:21" x14ac:dyDescent="0.25">
      <c r="A3394" t="s">
        <v>84</v>
      </c>
      <c r="B3394" s="24">
        <v>20</v>
      </c>
      <c r="C3394" t="s">
        <v>197</v>
      </c>
      <c r="D3394" t="s">
        <v>12</v>
      </c>
      <c r="E3394" t="s">
        <v>215</v>
      </c>
      <c r="F3394" t="s">
        <v>66</v>
      </c>
      <c r="H3394" t="s">
        <v>10</v>
      </c>
      <c r="I3394" t="s">
        <v>219</v>
      </c>
      <c r="J3394">
        <v>22</v>
      </c>
      <c r="N3394">
        <f>Таблица1[[#This Row],[Часов на заказчика  в работе]]+Таблица1[[#This Row],[Часов на заказчика  дежурство]]</f>
        <v>0</v>
      </c>
      <c r="O33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4" s="9">
        <v>162000</v>
      </c>
      <c r="R3394" s="9"/>
      <c r="S3394" s="5">
        <v>1</v>
      </c>
      <c r="T33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табеле]])*S3394,0)</f>
        <v>10800</v>
      </c>
      <c r="U3394" s="5">
        <f>IF(Таблица1[[#This Row],[ТТН]]&gt;0,Таблица1[[#This Row],[Ставка за ТТН]]*Таблица1[[#This Row],[ТТН]],0)</f>
        <v>0</v>
      </c>
    </row>
    <row r="3395" spans="1:21" x14ac:dyDescent="0.25">
      <c r="A3395" t="s">
        <v>84</v>
      </c>
      <c r="B3395" s="24">
        <v>21</v>
      </c>
      <c r="C3395" t="s">
        <v>197</v>
      </c>
      <c r="D3395" t="s">
        <v>12</v>
      </c>
      <c r="E3395" t="s">
        <v>215</v>
      </c>
      <c r="F3395" t="s">
        <v>66</v>
      </c>
      <c r="H3395" t="s">
        <v>10</v>
      </c>
      <c r="I3395" t="s">
        <v>219</v>
      </c>
      <c r="J3395">
        <v>11</v>
      </c>
      <c r="N3395">
        <f>Таблица1[[#This Row],[Часов на заказчика  в работе]]+Таблица1[[#This Row],[Часов на заказчика  дежурство]]</f>
        <v>0</v>
      </c>
      <c r="O33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5" s="9">
        <v>162000</v>
      </c>
      <c r="R3395" s="9"/>
      <c r="S3395" s="5">
        <v>1</v>
      </c>
      <c r="T33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табеле]])*S3395,0)</f>
        <v>5400</v>
      </c>
      <c r="U3395" s="5">
        <f>IF(Таблица1[[#This Row],[ТТН]]&gt;0,Таблица1[[#This Row],[Ставка за ТТН]]*Таблица1[[#This Row],[ТТН]],0)</f>
        <v>0</v>
      </c>
    </row>
    <row r="3396" spans="1:21" x14ac:dyDescent="0.25">
      <c r="A3396" t="s">
        <v>84</v>
      </c>
      <c r="B3396" s="24">
        <v>22</v>
      </c>
      <c r="C3396" t="s">
        <v>197</v>
      </c>
      <c r="D3396" t="s">
        <v>12</v>
      </c>
      <c r="E3396" t="s">
        <v>215</v>
      </c>
      <c r="F3396" t="s">
        <v>66</v>
      </c>
      <c r="H3396" t="s">
        <v>10</v>
      </c>
      <c r="I3396" t="s">
        <v>219</v>
      </c>
      <c r="J3396">
        <v>11</v>
      </c>
      <c r="N3396">
        <f>Таблица1[[#This Row],[Часов на заказчика  в работе]]+Таблица1[[#This Row],[Часов на заказчика  дежурство]]</f>
        <v>0</v>
      </c>
      <c r="O33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6" s="9">
        <v>162000</v>
      </c>
      <c r="R3396" s="9"/>
      <c r="S3396" s="5">
        <v>1</v>
      </c>
      <c r="T33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табеле]])*S3396,0)</f>
        <v>5400</v>
      </c>
      <c r="U3396" s="5">
        <f>IF(Таблица1[[#This Row],[ТТН]]&gt;0,Таблица1[[#This Row],[Ставка за ТТН]]*Таблица1[[#This Row],[ТТН]],0)</f>
        <v>0</v>
      </c>
    </row>
    <row r="3397" spans="1:21" x14ac:dyDescent="0.25">
      <c r="A3397" t="s">
        <v>84</v>
      </c>
      <c r="B3397" s="24">
        <v>23</v>
      </c>
      <c r="C3397" t="s">
        <v>197</v>
      </c>
      <c r="D3397" t="s">
        <v>12</v>
      </c>
      <c r="E3397" t="s">
        <v>215</v>
      </c>
      <c r="F3397" t="s">
        <v>66</v>
      </c>
      <c r="H3397" t="s">
        <v>10</v>
      </c>
      <c r="I3397" t="s">
        <v>219</v>
      </c>
      <c r="J3397">
        <v>11</v>
      </c>
      <c r="N3397">
        <f>Таблица1[[#This Row],[Часов на заказчика  в работе]]+Таблица1[[#This Row],[Часов на заказчика  дежурство]]</f>
        <v>0</v>
      </c>
      <c r="O33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7" s="9">
        <v>162000</v>
      </c>
      <c r="R3397" s="9"/>
      <c r="S3397" s="5">
        <v>1</v>
      </c>
      <c r="T33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табеле]])*S3397,0)</f>
        <v>5400</v>
      </c>
      <c r="U3397" s="5">
        <f>IF(Таблица1[[#This Row],[ТТН]]&gt;0,Таблица1[[#This Row],[Ставка за ТТН]]*Таблица1[[#This Row],[ТТН]],0)</f>
        <v>0</v>
      </c>
    </row>
    <row r="3398" spans="1:21" x14ac:dyDescent="0.25">
      <c r="A3398" t="s">
        <v>84</v>
      </c>
      <c r="B3398" s="24">
        <v>24</v>
      </c>
      <c r="C3398" t="s">
        <v>197</v>
      </c>
      <c r="D3398" t="s">
        <v>12</v>
      </c>
      <c r="E3398" t="s">
        <v>215</v>
      </c>
      <c r="F3398" t="s">
        <v>66</v>
      </c>
      <c r="H3398" t="s">
        <v>10</v>
      </c>
      <c r="I3398" t="s">
        <v>219</v>
      </c>
      <c r="J3398">
        <v>11</v>
      </c>
      <c r="N3398">
        <f>Таблица1[[#This Row],[Часов на заказчика  в работе]]+Таблица1[[#This Row],[Часов на заказчика  дежурство]]</f>
        <v>0</v>
      </c>
      <c r="O33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8" s="9">
        <v>162000</v>
      </c>
      <c r="R3398" s="9"/>
      <c r="S3398" s="5">
        <v>1</v>
      </c>
      <c r="T33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табеле]])*S3398,0)</f>
        <v>5400</v>
      </c>
      <c r="U3398" s="5">
        <f>IF(Таблица1[[#This Row],[ТТН]]&gt;0,Таблица1[[#This Row],[Ставка за ТТН]]*Таблица1[[#This Row],[ТТН]],0)</f>
        <v>0</v>
      </c>
    </row>
    <row r="3399" spans="1:21" x14ac:dyDescent="0.25">
      <c r="A3399" t="s">
        <v>84</v>
      </c>
      <c r="B3399" s="24">
        <v>25</v>
      </c>
      <c r="C3399" t="s">
        <v>197</v>
      </c>
      <c r="D3399" t="s">
        <v>12</v>
      </c>
      <c r="E3399" t="s">
        <v>215</v>
      </c>
      <c r="F3399" t="s">
        <v>66</v>
      </c>
      <c r="H3399" t="s">
        <v>10</v>
      </c>
      <c r="I3399" t="s">
        <v>219</v>
      </c>
      <c r="J3399">
        <v>11</v>
      </c>
      <c r="N3399">
        <f>Таблица1[[#This Row],[Часов на заказчика  в работе]]+Таблица1[[#This Row],[Часов на заказчика  дежурство]]</f>
        <v>0</v>
      </c>
      <c r="O33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399" s="9">
        <v>162000</v>
      </c>
      <c r="R3399" s="9"/>
      <c r="S3399" s="5">
        <v>1</v>
      </c>
      <c r="T33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табеле]])*S3399,0)</f>
        <v>5400</v>
      </c>
      <c r="U3399" s="5">
        <f>IF(Таблица1[[#This Row],[ТТН]]&gt;0,Таблица1[[#This Row],[Ставка за ТТН]]*Таблица1[[#This Row],[ТТН]],0)</f>
        <v>0</v>
      </c>
    </row>
    <row r="3400" spans="1:21" x14ac:dyDescent="0.25">
      <c r="A3400" t="s">
        <v>84</v>
      </c>
      <c r="B3400" s="24">
        <v>26</v>
      </c>
      <c r="C3400" t="s">
        <v>197</v>
      </c>
      <c r="D3400" t="s">
        <v>12</v>
      </c>
      <c r="E3400" t="s">
        <v>215</v>
      </c>
      <c r="F3400" t="s">
        <v>66</v>
      </c>
      <c r="H3400" t="s">
        <v>10</v>
      </c>
      <c r="I3400" t="s">
        <v>219</v>
      </c>
      <c r="J3400">
        <v>11</v>
      </c>
      <c r="N3400">
        <f>Таблица1[[#This Row],[Часов на заказчика  в работе]]+Таблица1[[#This Row],[Часов на заказчика  дежурство]]</f>
        <v>0</v>
      </c>
      <c r="O34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0" s="9">
        <v>162000</v>
      </c>
      <c r="R3400" s="9"/>
      <c r="S3400" s="5">
        <v>1</v>
      </c>
      <c r="T34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табеле]])*S3400,0)</f>
        <v>5400</v>
      </c>
      <c r="U3400" s="5">
        <f>IF(Таблица1[[#This Row],[ТТН]]&gt;0,Таблица1[[#This Row],[Ставка за ТТН]]*Таблица1[[#This Row],[ТТН]],0)</f>
        <v>0</v>
      </c>
    </row>
    <row r="3401" spans="1:21" x14ac:dyDescent="0.25">
      <c r="A3401" t="s">
        <v>84</v>
      </c>
      <c r="B3401" s="24">
        <v>27</v>
      </c>
      <c r="C3401" t="s">
        <v>197</v>
      </c>
      <c r="D3401" t="s">
        <v>12</v>
      </c>
      <c r="E3401" t="s">
        <v>215</v>
      </c>
      <c r="F3401" t="s">
        <v>66</v>
      </c>
      <c r="H3401" t="s">
        <v>30</v>
      </c>
      <c r="I3401" t="s">
        <v>217</v>
      </c>
      <c r="J3401">
        <v>1</v>
      </c>
      <c r="N3401">
        <f>Таблица1[[#This Row],[Часов на заказчика  в работе]]+Таблица1[[#This Row],[Часов на заказчика  дежурство]]</f>
        <v>0</v>
      </c>
      <c r="O34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1" s="9">
        <v>162000</v>
      </c>
      <c r="R3401" s="9"/>
      <c r="S3401" s="5">
        <v>1</v>
      </c>
      <c r="T34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табеле]])*S3401,0)</f>
        <v>0</v>
      </c>
      <c r="U3401" s="5">
        <f>IF(Таблица1[[#This Row],[ТТН]]&gt;0,Таблица1[[#This Row],[Ставка за ТТН]]*Таблица1[[#This Row],[ТТН]],0)</f>
        <v>0</v>
      </c>
    </row>
    <row r="3402" spans="1:21" x14ac:dyDescent="0.25">
      <c r="A3402" t="s">
        <v>84</v>
      </c>
      <c r="B3402" s="24">
        <v>28</v>
      </c>
      <c r="C3402" t="s">
        <v>197</v>
      </c>
      <c r="D3402" t="s">
        <v>12</v>
      </c>
      <c r="E3402" t="s">
        <v>215</v>
      </c>
      <c r="F3402" t="s">
        <v>66</v>
      </c>
      <c r="H3402" t="s">
        <v>24</v>
      </c>
      <c r="I3402" t="s">
        <v>217</v>
      </c>
      <c r="J3402">
        <v>8</v>
      </c>
      <c r="N3402">
        <f>Таблица1[[#This Row],[Часов на заказчика  в работе]]+Таблица1[[#This Row],[Часов на заказчика  дежурство]]</f>
        <v>0</v>
      </c>
      <c r="O34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2" s="9">
        <v>162000</v>
      </c>
      <c r="R3402" s="9"/>
      <c r="S3402" s="5">
        <v>1</v>
      </c>
      <c r="T34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табеле]])*S3402,0)</f>
        <v>0</v>
      </c>
      <c r="U3402" s="5">
        <f>IF(Таблица1[[#This Row],[ТТН]]&gt;0,Таблица1[[#This Row],[Ставка за ТТН]]*Таблица1[[#This Row],[ТТН]],0)</f>
        <v>0</v>
      </c>
    </row>
    <row r="3403" spans="1:21" x14ac:dyDescent="0.25">
      <c r="A3403" t="s">
        <v>84</v>
      </c>
      <c r="B3403" s="24">
        <v>29</v>
      </c>
      <c r="C3403" t="s">
        <v>197</v>
      </c>
      <c r="D3403" t="s">
        <v>12</v>
      </c>
      <c r="E3403" t="s">
        <v>215</v>
      </c>
      <c r="F3403" t="s">
        <v>66</v>
      </c>
      <c r="H3403" t="s">
        <v>24</v>
      </c>
      <c r="I3403" t="s">
        <v>217</v>
      </c>
      <c r="J3403">
        <v>8</v>
      </c>
      <c r="N3403">
        <f>Таблица1[[#This Row],[Часов на заказчика  в работе]]+Таблица1[[#This Row],[Часов на заказчика  дежурство]]</f>
        <v>0</v>
      </c>
      <c r="O34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3" s="9">
        <v>162000</v>
      </c>
      <c r="R3403" s="9"/>
      <c r="S3403" s="5">
        <v>1</v>
      </c>
      <c r="T34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табеле]])*S3403,0)</f>
        <v>0</v>
      </c>
      <c r="U3403" s="5">
        <f>IF(Таблица1[[#This Row],[ТТН]]&gt;0,Таблица1[[#This Row],[Ставка за ТТН]]*Таблица1[[#This Row],[ТТН]],0)</f>
        <v>0</v>
      </c>
    </row>
    <row r="3404" spans="1:21" x14ac:dyDescent="0.25">
      <c r="A3404" t="s">
        <v>84</v>
      </c>
      <c r="B3404" s="24">
        <v>30</v>
      </c>
      <c r="C3404" t="s">
        <v>198</v>
      </c>
      <c r="D3404" t="s">
        <v>12</v>
      </c>
      <c r="E3404" t="s">
        <v>215</v>
      </c>
      <c r="F3404" t="s">
        <v>66</v>
      </c>
      <c r="H3404" t="s">
        <v>29</v>
      </c>
      <c r="I3404" t="s">
        <v>217</v>
      </c>
      <c r="J3404">
        <v>8</v>
      </c>
      <c r="N3404">
        <f>Таблица1[[#This Row],[Часов на заказчика  в работе]]+Таблица1[[#This Row],[Часов на заказчика  дежурство]]</f>
        <v>0</v>
      </c>
      <c r="O34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4" s="9">
        <v>162000</v>
      </c>
      <c r="R3404" s="9"/>
      <c r="S3404" s="5">
        <v>1</v>
      </c>
      <c r="T34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табеле]])*S3404,0)</f>
        <v>0</v>
      </c>
      <c r="U3404" s="5">
        <f>IF(Таблица1[[#This Row],[ТТН]]&gt;0,Таблица1[[#This Row],[Ставка за ТТН]]*Таблица1[[#This Row],[ТТН]],0)</f>
        <v>0</v>
      </c>
    </row>
    <row r="3405" spans="1:21" x14ac:dyDescent="0.25">
      <c r="A3405" t="s">
        <v>84</v>
      </c>
      <c r="B3405" s="24">
        <v>1</v>
      </c>
      <c r="C3405" t="s">
        <v>198</v>
      </c>
      <c r="D3405" t="s">
        <v>26</v>
      </c>
      <c r="E3405" t="s">
        <v>216</v>
      </c>
      <c r="F3405" t="s">
        <v>26</v>
      </c>
      <c r="H3405" t="s">
        <v>48</v>
      </c>
      <c r="I3405" t="s">
        <v>217</v>
      </c>
      <c r="J3405">
        <v>1</v>
      </c>
      <c r="N3405">
        <f>Таблица1[[#This Row],[Часов на заказчика  в работе]]+Таблица1[[#This Row],[Часов на заказчика  дежурство]]</f>
        <v>0</v>
      </c>
      <c r="O34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5" s="9"/>
      <c r="R3405" s="9"/>
      <c r="S3405" s="5">
        <v>1</v>
      </c>
      <c r="T34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табеле]])*S3405,0)</f>
        <v>0</v>
      </c>
      <c r="U3405" s="5">
        <f>IF(Таблица1[[#This Row],[ТТН]]&gt;0,Таблица1[[#This Row],[Ставка за ТТН]]*Таблица1[[#This Row],[ТТН]],0)</f>
        <v>0</v>
      </c>
    </row>
    <row r="3406" spans="1:21" x14ac:dyDescent="0.25">
      <c r="A3406" t="s">
        <v>84</v>
      </c>
      <c r="B3406" s="24">
        <v>2</v>
      </c>
      <c r="C3406" t="s">
        <v>198</v>
      </c>
      <c r="D3406" t="s">
        <v>26</v>
      </c>
      <c r="E3406" t="s">
        <v>216</v>
      </c>
      <c r="F3406" t="s">
        <v>26</v>
      </c>
      <c r="H3406" t="s">
        <v>48</v>
      </c>
      <c r="I3406" t="s">
        <v>217</v>
      </c>
      <c r="J3406">
        <v>1</v>
      </c>
      <c r="N3406">
        <f>Таблица1[[#This Row],[Часов на заказчика  в работе]]+Таблица1[[#This Row],[Часов на заказчика  дежурство]]</f>
        <v>0</v>
      </c>
      <c r="O34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6" s="9"/>
      <c r="R3406" s="9"/>
      <c r="S3406" s="5">
        <v>1</v>
      </c>
      <c r="T34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табеле]])*S3406,0)</f>
        <v>0</v>
      </c>
      <c r="U3406" s="5">
        <f>IF(Таблица1[[#This Row],[ТТН]]&gt;0,Таблица1[[#This Row],[Ставка за ТТН]]*Таблица1[[#This Row],[ТТН]],0)</f>
        <v>0</v>
      </c>
    </row>
    <row r="3407" spans="1:21" x14ac:dyDescent="0.25">
      <c r="A3407" t="s">
        <v>84</v>
      </c>
      <c r="B3407" s="24">
        <v>3</v>
      </c>
      <c r="C3407" t="s">
        <v>198</v>
      </c>
      <c r="D3407" t="s">
        <v>26</v>
      </c>
      <c r="E3407" t="s">
        <v>216</v>
      </c>
      <c r="F3407" t="s">
        <v>26</v>
      </c>
      <c r="H3407" t="s">
        <v>48</v>
      </c>
      <c r="I3407" t="s">
        <v>217</v>
      </c>
      <c r="J3407">
        <v>1</v>
      </c>
      <c r="N3407">
        <f>Таблица1[[#This Row],[Часов на заказчика  в работе]]+Таблица1[[#This Row],[Часов на заказчика  дежурство]]</f>
        <v>0</v>
      </c>
      <c r="O34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7" s="9"/>
      <c r="R3407" s="9"/>
      <c r="S3407" s="5">
        <v>1</v>
      </c>
      <c r="T34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табеле]])*S3407,0)</f>
        <v>0</v>
      </c>
      <c r="U3407" s="5">
        <f>IF(Таблица1[[#This Row],[ТТН]]&gt;0,Таблица1[[#This Row],[Ставка за ТТН]]*Таблица1[[#This Row],[ТТН]],0)</f>
        <v>0</v>
      </c>
    </row>
    <row r="3408" spans="1:21" x14ac:dyDescent="0.25">
      <c r="A3408" t="s">
        <v>84</v>
      </c>
      <c r="B3408" s="24">
        <v>4</v>
      </c>
      <c r="C3408" t="s">
        <v>198</v>
      </c>
      <c r="D3408" t="s">
        <v>26</v>
      </c>
      <c r="E3408" t="s">
        <v>216</v>
      </c>
      <c r="F3408" t="s">
        <v>26</v>
      </c>
      <c r="H3408" t="s">
        <v>48</v>
      </c>
      <c r="I3408" t="s">
        <v>217</v>
      </c>
      <c r="J3408">
        <v>1</v>
      </c>
      <c r="N3408">
        <f>Таблица1[[#This Row],[Часов на заказчика  в работе]]+Таблица1[[#This Row],[Часов на заказчика  дежурство]]</f>
        <v>0</v>
      </c>
      <c r="O34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8" s="9"/>
      <c r="R3408" s="9"/>
      <c r="S3408" s="5">
        <v>1</v>
      </c>
      <c r="T34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табеле]])*S3408,0)</f>
        <v>0</v>
      </c>
      <c r="U3408" s="5">
        <f>IF(Таблица1[[#This Row],[ТТН]]&gt;0,Таблица1[[#This Row],[Ставка за ТТН]]*Таблица1[[#This Row],[ТТН]],0)</f>
        <v>0</v>
      </c>
    </row>
    <row r="3409" spans="1:21" x14ac:dyDescent="0.25">
      <c r="A3409" t="s">
        <v>84</v>
      </c>
      <c r="B3409" s="24">
        <v>5</v>
      </c>
      <c r="C3409" t="s">
        <v>198</v>
      </c>
      <c r="D3409" t="s">
        <v>26</v>
      </c>
      <c r="E3409" t="s">
        <v>216</v>
      </c>
      <c r="F3409" t="s">
        <v>26</v>
      </c>
      <c r="H3409" t="s">
        <v>48</v>
      </c>
      <c r="I3409" t="s">
        <v>217</v>
      </c>
      <c r="J3409">
        <v>1</v>
      </c>
      <c r="N3409">
        <f>Таблица1[[#This Row],[Часов на заказчика  в работе]]+Таблица1[[#This Row],[Часов на заказчика  дежурство]]</f>
        <v>0</v>
      </c>
      <c r="O34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09" s="9"/>
      <c r="R3409" s="9"/>
      <c r="S3409" s="5">
        <v>1</v>
      </c>
      <c r="T34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табеле]])*S3409,0)</f>
        <v>0</v>
      </c>
      <c r="U3409" s="5">
        <f>IF(Таблица1[[#This Row],[ТТН]]&gt;0,Таблица1[[#This Row],[Ставка за ТТН]]*Таблица1[[#This Row],[ТТН]],0)</f>
        <v>0</v>
      </c>
    </row>
    <row r="3410" spans="1:21" x14ac:dyDescent="0.25">
      <c r="A3410" t="s">
        <v>84</v>
      </c>
      <c r="B3410" s="24">
        <v>6</v>
      </c>
      <c r="C3410" t="s">
        <v>198</v>
      </c>
      <c r="D3410" t="s">
        <v>26</v>
      </c>
      <c r="E3410" t="s">
        <v>216</v>
      </c>
      <c r="F3410" t="s">
        <v>26</v>
      </c>
      <c r="H3410" t="s">
        <v>48</v>
      </c>
      <c r="I3410" t="s">
        <v>217</v>
      </c>
      <c r="J3410">
        <v>1</v>
      </c>
      <c r="N3410">
        <f>Таблица1[[#This Row],[Часов на заказчика  в работе]]+Таблица1[[#This Row],[Часов на заказчика  дежурство]]</f>
        <v>0</v>
      </c>
      <c r="O34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0" s="9"/>
      <c r="R3410" s="9"/>
      <c r="S3410" s="5">
        <v>1</v>
      </c>
      <c r="T34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табеле]])*S3410,0)</f>
        <v>0</v>
      </c>
      <c r="U3410" s="5">
        <f>IF(Таблица1[[#This Row],[ТТН]]&gt;0,Таблица1[[#This Row],[Ставка за ТТН]]*Таблица1[[#This Row],[ТТН]],0)</f>
        <v>0</v>
      </c>
    </row>
    <row r="3411" spans="1:21" x14ac:dyDescent="0.25">
      <c r="A3411" t="s">
        <v>84</v>
      </c>
      <c r="B3411" s="24">
        <v>7</v>
      </c>
      <c r="C3411" t="s">
        <v>198</v>
      </c>
      <c r="D3411" t="s">
        <v>26</v>
      </c>
      <c r="E3411" t="s">
        <v>216</v>
      </c>
      <c r="F3411" t="s">
        <v>26</v>
      </c>
      <c r="H3411" t="s">
        <v>48</v>
      </c>
      <c r="I3411" t="s">
        <v>217</v>
      </c>
      <c r="J3411">
        <v>1</v>
      </c>
      <c r="N3411">
        <f>Таблица1[[#This Row],[Часов на заказчика  в работе]]+Таблица1[[#This Row],[Часов на заказчика  дежурство]]</f>
        <v>0</v>
      </c>
      <c r="O34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1" s="9"/>
      <c r="R3411" s="9"/>
      <c r="S3411" s="5">
        <v>1</v>
      </c>
      <c r="T34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табеле]])*S3411,0)</f>
        <v>0</v>
      </c>
      <c r="U3411" s="5">
        <f>IF(Таблица1[[#This Row],[ТТН]]&gt;0,Таблица1[[#This Row],[Ставка за ТТН]]*Таблица1[[#This Row],[ТТН]],0)</f>
        <v>0</v>
      </c>
    </row>
    <row r="3412" spans="1:21" x14ac:dyDescent="0.25">
      <c r="A3412" t="s">
        <v>84</v>
      </c>
      <c r="B3412" s="24">
        <v>8</v>
      </c>
      <c r="C3412" t="s">
        <v>198</v>
      </c>
      <c r="D3412" t="s">
        <v>26</v>
      </c>
      <c r="E3412" t="s">
        <v>216</v>
      </c>
      <c r="F3412" t="s">
        <v>26</v>
      </c>
      <c r="H3412" t="s">
        <v>48</v>
      </c>
      <c r="I3412" t="s">
        <v>217</v>
      </c>
      <c r="J3412">
        <v>1</v>
      </c>
      <c r="N3412">
        <f>Таблица1[[#This Row],[Часов на заказчика  в работе]]+Таблица1[[#This Row],[Часов на заказчика  дежурство]]</f>
        <v>0</v>
      </c>
      <c r="O34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2" s="9"/>
      <c r="R3412" s="9"/>
      <c r="S3412" s="5">
        <v>1</v>
      </c>
      <c r="T34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табеле]])*S3412,0)</f>
        <v>0</v>
      </c>
      <c r="U3412" s="5">
        <f>IF(Таблица1[[#This Row],[ТТН]]&gt;0,Таблица1[[#This Row],[Ставка за ТТН]]*Таблица1[[#This Row],[ТТН]],0)</f>
        <v>0</v>
      </c>
    </row>
    <row r="3413" spans="1:21" x14ac:dyDescent="0.25">
      <c r="A3413" t="s">
        <v>84</v>
      </c>
      <c r="B3413" s="24">
        <v>9</v>
      </c>
      <c r="C3413" t="s">
        <v>198</v>
      </c>
      <c r="D3413" t="s">
        <v>26</v>
      </c>
      <c r="E3413" t="s">
        <v>216</v>
      </c>
      <c r="F3413" t="s">
        <v>26</v>
      </c>
      <c r="H3413" t="s">
        <v>48</v>
      </c>
      <c r="I3413" t="s">
        <v>217</v>
      </c>
      <c r="J3413">
        <v>1</v>
      </c>
      <c r="N3413">
        <f>Таблица1[[#This Row],[Часов на заказчика  в работе]]+Таблица1[[#This Row],[Часов на заказчика  дежурство]]</f>
        <v>0</v>
      </c>
      <c r="O34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3" s="9"/>
      <c r="R3413" s="9"/>
      <c r="S3413" s="5">
        <v>1</v>
      </c>
      <c r="T34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табеле]])*S3413,0)</f>
        <v>0</v>
      </c>
      <c r="U3413" s="5">
        <f>IF(Таблица1[[#This Row],[ТТН]]&gt;0,Таблица1[[#This Row],[Ставка за ТТН]]*Таблица1[[#This Row],[ТТН]],0)</f>
        <v>0</v>
      </c>
    </row>
    <row r="3414" spans="1:21" x14ac:dyDescent="0.25">
      <c r="A3414" t="s">
        <v>84</v>
      </c>
      <c r="B3414" s="24">
        <v>10</v>
      </c>
      <c r="C3414" t="s">
        <v>198</v>
      </c>
      <c r="D3414" t="s">
        <v>26</v>
      </c>
      <c r="E3414" t="s">
        <v>216</v>
      </c>
      <c r="F3414" t="s">
        <v>26</v>
      </c>
      <c r="H3414" t="s">
        <v>48</v>
      </c>
      <c r="I3414" t="s">
        <v>217</v>
      </c>
      <c r="J3414">
        <v>1</v>
      </c>
      <c r="N3414">
        <f>Таблица1[[#This Row],[Часов на заказчика  в работе]]+Таблица1[[#This Row],[Часов на заказчика  дежурство]]</f>
        <v>0</v>
      </c>
      <c r="O34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4" s="9"/>
      <c r="R3414" s="9"/>
      <c r="S3414" s="5">
        <v>1</v>
      </c>
      <c r="T34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табеле]])*S3414,0)</f>
        <v>0</v>
      </c>
      <c r="U3414" s="5">
        <f>IF(Таблица1[[#This Row],[ТТН]]&gt;0,Таблица1[[#This Row],[Ставка за ТТН]]*Таблица1[[#This Row],[ТТН]],0)</f>
        <v>0</v>
      </c>
    </row>
    <row r="3415" spans="1:21" x14ac:dyDescent="0.25">
      <c r="A3415" t="s">
        <v>84</v>
      </c>
      <c r="B3415" s="24">
        <v>11</v>
      </c>
      <c r="C3415" t="s">
        <v>198</v>
      </c>
      <c r="D3415" t="s">
        <v>26</v>
      </c>
      <c r="E3415" t="s">
        <v>216</v>
      </c>
      <c r="F3415" t="s">
        <v>26</v>
      </c>
      <c r="H3415" t="s">
        <v>48</v>
      </c>
      <c r="I3415" t="s">
        <v>217</v>
      </c>
      <c r="J3415">
        <v>1</v>
      </c>
      <c r="N3415">
        <f>Таблица1[[#This Row],[Часов на заказчика  в работе]]+Таблица1[[#This Row],[Часов на заказчика  дежурство]]</f>
        <v>0</v>
      </c>
      <c r="O34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5" s="9"/>
      <c r="R3415" s="9"/>
      <c r="S3415" s="5">
        <v>1</v>
      </c>
      <c r="T34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табеле]])*S3415,0)</f>
        <v>0</v>
      </c>
      <c r="U3415" s="5">
        <f>IF(Таблица1[[#This Row],[ТТН]]&gt;0,Таблица1[[#This Row],[Ставка за ТТН]]*Таблица1[[#This Row],[ТТН]],0)</f>
        <v>0</v>
      </c>
    </row>
    <row r="3416" spans="1:21" x14ac:dyDescent="0.25">
      <c r="A3416" t="s">
        <v>84</v>
      </c>
      <c r="B3416" s="24">
        <v>12</v>
      </c>
      <c r="C3416" t="s">
        <v>198</v>
      </c>
      <c r="D3416" t="s">
        <v>26</v>
      </c>
      <c r="E3416" t="s">
        <v>216</v>
      </c>
      <c r="F3416" t="s">
        <v>26</v>
      </c>
      <c r="H3416" t="s">
        <v>48</v>
      </c>
      <c r="I3416" t="s">
        <v>217</v>
      </c>
      <c r="J3416">
        <v>1</v>
      </c>
      <c r="N3416">
        <f>Таблица1[[#This Row],[Часов на заказчика  в работе]]+Таблица1[[#This Row],[Часов на заказчика  дежурство]]</f>
        <v>0</v>
      </c>
      <c r="O34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6" s="9"/>
      <c r="R3416" s="9"/>
      <c r="S3416" s="5">
        <v>1</v>
      </c>
      <c r="T34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табеле]])*S3416,0)</f>
        <v>0</v>
      </c>
      <c r="U3416" s="5">
        <f>IF(Таблица1[[#This Row],[ТТН]]&gt;0,Таблица1[[#This Row],[Ставка за ТТН]]*Таблица1[[#This Row],[ТТН]],0)</f>
        <v>0</v>
      </c>
    </row>
    <row r="3417" spans="1:21" x14ac:dyDescent="0.25">
      <c r="A3417" t="s">
        <v>84</v>
      </c>
      <c r="B3417" s="24">
        <v>13</v>
      </c>
      <c r="C3417" t="s">
        <v>198</v>
      </c>
      <c r="D3417" t="s">
        <v>26</v>
      </c>
      <c r="E3417" t="s">
        <v>216</v>
      </c>
      <c r="F3417" t="s">
        <v>26</v>
      </c>
      <c r="H3417" t="s">
        <v>48</v>
      </c>
      <c r="I3417" t="s">
        <v>217</v>
      </c>
      <c r="J3417">
        <v>1</v>
      </c>
      <c r="N3417">
        <f>Таблица1[[#This Row],[Часов на заказчика  в работе]]+Таблица1[[#This Row],[Часов на заказчика  дежурство]]</f>
        <v>0</v>
      </c>
      <c r="O34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7" s="9"/>
      <c r="R3417" s="9"/>
      <c r="S3417" s="5">
        <v>1</v>
      </c>
      <c r="T34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табеле]])*S3417,0)</f>
        <v>0</v>
      </c>
      <c r="U3417" s="5">
        <f>IF(Таблица1[[#This Row],[ТТН]]&gt;0,Таблица1[[#This Row],[Ставка за ТТН]]*Таблица1[[#This Row],[ТТН]],0)</f>
        <v>0</v>
      </c>
    </row>
    <row r="3418" spans="1:21" x14ac:dyDescent="0.25">
      <c r="A3418" t="s">
        <v>84</v>
      </c>
      <c r="B3418" s="24">
        <v>14</v>
      </c>
      <c r="C3418" t="s">
        <v>198</v>
      </c>
      <c r="D3418" t="s">
        <v>26</v>
      </c>
      <c r="E3418" t="s">
        <v>216</v>
      </c>
      <c r="F3418" t="s">
        <v>26</v>
      </c>
      <c r="H3418" t="s">
        <v>48</v>
      </c>
      <c r="I3418" t="s">
        <v>217</v>
      </c>
      <c r="J3418">
        <v>1</v>
      </c>
      <c r="N3418">
        <f>Таблица1[[#This Row],[Часов на заказчика  в работе]]+Таблица1[[#This Row],[Часов на заказчика  дежурство]]</f>
        <v>0</v>
      </c>
      <c r="O34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8" s="9"/>
      <c r="R3418" s="9"/>
      <c r="S3418" s="5">
        <v>1</v>
      </c>
      <c r="T34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табеле]])*S3418,0)</f>
        <v>0</v>
      </c>
      <c r="U3418" s="5">
        <f>IF(Таблица1[[#This Row],[ТТН]]&gt;0,Таблица1[[#This Row],[Ставка за ТТН]]*Таблица1[[#This Row],[ТТН]],0)</f>
        <v>0</v>
      </c>
    </row>
    <row r="3419" spans="1:21" x14ac:dyDescent="0.25">
      <c r="A3419" t="s">
        <v>84</v>
      </c>
      <c r="B3419" s="24">
        <v>15</v>
      </c>
      <c r="C3419" t="s">
        <v>198</v>
      </c>
      <c r="D3419" t="s">
        <v>26</v>
      </c>
      <c r="E3419" t="s">
        <v>216</v>
      </c>
      <c r="F3419" t="s">
        <v>26</v>
      </c>
      <c r="H3419" t="s">
        <v>48</v>
      </c>
      <c r="I3419" t="s">
        <v>217</v>
      </c>
      <c r="J3419">
        <v>1</v>
      </c>
      <c r="N3419">
        <f>Таблица1[[#This Row],[Часов на заказчика  в работе]]+Таблица1[[#This Row],[Часов на заказчика  дежурство]]</f>
        <v>0</v>
      </c>
      <c r="O34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19" s="9"/>
      <c r="R3419" s="9"/>
      <c r="S3419" s="5">
        <v>1</v>
      </c>
      <c r="T34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табеле]])*S3419,0)</f>
        <v>0</v>
      </c>
      <c r="U3419" s="5">
        <f>IF(Таблица1[[#This Row],[ТТН]]&gt;0,Таблица1[[#This Row],[Ставка за ТТН]]*Таблица1[[#This Row],[ТТН]],0)</f>
        <v>0</v>
      </c>
    </row>
    <row r="3420" spans="1:21" x14ac:dyDescent="0.25">
      <c r="A3420" t="s">
        <v>84</v>
      </c>
      <c r="B3420" s="24">
        <v>16</v>
      </c>
      <c r="C3420" t="s">
        <v>198</v>
      </c>
      <c r="D3420" t="s">
        <v>26</v>
      </c>
      <c r="E3420" t="s">
        <v>216</v>
      </c>
      <c r="F3420" t="s">
        <v>26</v>
      </c>
      <c r="H3420" t="s">
        <v>48</v>
      </c>
      <c r="I3420" t="s">
        <v>217</v>
      </c>
      <c r="J3420">
        <v>1</v>
      </c>
      <c r="N3420">
        <f>Таблица1[[#This Row],[Часов на заказчика  в работе]]+Таблица1[[#This Row],[Часов на заказчика  дежурство]]</f>
        <v>0</v>
      </c>
      <c r="O34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0" s="9"/>
      <c r="R3420" s="9"/>
      <c r="S3420" s="5">
        <v>1</v>
      </c>
      <c r="T34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табеле]])*S3420,0)</f>
        <v>0</v>
      </c>
      <c r="U3420" s="5">
        <f>IF(Таблица1[[#This Row],[ТТН]]&gt;0,Таблица1[[#This Row],[Ставка за ТТН]]*Таблица1[[#This Row],[ТТН]],0)</f>
        <v>0</v>
      </c>
    </row>
    <row r="3421" spans="1:21" x14ac:dyDescent="0.25">
      <c r="A3421" t="s">
        <v>84</v>
      </c>
      <c r="B3421" s="24">
        <v>17</v>
      </c>
      <c r="C3421" t="s">
        <v>198</v>
      </c>
      <c r="D3421" t="s">
        <v>26</v>
      </c>
      <c r="E3421" t="s">
        <v>216</v>
      </c>
      <c r="F3421" t="s">
        <v>26</v>
      </c>
      <c r="H3421" t="s">
        <v>48</v>
      </c>
      <c r="I3421" t="s">
        <v>217</v>
      </c>
      <c r="J3421">
        <v>1</v>
      </c>
      <c r="N3421">
        <f>Таблица1[[#This Row],[Часов на заказчика  в работе]]+Таблица1[[#This Row],[Часов на заказчика  дежурство]]</f>
        <v>0</v>
      </c>
      <c r="O34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1" s="9"/>
      <c r="R3421" s="9"/>
      <c r="S3421" s="5">
        <v>1</v>
      </c>
      <c r="T34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табеле]])*S3421,0)</f>
        <v>0</v>
      </c>
      <c r="U3421" s="5">
        <f>IF(Таблица1[[#This Row],[ТТН]]&gt;0,Таблица1[[#This Row],[Ставка за ТТН]]*Таблица1[[#This Row],[ТТН]],0)</f>
        <v>0</v>
      </c>
    </row>
    <row r="3422" spans="1:21" x14ac:dyDescent="0.25">
      <c r="A3422" t="s">
        <v>84</v>
      </c>
      <c r="B3422" s="24">
        <v>18</v>
      </c>
      <c r="C3422" t="s">
        <v>198</v>
      </c>
      <c r="D3422" t="s">
        <v>26</v>
      </c>
      <c r="E3422" t="s">
        <v>216</v>
      </c>
      <c r="F3422" t="s">
        <v>26</v>
      </c>
      <c r="H3422" t="s">
        <v>48</v>
      </c>
      <c r="I3422" t="s">
        <v>217</v>
      </c>
      <c r="J3422">
        <v>1</v>
      </c>
      <c r="N3422">
        <f>Таблица1[[#This Row],[Часов на заказчика  в работе]]+Таблица1[[#This Row],[Часов на заказчика  дежурство]]</f>
        <v>0</v>
      </c>
      <c r="O34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2" s="9"/>
      <c r="R3422" s="9"/>
      <c r="S3422" s="5">
        <v>1</v>
      </c>
      <c r="T34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табеле]])*S3422,0)</f>
        <v>0</v>
      </c>
      <c r="U3422" s="5">
        <f>IF(Таблица1[[#This Row],[ТТН]]&gt;0,Таблица1[[#This Row],[Ставка за ТТН]]*Таблица1[[#This Row],[ТТН]],0)</f>
        <v>0</v>
      </c>
    </row>
    <row r="3423" spans="1:21" x14ac:dyDescent="0.25">
      <c r="A3423" t="s">
        <v>84</v>
      </c>
      <c r="B3423" s="24">
        <v>19</v>
      </c>
      <c r="C3423" t="s">
        <v>198</v>
      </c>
      <c r="D3423" t="s">
        <v>26</v>
      </c>
      <c r="E3423" t="s">
        <v>216</v>
      </c>
      <c r="F3423" t="s">
        <v>26</v>
      </c>
      <c r="H3423" t="s">
        <v>48</v>
      </c>
      <c r="I3423" t="s">
        <v>217</v>
      </c>
      <c r="J3423">
        <v>1</v>
      </c>
      <c r="N3423">
        <f>Таблица1[[#This Row],[Часов на заказчика  в работе]]+Таблица1[[#This Row],[Часов на заказчика  дежурство]]</f>
        <v>0</v>
      </c>
      <c r="O34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3" s="9"/>
      <c r="R3423" s="9"/>
      <c r="S3423" s="5">
        <v>1</v>
      </c>
      <c r="T34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табеле]])*S3423,0)</f>
        <v>0</v>
      </c>
      <c r="U3423" s="5">
        <f>IF(Таблица1[[#This Row],[ТТН]]&gt;0,Таблица1[[#This Row],[Ставка за ТТН]]*Таблица1[[#This Row],[ТТН]],0)</f>
        <v>0</v>
      </c>
    </row>
    <row r="3424" spans="1:21" x14ac:dyDescent="0.25">
      <c r="A3424" t="s">
        <v>84</v>
      </c>
      <c r="B3424" s="24">
        <v>20</v>
      </c>
      <c r="C3424" t="s">
        <v>198</v>
      </c>
      <c r="D3424" t="s">
        <v>26</v>
      </c>
      <c r="E3424" t="s">
        <v>216</v>
      </c>
      <c r="F3424" t="s">
        <v>26</v>
      </c>
      <c r="H3424" t="s">
        <v>48</v>
      </c>
      <c r="I3424" t="s">
        <v>217</v>
      </c>
      <c r="J3424">
        <v>1</v>
      </c>
      <c r="N3424">
        <f>Таблица1[[#This Row],[Часов на заказчика  в работе]]+Таблица1[[#This Row],[Часов на заказчика  дежурство]]</f>
        <v>0</v>
      </c>
      <c r="O34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4" s="9"/>
      <c r="R3424" s="9"/>
      <c r="S3424" s="5">
        <v>1</v>
      </c>
      <c r="T34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табеле]])*S3424,0)</f>
        <v>0</v>
      </c>
      <c r="U3424" s="5">
        <f>IF(Таблица1[[#This Row],[ТТН]]&gt;0,Таблица1[[#This Row],[Ставка за ТТН]]*Таблица1[[#This Row],[ТТН]],0)</f>
        <v>0</v>
      </c>
    </row>
    <row r="3425" spans="1:21" x14ac:dyDescent="0.25">
      <c r="A3425" t="s">
        <v>84</v>
      </c>
      <c r="B3425" s="24">
        <v>21</v>
      </c>
      <c r="C3425" t="s">
        <v>198</v>
      </c>
      <c r="D3425" t="s">
        <v>26</v>
      </c>
      <c r="E3425" t="s">
        <v>216</v>
      </c>
      <c r="F3425" t="s">
        <v>26</v>
      </c>
      <c r="H3425" t="s">
        <v>48</v>
      </c>
      <c r="I3425" t="s">
        <v>217</v>
      </c>
      <c r="J3425">
        <v>1</v>
      </c>
      <c r="N3425">
        <f>Таблица1[[#This Row],[Часов на заказчика  в работе]]+Таблица1[[#This Row],[Часов на заказчика  дежурство]]</f>
        <v>0</v>
      </c>
      <c r="O34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5" s="9"/>
      <c r="R3425" s="9"/>
      <c r="S3425" s="5">
        <v>1</v>
      </c>
      <c r="T34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табеле]])*S3425,0)</f>
        <v>0</v>
      </c>
      <c r="U3425" s="5">
        <f>IF(Таблица1[[#This Row],[ТТН]]&gt;0,Таблица1[[#This Row],[Ставка за ТТН]]*Таблица1[[#This Row],[ТТН]],0)</f>
        <v>0</v>
      </c>
    </row>
    <row r="3426" spans="1:21" x14ac:dyDescent="0.25">
      <c r="A3426" t="s">
        <v>84</v>
      </c>
      <c r="B3426" s="24">
        <v>22</v>
      </c>
      <c r="C3426" t="s">
        <v>198</v>
      </c>
      <c r="D3426" t="s">
        <v>26</v>
      </c>
      <c r="E3426" t="s">
        <v>216</v>
      </c>
      <c r="F3426" t="s">
        <v>26</v>
      </c>
      <c r="H3426" t="s">
        <v>48</v>
      </c>
      <c r="I3426" t="s">
        <v>217</v>
      </c>
      <c r="J3426">
        <v>1</v>
      </c>
      <c r="N3426">
        <f>Таблица1[[#This Row],[Часов на заказчика  в работе]]+Таблица1[[#This Row],[Часов на заказчика  дежурство]]</f>
        <v>0</v>
      </c>
      <c r="O34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6" s="9"/>
      <c r="R3426" s="9"/>
      <c r="S3426" s="5">
        <v>1</v>
      </c>
      <c r="T34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табеле]])*S3426,0)</f>
        <v>0</v>
      </c>
      <c r="U3426" s="5">
        <f>IF(Таблица1[[#This Row],[ТТН]]&gt;0,Таблица1[[#This Row],[Ставка за ТТН]]*Таблица1[[#This Row],[ТТН]],0)</f>
        <v>0</v>
      </c>
    </row>
    <row r="3427" spans="1:21" x14ac:dyDescent="0.25">
      <c r="A3427" t="s">
        <v>84</v>
      </c>
      <c r="B3427" s="24">
        <v>23</v>
      </c>
      <c r="C3427" t="s">
        <v>198</v>
      </c>
      <c r="D3427" t="s">
        <v>26</v>
      </c>
      <c r="E3427" t="s">
        <v>216</v>
      </c>
      <c r="F3427" t="s">
        <v>26</v>
      </c>
      <c r="H3427" t="s">
        <v>48</v>
      </c>
      <c r="I3427" t="s">
        <v>217</v>
      </c>
      <c r="J3427">
        <v>1</v>
      </c>
      <c r="N3427">
        <f>Таблица1[[#This Row],[Часов на заказчика  в работе]]+Таблица1[[#This Row],[Часов на заказчика  дежурство]]</f>
        <v>0</v>
      </c>
      <c r="O34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7" s="9"/>
      <c r="R3427" s="9"/>
      <c r="S3427" s="5">
        <v>1</v>
      </c>
      <c r="T34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табеле]])*S3427,0)</f>
        <v>0</v>
      </c>
      <c r="U3427" s="5">
        <f>IF(Таблица1[[#This Row],[ТТН]]&gt;0,Таблица1[[#This Row],[Ставка за ТТН]]*Таблица1[[#This Row],[ТТН]],0)</f>
        <v>0</v>
      </c>
    </row>
    <row r="3428" spans="1:21" x14ac:dyDescent="0.25">
      <c r="A3428" t="s">
        <v>84</v>
      </c>
      <c r="B3428" s="24">
        <v>24</v>
      </c>
      <c r="C3428" t="s">
        <v>198</v>
      </c>
      <c r="D3428" t="s">
        <v>26</v>
      </c>
      <c r="E3428" t="s">
        <v>216</v>
      </c>
      <c r="F3428" t="s">
        <v>26</v>
      </c>
      <c r="H3428" t="s">
        <v>48</v>
      </c>
      <c r="I3428" t="s">
        <v>217</v>
      </c>
      <c r="J3428">
        <v>1</v>
      </c>
      <c r="N3428">
        <f>Таблица1[[#This Row],[Часов на заказчика  в работе]]+Таблица1[[#This Row],[Часов на заказчика  дежурство]]</f>
        <v>0</v>
      </c>
      <c r="O34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8" s="9"/>
      <c r="R3428" s="9"/>
      <c r="S3428" s="5">
        <v>1</v>
      </c>
      <c r="T34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табеле]])*S3428,0)</f>
        <v>0</v>
      </c>
      <c r="U3428" s="5">
        <f>IF(Таблица1[[#This Row],[ТТН]]&gt;0,Таблица1[[#This Row],[Ставка за ТТН]]*Таблица1[[#This Row],[ТТН]],0)</f>
        <v>0</v>
      </c>
    </row>
    <row r="3429" spans="1:21" x14ac:dyDescent="0.25">
      <c r="A3429" t="s">
        <v>84</v>
      </c>
      <c r="B3429" s="24">
        <v>25</v>
      </c>
      <c r="C3429" t="s">
        <v>198</v>
      </c>
      <c r="D3429" t="s">
        <v>26</v>
      </c>
      <c r="E3429" t="s">
        <v>216</v>
      </c>
      <c r="F3429" t="s">
        <v>26</v>
      </c>
      <c r="H3429" t="s">
        <v>29</v>
      </c>
      <c r="I3429" t="s">
        <v>217</v>
      </c>
      <c r="J3429">
        <v>8</v>
      </c>
      <c r="N3429">
        <f>Таблица1[[#This Row],[Часов на заказчика  в работе]]+Таблица1[[#This Row],[Часов на заказчика  дежурство]]</f>
        <v>0</v>
      </c>
      <c r="O34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29" s="9"/>
      <c r="R3429" s="9"/>
      <c r="S3429" s="5">
        <v>1</v>
      </c>
      <c r="T34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табеле]])*S3429,0)</f>
        <v>0</v>
      </c>
      <c r="U3429" s="5">
        <f>IF(Таблица1[[#This Row],[ТТН]]&gt;0,Таблица1[[#This Row],[Ставка за ТТН]]*Таблица1[[#This Row],[ТТН]],0)</f>
        <v>0</v>
      </c>
    </row>
    <row r="3430" spans="1:21" x14ac:dyDescent="0.25">
      <c r="A3430" t="s">
        <v>84</v>
      </c>
      <c r="B3430" s="24">
        <v>26</v>
      </c>
      <c r="C3430" t="s">
        <v>198</v>
      </c>
      <c r="D3430" t="s">
        <v>26</v>
      </c>
      <c r="E3430" t="s">
        <v>216</v>
      </c>
      <c r="F3430" t="s">
        <v>26</v>
      </c>
      <c r="H3430" t="s">
        <v>29</v>
      </c>
      <c r="I3430" t="s">
        <v>217</v>
      </c>
      <c r="J3430">
        <v>8</v>
      </c>
      <c r="N3430">
        <f>Таблица1[[#This Row],[Часов на заказчика  в работе]]+Таблица1[[#This Row],[Часов на заказчика  дежурство]]</f>
        <v>0</v>
      </c>
      <c r="O34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0" s="9"/>
      <c r="R3430" s="9"/>
      <c r="S3430" s="5">
        <v>1</v>
      </c>
      <c r="T34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табеле]])*S3430,0)</f>
        <v>0</v>
      </c>
      <c r="U3430" s="5">
        <f>IF(Таблица1[[#This Row],[ТТН]]&gt;0,Таблица1[[#This Row],[Ставка за ТТН]]*Таблица1[[#This Row],[ТТН]],0)</f>
        <v>0</v>
      </c>
    </row>
    <row r="3431" spans="1:21" x14ac:dyDescent="0.25">
      <c r="A3431" t="s">
        <v>84</v>
      </c>
      <c r="B3431" s="24">
        <v>27</v>
      </c>
      <c r="C3431" t="s">
        <v>198</v>
      </c>
      <c r="D3431" t="s">
        <v>26</v>
      </c>
      <c r="E3431" t="s">
        <v>216</v>
      </c>
      <c r="F3431" t="s">
        <v>26</v>
      </c>
      <c r="H3431" t="s">
        <v>30</v>
      </c>
      <c r="I3431" t="s">
        <v>217</v>
      </c>
      <c r="J3431">
        <v>1</v>
      </c>
      <c r="N3431">
        <f>Таблица1[[#This Row],[Часов на заказчика  в работе]]+Таблица1[[#This Row],[Часов на заказчика  дежурство]]</f>
        <v>0</v>
      </c>
      <c r="O34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1" s="9"/>
      <c r="R3431" s="9"/>
      <c r="S3431" s="5">
        <v>1</v>
      </c>
      <c r="T34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табеле]])*S3431,0)</f>
        <v>0</v>
      </c>
      <c r="U3431" s="5">
        <f>IF(Таблица1[[#This Row],[ТТН]]&gt;0,Таблица1[[#This Row],[Ставка за ТТН]]*Таблица1[[#This Row],[ТТН]],0)</f>
        <v>0</v>
      </c>
    </row>
    <row r="3432" spans="1:21" x14ac:dyDescent="0.25">
      <c r="A3432" t="s">
        <v>84</v>
      </c>
      <c r="B3432" s="24">
        <v>28</v>
      </c>
      <c r="C3432" t="s">
        <v>198</v>
      </c>
      <c r="D3432" t="s">
        <v>26</v>
      </c>
      <c r="E3432" t="s">
        <v>216</v>
      </c>
      <c r="F3432" t="s">
        <v>26</v>
      </c>
      <c r="H3432" t="s">
        <v>30</v>
      </c>
      <c r="I3432" t="s">
        <v>217</v>
      </c>
      <c r="J3432">
        <v>1</v>
      </c>
      <c r="N3432">
        <f>Таблица1[[#This Row],[Часов на заказчика  в работе]]+Таблица1[[#This Row],[Часов на заказчика  дежурство]]</f>
        <v>0</v>
      </c>
      <c r="O34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2" s="9"/>
      <c r="R3432" s="9"/>
      <c r="S3432" s="5">
        <v>1</v>
      </c>
      <c r="T34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табеле]])*S3432,0)</f>
        <v>0</v>
      </c>
      <c r="U3432" s="5">
        <f>IF(Таблица1[[#This Row],[ТТН]]&gt;0,Таблица1[[#This Row],[Ставка за ТТН]]*Таблица1[[#This Row],[ТТН]],0)</f>
        <v>0</v>
      </c>
    </row>
    <row r="3433" spans="1:21" x14ac:dyDescent="0.25">
      <c r="A3433" t="s">
        <v>84</v>
      </c>
      <c r="B3433" s="24">
        <v>29</v>
      </c>
      <c r="C3433" t="s">
        <v>198</v>
      </c>
      <c r="D3433" t="s">
        <v>26</v>
      </c>
      <c r="E3433" t="s">
        <v>216</v>
      </c>
      <c r="F3433" t="s">
        <v>26</v>
      </c>
      <c r="H3433" t="s">
        <v>29</v>
      </c>
      <c r="I3433" t="s">
        <v>217</v>
      </c>
      <c r="J3433">
        <v>8</v>
      </c>
      <c r="N3433">
        <f>Таблица1[[#This Row],[Часов на заказчика  в работе]]+Таблица1[[#This Row],[Часов на заказчика  дежурство]]</f>
        <v>0</v>
      </c>
      <c r="O34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3" s="9"/>
      <c r="R3433" s="9"/>
      <c r="S3433" s="5">
        <v>1</v>
      </c>
      <c r="T34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табеле]])*S3433,0)</f>
        <v>0</v>
      </c>
      <c r="U3433" s="5">
        <f>IF(Таблица1[[#This Row],[ТТН]]&gt;0,Таблица1[[#This Row],[Ставка за ТТН]]*Таблица1[[#This Row],[ТТН]],0)</f>
        <v>0</v>
      </c>
    </row>
    <row r="3434" spans="1:21" x14ac:dyDescent="0.25">
      <c r="A3434" t="s">
        <v>84</v>
      </c>
      <c r="B3434" s="24">
        <v>30</v>
      </c>
      <c r="C3434" t="s">
        <v>199</v>
      </c>
      <c r="D3434" t="s">
        <v>26</v>
      </c>
      <c r="E3434" t="s">
        <v>216</v>
      </c>
      <c r="F3434" t="s">
        <v>26</v>
      </c>
      <c r="H3434" t="s">
        <v>29</v>
      </c>
      <c r="I3434" t="s">
        <v>217</v>
      </c>
      <c r="J3434">
        <v>8</v>
      </c>
      <c r="N3434">
        <f>Таблица1[[#This Row],[Часов на заказчика  в работе]]+Таблица1[[#This Row],[Часов на заказчика  дежурство]]</f>
        <v>0</v>
      </c>
      <c r="O34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4" s="9"/>
      <c r="R3434" s="9"/>
      <c r="S3434" s="5">
        <v>1</v>
      </c>
      <c r="T34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табеле]])*S3434,0)</f>
        <v>0</v>
      </c>
      <c r="U3434" s="5">
        <f>IF(Таблица1[[#This Row],[ТТН]]&gt;0,Таблица1[[#This Row],[Ставка за ТТН]]*Таблица1[[#This Row],[ТТН]],0)</f>
        <v>0</v>
      </c>
    </row>
    <row r="3435" spans="1:21" x14ac:dyDescent="0.25">
      <c r="A3435" t="s">
        <v>84</v>
      </c>
      <c r="B3435" s="24">
        <v>1</v>
      </c>
      <c r="C3435" t="s">
        <v>199</v>
      </c>
      <c r="D3435" t="s">
        <v>12</v>
      </c>
      <c r="E3435" t="s">
        <v>216</v>
      </c>
      <c r="F3435" t="s">
        <v>68</v>
      </c>
      <c r="H3435" t="s">
        <v>29</v>
      </c>
      <c r="I3435" t="s">
        <v>217</v>
      </c>
      <c r="J3435">
        <v>8</v>
      </c>
      <c r="N3435">
        <f>Таблица1[[#This Row],[Часов на заказчика  в работе]]+Таблица1[[#This Row],[Часов на заказчика  дежурство]]</f>
        <v>0</v>
      </c>
      <c r="O34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5" s="9">
        <v>115000</v>
      </c>
      <c r="R3435" s="9"/>
      <c r="S3435" s="5">
        <v>1</v>
      </c>
      <c r="T34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табеле]])*S3435,0)</f>
        <v>0</v>
      </c>
      <c r="U3435" s="5">
        <f>IF(Таблица1[[#This Row],[ТТН]]&gt;0,Таблица1[[#This Row],[Ставка за ТТН]]*Таблица1[[#This Row],[ТТН]],0)</f>
        <v>0</v>
      </c>
    </row>
    <row r="3436" spans="1:21" x14ac:dyDescent="0.25">
      <c r="A3436" t="s">
        <v>84</v>
      </c>
      <c r="B3436" s="24">
        <v>2</v>
      </c>
      <c r="C3436" t="s">
        <v>199</v>
      </c>
      <c r="D3436" t="s">
        <v>12</v>
      </c>
      <c r="E3436" t="s">
        <v>216</v>
      </c>
      <c r="F3436" t="s">
        <v>68</v>
      </c>
      <c r="H3436" t="s">
        <v>29</v>
      </c>
      <c r="I3436" t="s">
        <v>217</v>
      </c>
      <c r="J3436">
        <v>8</v>
      </c>
      <c r="N3436">
        <f>Таблица1[[#This Row],[Часов на заказчика  в работе]]+Таблица1[[#This Row],[Часов на заказчика  дежурство]]</f>
        <v>0</v>
      </c>
      <c r="O34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6" s="9">
        <v>115000</v>
      </c>
      <c r="R3436" s="9"/>
      <c r="S3436" s="5">
        <v>1</v>
      </c>
      <c r="T34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табеле]])*S3436,0)</f>
        <v>0</v>
      </c>
      <c r="U3436" s="5">
        <f>IF(Таблица1[[#This Row],[ТТН]]&gt;0,Таблица1[[#This Row],[Ставка за ТТН]]*Таблица1[[#This Row],[ТТН]],0)</f>
        <v>0</v>
      </c>
    </row>
    <row r="3437" spans="1:21" x14ac:dyDescent="0.25">
      <c r="A3437" t="s">
        <v>84</v>
      </c>
      <c r="B3437" s="24">
        <v>3</v>
      </c>
      <c r="C3437" t="s">
        <v>199</v>
      </c>
      <c r="D3437" t="s">
        <v>12</v>
      </c>
      <c r="E3437" t="s">
        <v>216</v>
      </c>
      <c r="F3437" t="s">
        <v>68</v>
      </c>
      <c r="H3437" t="s">
        <v>29</v>
      </c>
      <c r="I3437" t="s">
        <v>217</v>
      </c>
      <c r="J3437">
        <v>8</v>
      </c>
      <c r="N3437">
        <f>Таблица1[[#This Row],[Часов на заказчика  в работе]]+Таблица1[[#This Row],[Часов на заказчика  дежурство]]</f>
        <v>0</v>
      </c>
      <c r="O34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7" s="9">
        <v>115000</v>
      </c>
      <c r="R3437" s="9"/>
      <c r="S3437" s="5">
        <v>1</v>
      </c>
      <c r="T34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табеле]])*S3437,0)</f>
        <v>0</v>
      </c>
      <c r="U3437" s="5">
        <f>IF(Таблица1[[#This Row],[ТТН]]&gt;0,Таблица1[[#This Row],[Ставка за ТТН]]*Таблица1[[#This Row],[ТТН]],0)</f>
        <v>0</v>
      </c>
    </row>
    <row r="3438" spans="1:21" x14ac:dyDescent="0.25">
      <c r="A3438" t="s">
        <v>84</v>
      </c>
      <c r="B3438" s="24">
        <v>4</v>
      </c>
      <c r="C3438" t="s">
        <v>199</v>
      </c>
      <c r="D3438" t="s">
        <v>12</v>
      </c>
      <c r="E3438" t="s">
        <v>216</v>
      </c>
      <c r="F3438" t="s">
        <v>68</v>
      </c>
      <c r="H3438" t="s">
        <v>29</v>
      </c>
      <c r="I3438" t="s">
        <v>217</v>
      </c>
      <c r="J3438">
        <v>8</v>
      </c>
      <c r="N3438">
        <f>Таблица1[[#This Row],[Часов на заказчика  в работе]]+Таблица1[[#This Row],[Часов на заказчика  дежурство]]</f>
        <v>0</v>
      </c>
      <c r="O34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8" s="9">
        <v>115000</v>
      </c>
      <c r="R3438" s="9"/>
      <c r="S3438" s="5">
        <v>1</v>
      </c>
      <c r="T34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табеле]])*S3438,0)</f>
        <v>0</v>
      </c>
      <c r="U3438" s="5">
        <f>IF(Таблица1[[#This Row],[ТТН]]&gt;0,Таблица1[[#This Row],[Ставка за ТТН]]*Таблица1[[#This Row],[ТТН]],0)</f>
        <v>0</v>
      </c>
    </row>
    <row r="3439" spans="1:21" x14ac:dyDescent="0.25">
      <c r="A3439" t="s">
        <v>84</v>
      </c>
      <c r="B3439" s="24">
        <v>5</v>
      </c>
      <c r="C3439" t="s">
        <v>199</v>
      </c>
      <c r="D3439" t="s">
        <v>12</v>
      </c>
      <c r="E3439" t="s">
        <v>216</v>
      </c>
      <c r="F3439" t="s">
        <v>68</v>
      </c>
      <c r="H3439" t="s">
        <v>29</v>
      </c>
      <c r="I3439" t="s">
        <v>217</v>
      </c>
      <c r="J3439">
        <v>8</v>
      </c>
      <c r="N3439">
        <f>Таблица1[[#This Row],[Часов на заказчика  в работе]]+Таблица1[[#This Row],[Часов на заказчика  дежурство]]</f>
        <v>0</v>
      </c>
      <c r="O34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39" s="9">
        <v>115000</v>
      </c>
      <c r="R3439" s="9"/>
      <c r="S3439" s="5">
        <v>1</v>
      </c>
      <c r="T34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табеле]])*S3439,0)</f>
        <v>0</v>
      </c>
      <c r="U3439" s="5">
        <f>IF(Таблица1[[#This Row],[ТТН]]&gt;0,Таблица1[[#This Row],[Ставка за ТТН]]*Таблица1[[#This Row],[ТТН]],0)</f>
        <v>0</v>
      </c>
    </row>
    <row r="3440" spans="1:21" x14ac:dyDescent="0.25">
      <c r="A3440" t="s">
        <v>84</v>
      </c>
      <c r="B3440" s="24">
        <v>6</v>
      </c>
      <c r="C3440" t="s">
        <v>199</v>
      </c>
      <c r="D3440" t="s">
        <v>12</v>
      </c>
      <c r="E3440" t="s">
        <v>216</v>
      </c>
      <c r="F3440" t="s">
        <v>68</v>
      </c>
      <c r="H3440" t="s">
        <v>30</v>
      </c>
      <c r="I3440" t="s">
        <v>217</v>
      </c>
      <c r="J3440">
        <v>1</v>
      </c>
      <c r="N3440">
        <f>Таблица1[[#This Row],[Часов на заказчика  в работе]]+Таблица1[[#This Row],[Часов на заказчика  дежурство]]</f>
        <v>0</v>
      </c>
      <c r="O34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0" s="9">
        <v>115000</v>
      </c>
      <c r="R3440" s="9"/>
      <c r="S3440" s="5">
        <v>1</v>
      </c>
      <c r="T34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табеле]])*S3440,0)</f>
        <v>0</v>
      </c>
      <c r="U3440" s="5">
        <f>IF(Таблица1[[#This Row],[ТТН]]&gt;0,Таблица1[[#This Row],[Ставка за ТТН]]*Таблица1[[#This Row],[ТТН]],0)</f>
        <v>0</v>
      </c>
    </row>
    <row r="3441" spans="1:21" x14ac:dyDescent="0.25">
      <c r="A3441" t="s">
        <v>84</v>
      </c>
      <c r="B3441" s="24">
        <v>7</v>
      </c>
      <c r="C3441" t="s">
        <v>199</v>
      </c>
      <c r="D3441" t="s">
        <v>12</v>
      </c>
      <c r="E3441" t="s">
        <v>216</v>
      </c>
      <c r="F3441" t="s">
        <v>68</v>
      </c>
      <c r="H3441" t="s">
        <v>30</v>
      </c>
      <c r="I3441" t="s">
        <v>217</v>
      </c>
      <c r="J3441">
        <v>1</v>
      </c>
      <c r="N3441">
        <f>Таблица1[[#This Row],[Часов на заказчика  в работе]]+Таблица1[[#This Row],[Часов на заказчика  дежурство]]</f>
        <v>0</v>
      </c>
      <c r="O34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1" s="9">
        <v>115000</v>
      </c>
      <c r="R3441" s="9"/>
      <c r="S3441" s="5">
        <v>1</v>
      </c>
      <c r="T34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табеле]])*S3441,0)</f>
        <v>0</v>
      </c>
      <c r="U3441" s="5">
        <f>IF(Таблица1[[#This Row],[ТТН]]&gt;0,Таблица1[[#This Row],[Ставка за ТТН]]*Таблица1[[#This Row],[ТТН]],0)</f>
        <v>0</v>
      </c>
    </row>
    <row r="3442" spans="1:21" x14ac:dyDescent="0.25">
      <c r="A3442" t="s">
        <v>84</v>
      </c>
      <c r="B3442" s="24">
        <v>8</v>
      </c>
      <c r="C3442" t="s">
        <v>199</v>
      </c>
      <c r="D3442" t="s">
        <v>12</v>
      </c>
      <c r="E3442" t="s">
        <v>216</v>
      </c>
      <c r="F3442" t="s">
        <v>68</v>
      </c>
      <c r="H3442" t="s">
        <v>29</v>
      </c>
      <c r="I3442" t="s">
        <v>217</v>
      </c>
      <c r="J3442">
        <v>8</v>
      </c>
      <c r="N3442">
        <f>Таблица1[[#This Row],[Часов на заказчика  в работе]]+Таблица1[[#This Row],[Часов на заказчика  дежурство]]</f>
        <v>0</v>
      </c>
      <c r="O34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2" s="9">
        <v>115000</v>
      </c>
      <c r="R3442" s="9"/>
      <c r="S3442" s="5">
        <v>1</v>
      </c>
      <c r="T34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табеле]])*S3442,0)</f>
        <v>0</v>
      </c>
      <c r="U3442" s="5">
        <f>IF(Таблица1[[#This Row],[ТТН]]&gt;0,Таблица1[[#This Row],[Ставка за ТТН]]*Таблица1[[#This Row],[ТТН]],0)</f>
        <v>0</v>
      </c>
    </row>
    <row r="3443" spans="1:21" x14ac:dyDescent="0.25">
      <c r="A3443" t="s">
        <v>84</v>
      </c>
      <c r="B3443" s="24">
        <v>9</v>
      </c>
      <c r="C3443" t="s">
        <v>199</v>
      </c>
      <c r="D3443" t="s">
        <v>12</v>
      </c>
      <c r="E3443" t="s">
        <v>216</v>
      </c>
      <c r="F3443" t="s">
        <v>68</v>
      </c>
      <c r="H3443" t="s">
        <v>29</v>
      </c>
      <c r="I3443" t="s">
        <v>217</v>
      </c>
      <c r="J3443">
        <v>8</v>
      </c>
      <c r="N3443">
        <f>Таблица1[[#This Row],[Часов на заказчика  в работе]]+Таблица1[[#This Row],[Часов на заказчика  дежурство]]</f>
        <v>0</v>
      </c>
      <c r="O34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3" s="9">
        <v>115000</v>
      </c>
      <c r="R3443" s="9"/>
      <c r="S3443" s="5">
        <v>1</v>
      </c>
      <c r="T34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табеле]])*S3443,0)</f>
        <v>0</v>
      </c>
      <c r="U3443" s="5">
        <f>IF(Таблица1[[#This Row],[ТТН]]&gt;0,Таблица1[[#This Row],[Ставка за ТТН]]*Таблица1[[#This Row],[ТТН]],0)</f>
        <v>0</v>
      </c>
    </row>
    <row r="3444" spans="1:21" x14ac:dyDescent="0.25">
      <c r="A3444" t="s">
        <v>84</v>
      </c>
      <c r="B3444" s="24">
        <v>10</v>
      </c>
      <c r="C3444" t="s">
        <v>199</v>
      </c>
      <c r="D3444" t="s">
        <v>12</v>
      </c>
      <c r="E3444" t="s">
        <v>216</v>
      </c>
      <c r="F3444" t="s">
        <v>68</v>
      </c>
      <c r="H3444" t="s">
        <v>29</v>
      </c>
      <c r="I3444" t="s">
        <v>217</v>
      </c>
      <c r="J3444">
        <v>8</v>
      </c>
      <c r="N3444">
        <f>Таблица1[[#This Row],[Часов на заказчика  в работе]]+Таблица1[[#This Row],[Часов на заказчика  дежурство]]</f>
        <v>0</v>
      </c>
      <c r="O34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4" s="9">
        <v>115000</v>
      </c>
      <c r="R3444" s="9"/>
      <c r="S3444" s="5">
        <v>1</v>
      </c>
      <c r="T34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табеле]])*S3444,0)</f>
        <v>0</v>
      </c>
      <c r="U3444" s="5">
        <f>IF(Таблица1[[#This Row],[ТТН]]&gt;0,Таблица1[[#This Row],[Ставка за ТТН]]*Таблица1[[#This Row],[ТТН]],0)</f>
        <v>0</v>
      </c>
    </row>
    <row r="3445" spans="1:21" x14ac:dyDescent="0.25">
      <c r="A3445" t="s">
        <v>84</v>
      </c>
      <c r="B3445" s="24">
        <v>11</v>
      </c>
      <c r="C3445" t="s">
        <v>199</v>
      </c>
      <c r="D3445" t="s">
        <v>12</v>
      </c>
      <c r="E3445" t="s">
        <v>216</v>
      </c>
      <c r="F3445" t="s">
        <v>68</v>
      </c>
      <c r="H3445" t="s">
        <v>29</v>
      </c>
      <c r="I3445" t="s">
        <v>217</v>
      </c>
      <c r="J3445">
        <v>8</v>
      </c>
      <c r="N3445">
        <f>Таблица1[[#This Row],[Часов на заказчика  в работе]]+Таблица1[[#This Row],[Часов на заказчика  дежурство]]</f>
        <v>0</v>
      </c>
      <c r="O34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5" s="9">
        <v>115000</v>
      </c>
      <c r="R3445" s="9"/>
      <c r="S3445" s="5">
        <v>1</v>
      </c>
      <c r="T34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табеле]])*S3445,0)</f>
        <v>0</v>
      </c>
      <c r="U3445" s="5">
        <f>IF(Таблица1[[#This Row],[ТТН]]&gt;0,Таблица1[[#This Row],[Ставка за ТТН]]*Таблица1[[#This Row],[ТТН]],0)</f>
        <v>0</v>
      </c>
    </row>
    <row r="3446" spans="1:21" x14ac:dyDescent="0.25">
      <c r="A3446" t="s">
        <v>84</v>
      </c>
      <c r="B3446" s="24">
        <v>12</v>
      </c>
      <c r="C3446" t="s">
        <v>199</v>
      </c>
      <c r="D3446" t="s">
        <v>12</v>
      </c>
      <c r="E3446" t="s">
        <v>216</v>
      </c>
      <c r="F3446" t="s">
        <v>68</v>
      </c>
      <c r="H3446" t="s">
        <v>29</v>
      </c>
      <c r="I3446" t="s">
        <v>217</v>
      </c>
      <c r="J3446">
        <v>8</v>
      </c>
      <c r="N3446">
        <f>Таблица1[[#This Row],[Часов на заказчика  в работе]]+Таблица1[[#This Row],[Часов на заказчика  дежурство]]</f>
        <v>0</v>
      </c>
      <c r="O34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6" s="9">
        <v>115000</v>
      </c>
      <c r="R3446" s="9"/>
      <c r="S3446" s="5">
        <v>1</v>
      </c>
      <c r="T34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табеле]])*S3446,0)</f>
        <v>0</v>
      </c>
      <c r="U3446" s="5">
        <f>IF(Таблица1[[#This Row],[ТТН]]&gt;0,Таблица1[[#This Row],[Ставка за ТТН]]*Таблица1[[#This Row],[ТТН]],0)</f>
        <v>0</v>
      </c>
    </row>
    <row r="3447" spans="1:21" x14ac:dyDescent="0.25">
      <c r="A3447" t="s">
        <v>84</v>
      </c>
      <c r="B3447" s="24">
        <v>13</v>
      </c>
      <c r="C3447" t="s">
        <v>199</v>
      </c>
      <c r="D3447" t="s">
        <v>12</v>
      </c>
      <c r="E3447" t="s">
        <v>216</v>
      </c>
      <c r="F3447" t="s">
        <v>68</v>
      </c>
      <c r="H3447" t="s">
        <v>30</v>
      </c>
      <c r="I3447" t="s">
        <v>217</v>
      </c>
      <c r="J3447">
        <v>1</v>
      </c>
      <c r="N3447">
        <f>Таблица1[[#This Row],[Часов на заказчика  в работе]]+Таблица1[[#This Row],[Часов на заказчика  дежурство]]</f>
        <v>0</v>
      </c>
      <c r="O34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7" s="9">
        <v>115000</v>
      </c>
      <c r="R3447" s="9"/>
      <c r="S3447" s="5">
        <v>1</v>
      </c>
      <c r="T34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табеле]])*S3447,0)</f>
        <v>0</v>
      </c>
      <c r="U3447" s="5">
        <f>IF(Таблица1[[#This Row],[ТТН]]&gt;0,Таблица1[[#This Row],[Ставка за ТТН]]*Таблица1[[#This Row],[ТТН]],0)</f>
        <v>0</v>
      </c>
    </row>
    <row r="3448" spans="1:21" x14ac:dyDescent="0.25">
      <c r="A3448" t="s">
        <v>84</v>
      </c>
      <c r="B3448" s="24">
        <v>14</v>
      </c>
      <c r="C3448" t="s">
        <v>199</v>
      </c>
      <c r="D3448" t="s">
        <v>12</v>
      </c>
      <c r="E3448" t="s">
        <v>216</v>
      </c>
      <c r="F3448" t="s">
        <v>68</v>
      </c>
      <c r="H3448" t="s">
        <v>30</v>
      </c>
      <c r="I3448" t="s">
        <v>217</v>
      </c>
      <c r="J3448">
        <v>1</v>
      </c>
      <c r="N3448">
        <f>Таблица1[[#This Row],[Часов на заказчика  в работе]]+Таблица1[[#This Row],[Часов на заказчика  дежурство]]</f>
        <v>0</v>
      </c>
      <c r="O34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8" s="9">
        <v>115000</v>
      </c>
      <c r="R3448" s="9"/>
      <c r="S3448" s="5">
        <v>1</v>
      </c>
      <c r="T34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табеле]])*S3448,0)</f>
        <v>0</v>
      </c>
      <c r="U3448" s="5">
        <f>IF(Таблица1[[#This Row],[ТТН]]&gt;0,Таблица1[[#This Row],[Ставка за ТТН]]*Таблица1[[#This Row],[ТТН]],0)</f>
        <v>0</v>
      </c>
    </row>
    <row r="3449" spans="1:21" x14ac:dyDescent="0.25">
      <c r="A3449" t="s">
        <v>84</v>
      </c>
      <c r="B3449" s="24">
        <v>15</v>
      </c>
      <c r="C3449" t="s">
        <v>199</v>
      </c>
      <c r="D3449" t="s">
        <v>12</v>
      </c>
      <c r="E3449" t="s">
        <v>216</v>
      </c>
      <c r="F3449" t="s">
        <v>68</v>
      </c>
      <c r="H3449" t="s">
        <v>29</v>
      </c>
      <c r="I3449" t="s">
        <v>217</v>
      </c>
      <c r="J3449">
        <v>8</v>
      </c>
      <c r="N3449">
        <f>Таблица1[[#This Row],[Часов на заказчика  в работе]]+Таблица1[[#This Row],[Часов на заказчика  дежурство]]</f>
        <v>0</v>
      </c>
      <c r="O34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49" s="9">
        <v>115000</v>
      </c>
      <c r="R3449" s="9"/>
      <c r="S3449" s="5">
        <v>1</v>
      </c>
      <c r="T34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табеле]])*S3449,0)</f>
        <v>0</v>
      </c>
      <c r="U3449" s="5">
        <f>IF(Таблица1[[#This Row],[ТТН]]&gt;0,Таблица1[[#This Row],[Ставка за ТТН]]*Таблица1[[#This Row],[ТТН]],0)</f>
        <v>0</v>
      </c>
    </row>
    <row r="3450" spans="1:21" x14ac:dyDescent="0.25">
      <c r="A3450" t="s">
        <v>84</v>
      </c>
      <c r="B3450" s="24">
        <v>16</v>
      </c>
      <c r="C3450" t="s">
        <v>199</v>
      </c>
      <c r="D3450" t="s">
        <v>12</v>
      </c>
      <c r="E3450" t="s">
        <v>216</v>
      </c>
      <c r="F3450" t="s">
        <v>68</v>
      </c>
      <c r="H3450" t="s">
        <v>29</v>
      </c>
      <c r="I3450" t="s">
        <v>217</v>
      </c>
      <c r="J3450">
        <v>8</v>
      </c>
      <c r="N3450">
        <f>Таблица1[[#This Row],[Часов на заказчика  в работе]]+Таблица1[[#This Row],[Часов на заказчика  дежурство]]</f>
        <v>0</v>
      </c>
      <c r="O34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0" s="9">
        <v>115000</v>
      </c>
      <c r="R3450" s="9"/>
      <c r="S3450" s="5">
        <v>1</v>
      </c>
      <c r="T34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табеле]])*S3450,0)</f>
        <v>0</v>
      </c>
      <c r="U3450" s="5">
        <f>IF(Таблица1[[#This Row],[ТТН]]&gt;0,Таблица1[[#This Row],[Ставка за ТТН]]*Таблица1[[#This Row],[ТТН]],0)</f>
        <v>0</v>
      </c>
    </row>
    <row r="3451" spans="1:21" x14ac:dyDescent="0.25">
      <c r="A3451" t="s">
        <v>84</v>
      </c>
      <c r="B3451" s="24">
        <v>17</v>
      </c>
      <c r="C3451" t="s">
        <v>199</v>
      </c>
      <c r="D3451" t="s">
        <v>12</v>
      </c>
      <c r="E3451" t="s">
        <v>216</v>
      </c>
      <c r="F3451" t="s">
        <v>68</v>
      </c>
      <c r="H3451" t="s">
        <v>29</v>
      </c>
      <c r="I3451" t="s">
        <v>217</v>
      </c>
      <c r="J3451">
        <v>8</v>
      </c>
      <c r="N3451">
        <f>Таблица1[[#This Row],[Часов на заказчика  в работе]]+Таблица1[[#This Row],[Часов на заказчика  дежурство]]</f>
        <v>0</v>
      </c>
      <c r="O34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1" s="9">
        <v>115000</v>
      </c>
      <c r="R3451" s="9"/>
      <c r="S3451" s="5">
        <v>1</v>
      </c>
      <c r="T34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табеле]])*S3451,0)</f>
        <v>0</v>
      </c>
      <c r="U3451" s="5">
        <f>IF(Таблица1[[#This Row],[ТТН]]&gt;0,Таблица1[[#This Row],[Ставка за ТТН]]*Таблица1[[#This Row],[ТТН]],0)</f>
        <v>0</v>
      </c>
    </row>
    <row r="3452" spans="1:21" x14ac:dyDescent="0.25">
      <c r="A3452" t="s">
        <v>84</v>
      </c>
      <c r="B3452" s="24">
        <v>18</v>
      </c>
      <c r="C3452" t="s">
        <v>199</v>
      </c>
      <c r="D3452" t="s">
        <v>12</v>
      </c>
      <c r="E3452" t="s">
        <v>216</v>
      </c>
      <c r="F3452" t="s">
        <v>68</v>
      </c>
      <c r="H3452" t="s">
        <v>29</v>
      </c>
      <c r="I3452" t="s">
        <v>217</v>
      </c>
      <c r="J3452">
        <v>8</v>
      </c>
      <c r="N3452">
        <f>Таблица1[[#This Row],[Часов на заказчика  в работе]]+Таблица1[[#This Row],[Часов на заказчика  дежурство]]</f>
        <v>0</v>
      </c>
      <c r="O34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2" s="9">
        <v>115000</v>
      </c>
      <c r="R3452" s="9"/>
      <c r="S3452" s="5">
        <v>1</v>
      </c>
      <c r="T34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табеле]])*S3452,0)</f>
        <v>0</v>
      </c>
      <c r="U3452" s="5">
        <f>IF(Таблица1[[#This Row],[ТТН]]&gt;0,Таблица1[[#This Row],[Ставка за ТТН]]*Таблица1[[#This Row],[ТТН]],0)</f>
        <v>0</v>
      </c>
    </row>
    <row r="3453" spans="1:21" x14ac:dyDescent="0.25">
      <c r="A3453" t="s">
        <v>84</v>
      </c>
      <c r="B3453" s="24">
        <v>19</v>
      </c>
      <c r="C3453" t="s">
        <v>199</v>
      </c>
      <c r="D3453" t="s">
        <v>12</v>
      </c>
      <c r="E3453" t="s">
        <v>216</v>
      </c>
      <c r="F3453" t="s">
        <v>68</v>
      </c>
      <c r="H3453" t="s">
        <v>29</v>
      </c>
      <c r="I3453" t="s">
        <v>217</v>
      </c>
      <c r="J3453">
        <v>8</v>
      </c>
      <c r="N3453">
        <f>Таблица1[[#This Row],[Часов на заказчика  в работе]]+Таблица1[[#This Row],[Часов на заказчика  дежурство]]</f>
        <v>0</v>
      </c>
      <c r="O34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3" s="9">
        <v>115000</v>
      </c>
      <c r="R3453" s="9"/>
      <c r="S3453" s="5">
        <v>1</v>
      </c>
      <c r="T34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табеле]])*S3453,0)</f>
        <v>0</v>
      </c>
      <c r="U3453" s="5">
        <f>IF(Таблица1[[#This Row],[ТТН]]&gt;0,Таблица1[[#This Row],[Ставка за ТТН]]*Таблица1[[#This Row],[ТТН]],0)</f>
        <v>0</v>
      </c>
    </row>
    <row r="3454" spans="1:21" x14ac:dyDescent="0.25">
      <c r="A3454" t="s">
        <v>84</v>
      </c>
      <c r="B3454" s="24">
        <v>20</v>
      </c>
      <c r="C3454" t="s">
        <v>199</v>
      </c>
      <c r="D3454" t="s">
        <v>12</v>
      </c>
      <c r="E3454" t="s">
        <v>216</v>
      </c>
      <c r="F3454" t="s">
        <v>68</v>
      </c>
      <c r="H3454" t="s">
        <v>30</v>
      </c>
      <c r="I3454" t="s">
        <v>217</v>
      </c>
      <c r="J3454">
        <v>1</v>
      </c>
      <c r="N3454">
        <f>Таблица1[[#This Row],[Часов на заказчика  в работе]]+Таблица1[[#This Row],[Часов на заказчика  дежурство]]</f>
        <v>0</v>
      </c>
      <c r="O34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4" s="9">
        <v>115000</v>
      </c>
      <c r="R3454" s="9"/>
      <c r="S3454" s="5">
        <v>1</v>
      </c>
      <c r="T34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табеле]])*S3454,0)</f>
        <v>0</v>
      </c>
      <c r="U3454" s="5">
        <f>IF(Таблица1[[#This Row],[ТТН]]&gt;0,Таблица1[[#This Row],[Ставка за ТТН]]*Таблица1[[#This Row],[ТТН]],0)</f>
        <v>0</v>
      </c>
    </row>
    <row r="3455" spans="1:21" x14ac:dyDescent="0.25">
      <c r="A3455" t="s">
        <v>84</v>
      </c>
      <c r="B3455" s="24">
        <v>21</v>
      </c>
      <c r="C3455" t="s">
        <v>199</v>
      </c>
      <c r="D3455" t="s">
        <v>12</v>
      </c>
      <c r="E3455" t="s">
        <v>216</v>
      </c>
      <c r="F3455" t="s">
        <v>68</v>
      </c>
      <c r="H3455" t="s">
        <v>30</v>
      </c>
      <c r="I3455" t="s">
        <v>217</v>
      </c>
      <c r="J3455">
        <v>1</v>
      </c>
      <c r="N3455">
        <f>Таблица1[[#This Row],[Часов на заказчика  в работе]]+Таблица1[[#This Row],[Часов на заказчика  дежурство]]</f>
        <v>0</v>
      </c>
      <c r="O34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5" s="9">
        <v>115000</v>
      </c>
      <c r="R3455" s="9"/>
      <c r="S3455" s="5">
        <v>1</v>
      </c>
      <c r="T34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табеле]])*S3455,0)</f>
        <v>0</v>
      </c>
      <c r="U3455" s="5">
        <f>IF(Таблица1[[#This Row],[ТТН]]&gt;0,Таблица1[[#This Row],[Ставка за ТТН]]*Таблица1[[#This Row],[ТТН]],0)</f>
        <v>0</v>
      </c>
    </row>
    <row r="3456" spans="1:21" x14ac:dyDescent="0.25">
      <c r="A3456" t="s">
        <v>84</v>
      </c>
      <c r="B3456" s="24">
        <v>22</v>
      </c>
      <c r="C3456" t="s">
        <v>199</v>
      </c>
      <c r="D3456" t="s">
        <v>12</v>
      </c>
      <c r="E3456" t="s">
        <v>216</v>
      </c>
      <c r="F3456" t="s">
        <v>68</v>
      </c>
      <c r="H3456" t="s">
        <v>29</v>
      </c>
      <c r="I3456" t="s">
        <v>217</v>
      </c>
      <c r="J3456">
        <v>8</v>
      </c>
      <c r="N3456">
        <f>Таблица1[[#This Row],[Часов на заказчика  в работе]]+Таблица1[[#This Row],[Часов на заказчика  дежурство]]</f>
        <v>0</v>
      </c>
      <c r="O34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6" s="9">
        <v>115000</v>
      </c>
      <c r="R3456" s="9"/>
      <c r="S3456" s="5">
        <v>1</v>
      </c>
      <c r="T34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табеле]])*S3456,0)</f>
        <v>0</v>
      </c>
      <c r="U3456" s="5">
        <f>IF(Таблица1[[#This Row],[ТТН]]&gt;0,Таблица1[[#This Row],[Ставка за ТТН]]*Таблица1[[#This Row],[ТТН]],0)</f>
        <v>0</v>
      </c>
    </row>
    <row r="3457" spans="1:21" x14ac:dyDescent="0.25">
      <c r="A3457" t="s">
        <v>84</v>
      </c>
      <c r="B3457" s="24">
        <v>23</v>
      </c>
      <c r="C3457" t="s">
        <v>199</v>
      </c>
      <c r="D3457" t="s">
        <v>12</v>
      </c>
      <c r="E3457" t="s">
        <v>216</v>
      </c>
      <c r="F3457" t="s">
        <v>68</v>
      </c>
      <c r="H3457" t="s">
        <v>29</v>
      </c>
      <c r="I3457" t="s">
        <v>217</v>
      </c>
      <c r="J3457">
        <v>8</v>
      </c>
      <c r="N3457">
        <f>Таблица1[[#This Row],[Часов на заказчика  в работе]]+Таблица1[[#This Row],[Часов на заказчика  дежурство]]</f>
        <v>0</v>
      </c>
      <c r="O34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7" s="9">
        <v>115000</v>
      </c>
      <c r="R3457" s="9"/>
      <c r="S3457" s="5">
        <v>1</v>
      </c>
      <c r="T34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табеле]])*S3457,0)</f>
        <v>0</v>
      </c>
      <c r="U3457" s="5">
        <f>IF(Таблица1[[#This Row],[ТТН]]&gt;0,Таблица1[[#This Row],[Ставка за ТТН]]*Таблица1[[#This Row],[ТТН]],0)</f>
        <v>0</v>
      </c>
    </row>
    <row r="3458" spans="1:21" x14ac:dyDescent="0.25">
      <c r="A3458" t="s">
        <v>84</v>
      </c>
      <c r="B3458" s="24">
        <v>24</v>
      </c>
      <c r="C3458" t="s">
        <v>199</v>
      </c>
      <c r="D3458" t="s">
        <v>12</v>
      </c>
      <c r="E3458" t="s">
        <v>216</v>
      </c>
      <c r="F3458" t="s">
        <v>68</v>
      </c>
      <c r="H3458" t="s">
        <v>29</v>
      </c>
      <c r="I3458" t="s">
        <v>217</v>
      </c>
      <c r="J3458">
        <v>8</v>
      </c>
      <c r="N3458">
        <f>Таблица1[[#This Row],[Часов на заказчика  в работе]]+Таблица1[[#This Row],[Часов на заказчика  дежурство]]</f>
        <v>0</v>
      </c>
      <c r="O34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8" s="9">
        <v>115000</v>
      </c>
      <c r="R3458" s="9"/>
      <c r="S3458" s="5">
        <v>1</v>
      </c>
      <c r="T34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табеле]])*S3458,0)</f>
        <v>0</v>
      </c>
      <c r="U3458" s="5">
        <f>IF(Таблица1[[#This Row],[ТТН]]&gt;0,Таблица1[[#This Row],[Ставка за ТТН]]*Таблица1[[#This Row],[ТТН]],0)</f>
        <v>0</v>
      </c>
    </row>
    <row r="3459" spans="1:21" x14ac:dyDescent="0.25">
      <c r="A3459" t="s">
        <v>84</v>
      </c>
      <c r="B3459" s="24">
        <v>25</v>
      </c>
      <c r="C3459" t="s">
        <v>199</v>
      </c>
      <c r="D3459" t="s">
        <v>12</v>
      </c>
      <c r="E3459" t="s">
        <v>216</v>
      </c>
      <c r="F3459" t="s">
        <v>68</v>
      </c>
      <c r="H3459" t="s">
        <v>29</v>
      </c>
      <c r="I3459" t="s">
        <v>217</v>
      </c>
      <c r="J3459">
        <v>8</v>
      </c>
      <c r="N3459">
        <f>Таблица1[[#This Row],[Часов на заказчика  в работе]]+Таблица1[[#This Row],[Часов на заказчика  дежурство]]</f>
        <v>0</v>
      </c>
      <c r="O34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59" s="9">
        <v>115000</v>
      </c>
      <c r="R3459" s="9"/>
      <c r="S3459" s="5">
        <v>1</v>
      </c>
      <c r="T34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табеле]])*S3459,0)</f>
        <v>0</v>
      </c>
      <c r="U3459" s="5">
        <f>IF(Таблица1[[#This Row],[ТТН]]&gt;0,Таблица1[[#This Row],[Ставка за ТТН]]*Таблица1[[#This Row],[ТТН]],0)</f>
        <v>0</v>
      </c>
    </row>
    <row r="3460" spans="1:21" x14ac:dyDescent="0.25">
      <c r="A3460" t="s">
        <v>84</v>
      </c>
      <c r="B3460" s="24">
        <v>26</v>
      </c>
      <c r="C3460" t="s">
        <v>199</v>
      </c>
      <c r="D3460" t="s">
        <v>12</v>
      </c>
      <c r="E3460" t="s">
        <v>216</v>
      </c>
      <c r="F3460" t="s">
        <v>68</v>
      </c>
      <c r="H3460" t="s">
        <v>29</v>
      </c>
      <c r="I3460" t="s">
        <v>217</v>
      </c>
      <c r="J3460">
        <v>8</v>
      </c>
      <c r="N3460">
        <f>Таблица1[[#This Row],[Часов на заказчика  в работе]]+Таблица1[[#This Row],[Часов на заказчика  дежурство]]</f>
        <v>0</v>
      </c>
      <c r="O34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0" s="9">
        <v>115000</v>
      </c>
      <c r="R3460" s="9"/>
      <c r="S3460" s="5">
        <v>1</v>
      </c>
      <c r="T34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табеле]])*S3460,0)</f>
        <v>0</v>
      </c>
      <c r="U3460" s="5">
        <f>IF(Таблица1[[#This Row],[ТТН]]&gt;0,Таблица1[[#This Row],[Ставка за ТТН]]*Таблица1[[#This Row],[ТТН]],0)</f>
        <v>0</v>
      </c>
    </row>
    <row r="3461" spans="1:21" x14ac:dyDescent="0.25">
      <c r="A3461" t="s">
        <v>84</v>
      </c>
      <c r="B3461" s="24">
        <v>27</v>
      </c>
      <c r="C3461" t="s">
        <v>199</v>
      </c>
      <c r="D3461" t="s">
        <v>12</v>
      </c>
      <c r="E3461" t="s">
        <v>216</v>
      </c>
      <c r="F3461" t="s">
        <v>68</v>
      </c>
      <c r="H3461" t="s">
        <v>30</v>
      </c>
      <c r="I3461" t="s">
        <v>217</v>
      </c>
      <c r="J3461">
        <v>1</v>
      </c>
      <c r="N3461">
        <f>Таблица1[[#This Row],[Часов на заказчика  в работе]]+Таблица1[[#This Row],[Часов на заказчика  дежурство]]</f>
        <v>0</v>
      </c>
      <c r="O34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1" s="9">
        <v>115000</v>
      </c>
      <c r="R3461" s="9"/>
      <c r="S3461" s="5">
        <v>1</v>
      </c>
      <c r="T34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табеле]])*S3461,0)</f>
        <v>0</v>
      </c>
      <c r="U3461" s="5">
        <f>IF(Таблица1[[#This Row],[ТТН]]&gt;0,Таблица1[[#This Row],[Ставка за ТТН]]*Таблица1[[#This Row],[ТТН]],0)</f>
        <v>0</v>
      </c>
    </row>
    <row r="3462" spans="1:21" x14ac:dyDescent="0.25">
      <c r="A3462" t="s">
        <v>84</v>
      </c>
      <c r="B3462" s="24">
        <v>28</v>
      </c>
      <c r="C3462" t="s">
        <v>199</v>
      </c>
      <c r="D3462" t="s">
        <v>12</v>
      </c>
      <c r="E3462" t="s">
        <v>216</v>
      </c>
      <c r="F3462" t="s">
        <v>68</v>
      </c>
      <c r="H3462" t="s">
        <v>30</v>
      </c>
      <c r="I3462" t="s">
        <v>217</v>
      </c>
      <c r="J3462">
        <v>1</v>
      </c>
      <c r="N3462">
        <f>Таблица1[[#This Row],[Часов на заказчика  в работе]]+Таблица1[[#This Row],[Часов на заказчика  дежурство]]</f>
        <v>0</v>
      </c>
      <c r="O34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2" s="9">
        <v>115000</v>
      </c>
      <c r="R3462" s="9"/>
      <c r="S3462" s="5">
        <v>1</v>
      </c>
      <c r="T34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табеле]])*S3462,0)</f>
        <v>0</v>
      </c>
      <c r="U3462" s="5">
        <f>IF(Таблица1[[#This Row],[ТТН]]&gt;0,Таблица1[[#This Row],[Ставка за ТТН]]*Таблица1[[#This Row],[ТТН]],0)</f>
        <v>0</v>
      </c>
    </row>
    <row r="3463" spans="1:21" x14ac:dyDescent="0.25">
      <c r="A3463" t="s">
        <v>84</v>
      </c>
      <c r="B3463" s="24">
        <v>29</v>
      </c>
      <c r="C3463" t="s">
        <v>199</v>
      </c>
      <c r="D3463" t="s">
        <v>12</v>
      </c>
      <c r="E3463" t="s">
        <v>216</v>
      </c>
      <c r="F3463" t="s">
        <v>68</v>
      </c>
      <c r="H3463" t="s">
        <v>29</v>
      </c>
      <c r="I3463" t="s">
        <v>217</v>
      </c>
      <c r="J3463">
        <v>8</v>
      </c>
      <c r="N3463">
        <f>Таблица1[[#This Row],[Часов на заказчика  в работе]]+Таблица1[[#This Row],[Часов на заказчика  дежурство]]</f>
        <v>0</v>
      </c>
      <c r="O34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3" s="9">
        <v>115000</v>
      </c>
      <c r="R3463" s="9"/>
      <c r="S3463" s="5">
        <v>1</v>
      </c>
      <c r="T34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табеле]])*S3463,0)</f>
        <v>0</v>
      </c>
      <c r="U3463" s="5">
        <f>IF(Таблица1[[#This Row],[ТТН]]&gt;0,Таблица1[[#This Row],[Ставка за ТТН]]*Таблица1[[#This Row],[ТТН]],0)</f>
        <v>0</v>
      </c>
    </row>
    <row r="3464" spans="1:21" x14ac:dyDescent="0.25">
      <c r="A3464" t="s">
        <v>84</v>
      </c>
      <c r="B3464" s="24">
        <v>30</v>
      </c>
      <c r="C3464" t="s">
        <v>200</v>
      </c>
      <c r="D3464" t="s">
        <v>12</v>
      </c>
      <c r="E3464" t="s">
        <v>216</v>
      </c>
      <c r="F3464" t="s">
        <v>68</v>
      </c>
      <c r="H3464" t="s">
        <v>29</v>
      </c>
      <c r="I3464" t="s">
        <v>217</v>
      </c>
      <c r="J3464">
        <v>8</v>
      </c>
      <c r="N3464">
        <f>Таблица1[[#This Row],[Часов на заказчика  в работе]]+Таблица1[[#This Row],[Часов на заказчика  дежурство]]</f>
        <v>0</v>
      </c>
      <c r="O34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4" s="9">
        <v>115000</v>
      </c>
      <c r="R3464" s="9"/>
      <c r="S3464" s="5">
        <v>1</v>
      </c>
      <c r="T34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табеле]])*S3464,0)</f>
        <v>0</v>
      </c>
      <c r="U3464" s="5">
        <f>IF(Таблица1[[#This Row],[ТТН]]&gt;0,Таблица1[[#This Row],[Ставка за ТТН]]*Таблица1[[#This Row],[ТТН]],0)</f>
        <v>0</v>
      </c>
    </row>
    <row r="3465" spans="1:21" x14ac:dyDescent="0.25">
      <c r="A3465" t="s">
        <v>84</v>
      </c>
      <c r="B3465" s="24">
        <v>1</v>
      </c>
      <c r="C3465" t="s">
        <v>200</v>
      </c>
      <c r="D3465" t="s">
        <v>69</v>
      </c>
      <c r="E3465" t="s">
        <v>216</v>
      </c>
      <c r="F3465" t="s">
        <v>69</v>
      </c>
      <c r="H3465" t="s">
        <v>10</v>
      </c>
      <c r="I3465" t="s">
        <v>217</v>
      </c>
      <c r="J3465">
        <v>11</v>
      </c>
      <c r="N3465">
        <f>Таблица1[[#This Row],[Часов на заказчика  в работе]]+Таблица1[[#This Row],[Часов на заказчика  дежурство]]</f>
        <v>0</v>
      </c>
      <c r="O34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5" s="9"/>
      <c r="R3465" s="9"/>
      <c r="S3465" s="5">
        <v>1</v>
      </c>
      <c r="T34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табеле]])*S3465,0)</f>
        <v>0</v>
      </c>
      <c r="U3465" s="5">
        <f>IF(Таблица1[[#This Row],[ТТН]]&gt;0,Таблица1[[#This Row],[Ставка за ТТН]]*Таблица1[[#This Row],[ТТН]],0)</f>
        <v>0</v>
      </c>
    </row>
    <row r="3466" spans="1:21" x14ac:dyDescent="0.25">
      <c r="A3466" t="s">
        <v>84</v>
      </c>
      <c r="B3466" s="24">
        <v>2</v>
      </c>
      <c r="C3466" t="s">
        <v>200</v>
      </c>
      <c r="D3466" t="s">
        <v>69</v>
      </c>
      <c r="E3466" t="s">
        <v>216</v>
      </c>
      <c r="F3466" t="s">
        <v>69</v>
      </c>
      <c r="H3466" t="s">
        <v>10</v>
      </c>
      <c r="I3466" t="s">
        <v>217</v>
      </c>
      <c r="J3466">
        <v>11</v>
      </c>
      <c r="N3466">
        <f>Таблица1[[#This Row],[Часов на заказчика  в работе]]+Таблица1[[#This Row],[Часов на заказчика  дежурство]]</f>
        <v>0</v>
      </c>
      <c r="O34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6" s="9"/>
      <c r="R3466" s="9"/>
      <c r="S3466" s="5">
        <v>1</v>
      </c>
      <c r="T34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табеле]])*S3466,0)</f>
        <v>0</v>
      </c>
      <c r="U3466" s="5">
        <f>IF(Таблица1[[#This Row],[ТТН]]&gt;0,Таблица1[[#This Row],[Ставка за ТТН]]*Таблица1[[#This Row],[ТТН]],0)</f>
        <v>0</v>
      </c>
    </row>
    <row r="3467" spans="1:21" x14ac:dyDescent="0.25">
      <c r="A3467" t="s">
        <v>84</v>
      </c>
      <c r="B3467" s="24">
        <v>3</v>
      </c>
      <c r="C3467" t="s">
        <v>200</v>
      </c>
      <c r="D3467" t="s">
        <v>69</v>
      </c>
      <c r="E3467" t="s">
        <v>216</v>
      </c>
      <c r="F3467" t="s">
        <v>69</v>
      </c>
      <c r="H3467" t="s">
        <v>10</v>
      </c>
      <c r="I3467" t="s">
        <v>217</v>
      </c>
      <c r="J3467">
        <v>11</v>
      </c>
      <c r="N3467">
        <f>Таблица1[[#This Row],[Часов на заказчика  в работе]]+Таблица1[[#This Row],[Часов на заказчика  дежурство]]</f>
        <v>0</v>
      </c>
      <c r="O34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7" s="9"/>
      <c r="R3467" s="9"/>
      <c r="S3467" s="5">
        <v>1</v>
      </c>
      <c r="T34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табеле]])*S3467,0)</f>
        <v>0</v>
      </c>
      <c r="U3467" s="5">
        <f>IF(Таблица1[[#This Row],[ТТН]]&gt;0,Таблица1[[#This Row],[Ставка за ТТН]]*Таблица1[[#This Row],[ТТН]],0)</f>
        <v>0</v>
      </c>
    </row>
    <row r="3468" spans="1:21" x14ac:dyDescent="0.25">
      <c r="A3468" t="s">
        <v>84</v>
      </c>
      <c r="B3468" s="24">
        <v>4</v>
      </c>
      <c r="C3468" t="s">
        <v>200</v>
      </c>
      <c r="D3468" t="s">
        <v>69</v>
      </c>
      <c r="E3468" t="s">
        <v>216</v>
      </c>
      <c r="F3468" t="s">
        <v>69</v>
      </c>
      <c r="H3468" t="s">
        <v>10</v>
      </c>
      <c r="I3468" t="s">
        <v>217</v>
      </c>
      <c r="J3468">
        <v>11</v>
      </c>
      <c r="N3468">
        <f>Таблица1[[#This Row],[Часов на заказчика  в работе]]+Таблица1[[#This Row],[Часов на заказчика  дежурство]]</f>
        <v>0</v>
      </c>
      <c r="O34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8" s="9"/>
      <c r="R3468" s="9"/>
      <c r="S3468" s="5">
        <v>1</v>
      </c>
      <c r="T34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табеле]])*S3468,0)</f>
        <v>0</v>
      </c>
      <c r="U3468" s="5">
        <f>IF(Таблица1[[#This Row],[ТТН]]&gt;0,Таблица1[[#This Row],[Ставка за ТТН]]*Таблица1[[#This Row],[ТТН]],0)</f>
        <v>0</v>
      </c>
    </row>
    <row r="3469" spans="1:21" x14ac:dyDescent="0.25">
      <c r="A3469" t="s">
        <v>84</v>
      </c>
      <c r="B3469" s="24">
        <v>5</v>
      </c>
      <c r="C3469" t="s">
        <v>200</v>
      </c>
      <c r="D3469" t="s">
        <v>69</v>
      </c>
      <c r="E3469" t="s">
        <v>216</v>
      </c>
      <c r="F3469" t="s">
        <v>69</v>
      </c>
      <c r="H3469" t="s">
        <v>10</v>
      </c>
      <c r="I3469" t="s">
        <v>217</v>
      </c>
      <c r="J3469">
        <v>11</v>
      </c>
      <c r="N3469">
        <f>Таблица1[[#This Row],[Часов на заказчика  в работе]]+Таблица1[[#This Row],[Часов на заказчика  дежурство]]</f>
        <v>0</v>
      </c>
      <c r="O34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69" s="9"/>
      <c r="R3469" s="9"/>
      <c r="S3469" s="5">
        <v>1</v>
      </c>
      <c r="T34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табеле]])*S3469,0)</f>
        <v>0</v>
      </c>
      <c r="U3469" s="5">
        <f>IF(Таблица1[[#This Row],[ТТН]]&gt;0,Таблица1[[#This Row],[Ставка за ТТН]]*Таблица1[[#This Row],[ТТН]],0)</f>
        <v>0</v>
      </c>
    </row>
    <row r="3470" spans="1:21" x14ac:dyDescent="0.25">
      <c r="A3470" t="s">
        <v>84</v>
      </c>
      <c r="B3470" s="24">
        <v>6</v>
      </c>
      <c r="C3470" t="s">
        <v>200</v>
      </c>
      <c r="D3470" t="s">
        <v>69</v>
      </c>
      <c r="E3470" t="s">
        <v>216</v>
      </c>
      <c r="F3470" t="s">
        <v>69</v>
      </c>
      <c r="H3470" t="s">
        <v>10</v>
      </c>
      <c r="I3470" t="s">
        <v>217</v>
      </c>
      <c r="J3470">
        <v>11</v>
      </c>
      <c r="N3470">
        <f>Таблица1[[#This Row],[Часов на заказчика  в работе]]+Таблица1[[#This Row],[Часов на заказчика  дежурство]]</f>
        <v>0</v>
      </c>
      <c r="O34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0" s="9"/>
      <c r="R3470" s="9"/>
      <c r="S3470" s="5">
        <v>1</v>
      </c>
      <c r="T34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табеле]])*S3470,0)</f>
        <v>0</v>
      </c>
      <c r="U3470" s="5">
        <f>IF(Таблица1[[#This Row],[ТТН]]&gt;0,Таблица1[[#This Row],[Ставка за ТТН]]*Таблица1[[#This Row],[ТТН]],0)</f>
        <v>0</v>
      </c>
    </row>
    <row r="3471" spans="1:21" x14ac:dyDescent="0.25">
      <c r="A3471" t="s">
        <v>84</v>
      </c>
      <c r="B3471" s="24">
        <v>7</v>
      </c>
      <c r="C3471" t="s">
        <v>200</v>
      </c>
      <c r="D3471" t="s">
        <v>69</v>
      </c>
      <c r="E3471" t="s">
        <v>216</v>
      </c>
      <c r="F3471" t="s">
        <v>69</v>
      </c>
      <c r="H3471" t="s">
        <v>10</v>
      </c>
      <c r="I3471" t="s">
        <v>217</v>
      </c>
      <c r="J3471">
        <v>11</v>
      </c>
      <c r="N3471">
        <f>Таблица1[[#This Row],[Часов на заказчика  в работе]]+Таблица1[[#This Row],[Часов на заказчика  дежурство]]</f>
        <v>0</v>
      </c>
      <c r="O34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1" s="9"/>
      <c r="R3471" s="9"/>
      <c r="S3471" s="5">
        <v>1</v>
      </c>
      <c r="T34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табеле]])*S3471,0)</f>
        <v>0</v>
      </c>
      <c r="U3471" s="5">
        <f>IF(Таблица1[[#This Row],[ТТН]]&gt;0,Таблица1[[#This Row],[Ставка за ТТН]]*Таблица1[[#This Row],[ТТН]],0)</f>
        <v>0</v>
      </c>
    </row>
    <row r="3472" spans="1:21" x14ac:dyDescent="0.25">
      <c r="A3472" t="s">
        <v>84</v>
      </c>
      <c r="B3472" s="24">
        <v>8</v>
      </c>
      <c r="C3472" t="s">
        <v>200</v>
      </c>
      <c r="D3472" t="s">
        <v>69</v>
      </c>
      <c r="E3472" t="s">
        <v>216</v>
      </c>
      <c r="F3472" t="s">
        <v>69</v>
      </c>
      <c r="H3472" t="s">
        <v>10</v>
      </c>
      <c r="I3472" t="s">
        <v>217</v>
      </c>
      <c r="J3472">
        <v>11</v>
      </c>
      <c r="N3472">
        <f>Таблица1[[#This Row],[Часов на заказчика  в работе]]+Таблица1[[#This Row],[Часов на заказчика  дежурство]]</f>
        <v>0</v>
      </c>
      <c r="O34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2" s="9"/>
      <c r="R3472" s="9"/>
      <c r="S3472" s="5">
        <v>1</v>
      </c>
      <c r="T34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табеле]])*S3472,0)</f>
        <v>0</v>
      </c>
      <c r="U3472" s="5">
        <f>IF(Таблица1[[#This Row],[ТТН]]&gt;0,Таблица1[[#This Row],[Ставка за ТТН]]*Таблица1[[#This Row],[ТТН]],0)</f>
        <v>0</v>
      </c>
    </row>
    <row r="3473" spans="1:21" x14ac:dyDescent="0.25">
      <c r="A3473" t="s">
        <v>84</v>
      </c>
      <c r="B3473" s="24">
        <v>9</v>
      </c>
      <c r="C3473" t="s">
        <v>200</v>
      </c>
      <c r="D3473" t="s">
        <v>69</v>
      </c>
      <c r="E3473" t="s">
        <v>216</v>
      </c>
      <c r="F3473" t="s">
        <v>69</v>
      </c>
      <c r="H3473" t="s">
        <v>10</v>
      </c>
      <c r="I3473" t="s">
        <v>217</v>
      </c>
      <c r="J3473">
        <v>11</v>
      </c>
      <c r="N3473">
        <f>Таблица1[[#This Row],[Часов на заказчика  в работе]]+Таблица1[[#This Row],[Часов на заказчика  дежурство]]</f>
        <v>0</v>
      </c>
      <c r="O34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3" s="9"/>
      <c r="R3473" s="9"/>
      <c r="S3473" s="5">
        <v>1</v>
      </c>
      <c r="T34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табеле]])*S3473,0)</f>
        <v>0</v>
      </c>
      <c r="U3473" s="5">
        <f>IF(Таблица1[[#This Row],[ТТН]]&gt;0,Таблица1[[#This Row],[Ставка за ТТН]]*Таблица1[[#This Row],[ТТН]],0)</f>
        <v>0</v>
      </c>
    </row>
    <row r="3474" spans="1:21" x14ac:dyDescent="0.25">
      <c r="A3474" t="s">
        <v>84</v>
      </c>
      <c r="B3474" s="24">
        <v>10</v>
      </c>
      <c r="C3474" t="s">
        <v>200</v>
      </c>
      <c r="D3474" t="s">
        <v>69</v>
      </c>
      <c r="E3474" t="s">
        <v>216</v>
      </c>
      <c r="F3474" t="s">
        <v>69</v>
      </c>
      <c r="H3474" t="s">
        <v>10</v>
      </c>
      <c r="I3474" t="s">
        <v>217</v>
      </c>
      <c r="J3474">
        <v>11</v>
      </c>
      <c r="N3474">
        <f>Таблица1[[#This Row],[Часов на заказчика  в работе]]+Таблица1[[#This Row],[Часов на заказчика  дежурство]]</f>
        <v>0</v>
      </c>
      <c r="O34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4" s="9"/>
      <c r="R3474" s="9"/>
      <c r="S3474" s="5">
        <v>1</v>
      </c>
      <c r="T34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табеле]])*S3474,0)</f>
        <v>0</v>
      </c>
      <c r="U3474" s="5">
        <f>IF(Таблица1[[#This Row],[ТТН]]&gt;0,Таблица1[[#This Row],[Ставка за ТТН]]*Таблица1[[#This Row],[ТТН]],0)</f>
        <v>0</v>
      </c>
    </row>
    <row r="3475" spans="1:21" x14ac:dyDescent="0.25">
      <c r="A3475" t="s">
        <v>84</v>
      </c>
      <c r="B3475" s="24">
        <v>11</v>
      </c>
      <c r="C3475" t="s">
        <v>200</v>
      </c>
      <c r="D3475" t="s">
        <v>69</v>
      </c>
      <c r="E3475" t="s">
        <v>216</v>
      </c>
      <c r="F3475" t="s">
        <v>69</v>
      </c>
      <c r="H3475" t="s">
        <v>10</v>
      </c>
      <c r="I3475" t="s">
        <v>217</v>
      </c>
      <c r="J3475">
        <v>11</v>
      </c>
      <c r="N3475">
        <f>Таблица1[[#This Row],[Часов на заказчика  в работе]]+Таблица1[[#This Row],[Часов на заказчика  дежурство]]</f>
        <v>0</v>
      </c>
      <c r="O34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5" s="9"/>
      <c r="R3475" s="9"/>
      <c r="S3475" s="5">
        <v>1</v>
      </c>
      <c r="T34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табеле]])*S3475,0)</f>
        <v>0</v>
      </c>
      <c r="U3475" s="5">
        <f>IF(Таблица1[[#This Row],[ТТН]]&gt;0,Таблица1[[#This Row],[Ставка за ТТН]]*Таблица1[[#This Row],[ТТН]],0)</f>
        <v>0</v>
      </c>
    </row>
    <row r="3476" spans="1:21" x14ac:dyDescent="0.25">
      <c r="A3476" t="s">
        <v>84</v>
      </c>
      <c r="B3476" s="24">
        <v>12</v>
      </c>
      <c r="C3476" t="s">
        <v>200</v>
      </c>
      <c r="D3476" t="s">
        <v>69</v>
      </c>
      <c r="E3476" t="s">
        <v>216</v>
      </c>
      <c r="F3476" t="s">
        <v>69</v>
      </c>
      <c r="H3476" t="s">
        <v>10</v>
      </c>
      <c r="I3476" t="s">
        <v>217</v>
      </c>
      <c r="J3476">
        <v>11</v>
      </c>
      <c r="N3476">
        <f>Таблица1[[#This Row],[Часов на заказчика  в работе]]+Таблица1[[#This Row],[Часов на заказчика  дежурство]]</f>
        <v>0</v>
      </c>
      <c r="O34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6" s="9"/>
      <c r="R3476" s="9"/>
      <c r="S3476" s="5">
        <v>1</v>
      </c>
      <c r="T34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табеле]])*S3476,0)</f>
        <v>0</v>
      </c>
      <c r="U3476" s="5">
        <f>IF(Таблица1[[#This Row],[ТТН]]&gt;0,Таблица1[[#This Row],[Ставка за ТТН]]*Таблица1[[#This Row],[ТТН]],0)</f>
        <v>0</v>
      </c>
    </row>
    <row r="3477" spans="1:21" x14ac:dyDescent="0.25">
      <c r="A3477" t="s">
        <v>84</v>
      </c>
      <c r="B3477" s="24">
        <v>13</v>
      </c>
      <c r="C3477" t="s">
        <v>200</v>
      </c>
      <c r="D3477" t="s">
        <v>69</v>
      </c>
      <c r="E3477" t="s">
        <v>216</v>
      </c>
      <c r="F3477" t="s">
        <v>69</v>
      </c>
      <c r="H3477" t="s">
        <v>10</v>
      </c>
      <c r="I3477" t="s">
        <v>217</v>
      </c>
      <c r="J3477">
        <v>11</v>
      </c>
      <c r="N3477">
        <f>Таблица1[[#This Row],[Часов на заказчика  в работе]]+Таблица1[[#This Row],[Часов на заказчика  дежурство]]</f>
        <v>0</v>
      </c>
      <c r="O34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7" s="9"/>
      <c r="R3477" s="9"/>
      <c r="S3477" s="5">
        <v>1</v>
      </c>
      <c r="T34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табеле]])*S3477,0)</f>
        <v>0</v>
      </c>
      <c r="U3477" s="5">
        <f>IF(Таблица1[[#This Row],[ТТН]]&gt;0,Таблица1[[#This Row],[Ставка за ТТН]]*Таблица1[[#This Row],[ТТН]],0)</f>
        <v>0</v>
      </c>
    </row>
    <row r="3478" spans="1:21" x14ac:dyDescent="0.25">
      <c r="A3478" t="s">
        <v>84</v>
      </c>
      <c r="B3478" s="24">
        <v>14</v>
      </c>
      <c r="C3478" t="s">
        <v>200</v>
      </c>
      <c r="D3478" t="s">
        <v>69</v>
      </c>
      <c r="E3478" t="s">
        <v>216</v>
      </c>
      <c r="F3478" t="s">
        <v>69</v>
      </c>
      <c r="H3478" t="s">
        <v>10</v>
      </c>
      <c r="I3478" t="s">
        <v>217</v>
      </c>
      <c r="J3478">
        <v>11</v>
      </c>
      <c r="N3478">
        <f>Таблица1[[#This Row],[Часов на заказчика  в работе]]+Таблица1[[#This Row],[Часов на заказчика  дежурство]]</f>
        <v>0</v>
      </c>
      <c r="O34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8" s="9"/>
      <c r="R3478" s="9"/>
      <c r="S3478" s="5">
        <v>1</v>
      </c>
      <c r="T34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табеле]])*S3478,0)</f>
        <v>0</v>
      </c>
      <c r="U3478" s="5">
        <f>IF(Таблица1[[#This Row],[ТТН]]&gt;0,Таблица1[[#This Row],[Ставка за ТТН]]*Таблица1[[#This Row],[ТТН]],0)</f>
        <v>0</v>
      </c>
    </row>
    <row r="3479" spans="1:21" x14ac:dyDescent="0.25">
      <c r="A3479" t="s">
        <v>84</v>
      </c>
      <c r="B3479" s="24">
        <v>15</v>
      </c>
      <c r="C3479" t="s">
        <v>200</v>
      </c>
      <c r="D3479" t="s">
        <v>69</v>
      </c>
      <c r="E3479" t="s">
        <v>216</v>
      </c>
      <c r="F3479" t="s">
        <v>69</v>
      </c>
      <c r="H3479" t="s">
        <v>10</v>
      </c>
      <c r="I3479" t="s">
        <v>217</v>
      </c>
      <c r="J3479">
        <v>11</v>
      </c>
      <c r="N3479">
        <f>Таблица1[[#This Row],[Часов на заказчика  в работе]]+Таблица1[[#This Row],[Часов на заказчика  дежурство]]</f>
        <v>0</v>
      </c>
      <c r="O34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79" s="9"/>
      <c r="R3479" s="9"/>
      <c r="S3479" s="5">
        <v>1</v>
      </c>
      <c r="T34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табеле]])*S3479,0)</f>
        <v>0</v>
      </c>
      <c r="U3479" s="5">
        <f>IF(Таблица1[[#This Row],[ТТН]]&gt;0,Таблица1[[#This Row],[Ставка за ТТН]]*Таблица1[[#This Row],[ТТН]],0)</f>
        <v>0</v>
      </c>
    </row>
    <row r="3480" spans="1:21" x14ac:dyDescent="0.25">
      <c r="A3480" t="s">
        <v>84</v>
      </c>
      <c r="B3480" s="24">
        <v>16</v>
      </c>
      <c r="C3480" t="s">
        <v>200</v>
      </c>
      <c r="D3480" t="s">
        <v>69</v>
      </c>
      <c r="E3480" t="s">
        <v>216</v>
      </c>
      <c r="F3480" t="s">
        <v>69</v>
      </c>
      <c r="H3480" t="s">
        <v>10</v>
      </c>
      <c r="I3480" t="s">
        <v>217</v>
      </c>
      <c r="J3480">
        <v>11</v>
      </c>
      <c r="N3480">
        <f>Таблица1[[#This Row],[Часов на заказчика  в работе]]+Таблица1[[#This Row],[Часов на заказчика  дежурство]]</f>
        <v>0</v>
      </c>
      <c r="O34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0" s="9"/>
      <c r="R3480" s="9"/>
      <c r="S3480" s="5">
        <v>1</v>
      </c>
      <c r="T34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табеле]])*S3480,0)</f>
        <v>0</v>
      </c>
      <c r="U3480" s="5">
        <f>IF(Таблица1[[#This Row],[ТТН]]&gt;0,Таблица1[[#This Row],[Ставка за ТТН]]*Таблица1[[#This Row],[ТТН]],0)</f>
        <v>0</v>
      </c>
    </row>
    <row r="3481" spans="1:21" x14ac:dyDescent="0.25">
      <c r="A3481" t="s">
        <v>84</v>
      </c>
      <c r="B3481" s="24">
        <v>17</v>
      </c>
      <c r="C3481" t="s">
        <v>200</v>
      </c>
      <c r="D3481" t="s">
        <v>69</v>
      </c>
      <c r="E3481" t="s">
        <v>216</v>
      </c>
      <c r="F3481" t="s">
        <v>69</v>
      </c>
      <c r="H3481" t="s">
        <v>10</v>
      </c>
      <c r="I3481" t="s">
        <v>217</v>
      </c>
      <c r="J3481">
        <v>11</v>
      </c>
      <c r="N3481">
        <f>Таблица1[[#This Row],[Часов на заказчика  в работе]]+Таблица1[[#This Row],[Часов на заказчика  дежурство]]</f>
        <v>0</v>
      </c>
      <c r="O34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1" s="9"/>
      <c r="R3481" s="9"/>
      <c r="S3481" s="5">
        <v>1</v>
      </c>
      <c r="T34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табеле]])*S3481,0)</f>
        <v>0</v>
      </c>
      <c r="U3481" s="5">
        <f>IF(Таблица1[[#This Row],[ТТН]]&gt;0,Таблица1[[#This Row],[Ставка за ТТН]]*Таблица1[[#This Row],[ТТН]],0)</f>
        <v>0</v>
      </c>
    </row>
    <row r="3482" spans="1:21" x14ac:dyDescent="0.25">
      <c r="A3482" t="s">
        <v>84</v>
      </c>
      <c r="B3482" s="24">
        <v>18</v>
      </c>
      <c r="C3482" t="s">
        <v>200</v>
      </c>
      <c r="D3482" t="s">
        <v>69</v>
      </c>
      <c r="E3482" t="s">
        <v>216</v>
      </c>
      <c r="F3482" t="s">
        <v>69</v>
      </c>
      <c r="H3482" t="s">
        <v>10</v>
      </c>
      <c r="I3482" t="s">
        <v>217</v>
      </c>
      <c r="J3482">
        <v>11</v>
      </c>
      <c r="N3482">
        <f>Таблица1[[#This Row],[Часов на заказчика  в работе]]+Таблица1[[#This Row],[Часов на заказчика  дежурство]]</f>
        <v>0</v>
      </c>
      <c r="O34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2" s="9"/>
      <c r="R3482" s="9"/>
      <c r="S3482" s="5">
        <v>1</v>
      </c>
      <c r="T34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табеле]])*S3482,0)</f>
        <v>0</v>
      </c>
      <c r="U3482" s="5">
        <f>IF(Таблица1[[#This Row],[ТТН]]&gt;0,Таблица1[[#This Row],[Ставка за ТТН]]*Таблица1[[#This Row],[ТТН]],0)</f>
        <v>0</v>
      </c>
    </row>
    <row r="3483" spans="1:21" x14ac:dyDescent="0.25">
      <c r="A3483" t="s">
        <v>84</v>
      </c>
      <c r="B3483" s="24">
        <v>19</v>
      </c>
      <c r="C3483" t="s">
        <v>200</v>
      </c>
      <c r="D3483" t="s">
        <v>69</v>
      </c>
      <c r="E3483" t="s">
        <v>216</v>
      </c>
      <c r="F3483" t="s">
        <v>69</v>
      </c>
      <c r="H3483" t="s">
        <v>10</v>
      </c>
      <c r="I3483" t="s">
        <v>217</v>
      </c>
      <c r="J3483">
        <v>11</v>
      </c>
      <c r="N3483">
        <f>Таблица1[[#This Row],[Часов на заказчика  в работе]]+Таблица1[[#This Row],[Часов на заказчика  дежурство]]</f>
        <v>0</v>
      </c>
      <c r="O34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3" s="9"/>
      <c r="R3483" s="9"/>
      <c r="S3483" s="5">
        <v>1</v>
      </c>
      <c r="T34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табеле]])*S3483,0)</f>
        <v>0</v>
      </c>
      <c r="U3483" s="5">
        <f>IF(Таблица1[[#This Row],[ТТН]]&gt;0,Таблица1[[#This Row],[Ставка за ТТН]]*Таблица1[[#This Row],[ТТН]],0)</f>
        <v>0</v>
      </c>
    </row>
    <row r="3484" spans="1:21" x14ac:dyDescent="0.25">
      <c r="A3484" t="s">
        <v>84</v>
      </c>
      <c r="B3484" s="24">
        <v>20</v>
      </c>
      <c r="C3484" t="s">
        <v>200</v>
      </c>
      <c r="D3484" t="s">
        <v>69</v>
      </c>
      <c r="E3484" t="s">
        <v>216</v>
      </c>
      <c r="F3484" t="s">
        <v>69</v>
      </c>
      <c r="H3484" t="s">
        <v>10</v>
      </c>
      <c r="I3484" t="s">
        <v>217</v>
      </c>
      <c r="J3484">
        <v>11</v>
      </c>
      <c r="N3484">
        <f>Таблица1[[#This Row],[Часов на заказчика  в работе]]+Таблица1[[#This Row],[Часов на заказчика  дежурство]]</f>
        <v>0</v>
      </c>
      <c r="O34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4" s="9"/>
      <c r="R3484" s="9"/>
      <c r="S3484" s="5">
        <v>1</v>
      </c>
      <c r="T34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табеле]])*S3484,0)</f>
        <v>0</v>
      </c>
      <c r="U3484" s="5">
        <f>IF(Таблица1[[#This Row],[ТТН]]&gt;0,Таблица1[[#This Row],[Ставка за ТТН]]*Таблица1[[#This Row],[ТТН]],0)</f>
        <v>0</v>
      </c>
    </row>
    <row r="3485" spans="1:21" x14ac:dyDescent="0.25">
      <c r="A3485" t="s">
        <v>84</v>
      </c>
      <c r="B3485" s="24">
        <v>21</v>
      </c>
      <c r="C3485" t="s">
        <v>200</v>
      </c>
      <c r="D3485" t="s">
        <v>69</v>
      </c>
      <c r="E3485" t="s">
        <v>216</v>
      </c>
      <c r="F3485" t="s">
        <v>69</v>
      </c>
      <c r="H3485" t="s">
        <v>10</v>
      </c>
      <c r="I3485" t="s">
        <v>217</v>
      </c>
      <c r="J3485">
        <v>11</v>
      </c>
      <c r="N3485">
        <f>Таблица1[[#This Row],[Часов на заказчика  в работе]]+Таблица1[[#This Row],[Часов на заказчика  дежурство]]</f>
        <v>0</v>
      </c>
      <c r="O34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5" s="9"/>
      <c r="R3485" s="9"/>
      <c r="S3485" s="5">
        <v>1</v>
      </c>
      <c r="T34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табеле]])*S3485,0)</f>
        <v>0</v>
      </c>
      <c r="U3485" s="5">
        <f>IF(Таблица1[[#This Row],[ТТН]]&gt;0,Таблица1[[#This Row],[Ставка за ТТН]]*Таблица1[[#This Row],[ТТН]],0)</f>
        <v>0</v>
      </c>
    </row>
    <row r="3486" spans="1:21" x14ac:dyDescent="0.25">
      <c r="A3486" t="s">
        <v>84</v>
      </c>
      <c r="B3486" s="24">
        <v>22</v>
      </c>
      <c r="C3486" t="s">
        <v>200</v>
      </c>
      <c r="D3486" t="s">
        <v>69</v>
      </c>
      <c r="E3486" t="s">
        <v>216</v>
      </c>
      <c r="F3486" t="s">
        <v>69</v>
      </c>
      <c r="H3486" t="s">
        <v>10</v>
      </c>
      <c r="I3486" t="s">
        <v>217</v>
      </c>
      <c r="J3486">
        <v>11</v>
      </c>
      <c r="N3486">
        <f>Таблица1[[#This Row],[Часов на заказчика  в работе]]+Таблица1[[#This Row],[Часов на заказчика  дежурство]]</f>
        <v>0</v>
      </c>
      <c r="O34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6" s="9"/>
      <c r="R3486" s="9"/>
      <c r="S3486" s="5">
        <v>1</v>
      </c>
      <c r="T34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табеле]])*S3486,0)</f>
        <v>0</v>
      </c>
      <c r="U3486" s="5">
        <f>IF(Таблица1[[#This Row],[ТТН]]&gt;0,Таблица1[[#This Row],[Ставка за ТТН]]*Таблица1[[#This Row],[ТТН]],0)</f>
        <v>0</v>
      </c>
    </row>
    <row r="3487" spans="1:21" x14ac:dyDescent="0.25">
      <c r="A3487" t="s">
        <v>84</v>
      </c>
      <c r="B3487" s="24">
        <v>23</v>
      </c>
      <c r="C3487" t="s">
        <v>200</v>
      </c>
      <c r="D3487" t="s">
        <v>69</v>
      </c>
      <c r="E3487" t="s">
        <v>216</v>
      </c>
      <c r="F3487" t="s">
        <v>69</v>
      </c>
      <c r="H3487" t="s">
        <v>10</v>
      </c>
      <c r="I3487" t="s">
        <v>217</v>
      </c>
      <c r="J3487">
        <v>11</v>
      </c>
      <c r="N3487">
        <f>Таблица1[[#This Row],[Часов на заказчика  в работе]]+Таблица1[[#This Row],[Часов на заказчика  дежурство]]</f>
        <v>0</v>
      </c>
      <c r="O34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7" s="9"/>
      <c r="R3487" s="9"/>
      <c r="S3487" s="5">
        <v>1</v>
      </c>
      <c r="T34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табеле]])*S3487,0)</f>
        <v>0</v>
      </c>
      <c r="U3487" s="5">
        <f>IF(Таблица1[[#This Row],[ТТН]]&gt;0,Таблица1[[#This Row],[Ставка за ТТН]]*Таблица1[[#This Row],[ТТН]],0)</f>
        <v>0</v>
      </c>
    </row>
    <row r="3488" spans="1:21" x14ac:dyDescent="0.25">
      <c r="A3488" t="s">
        <v>84</v>
      </c>
      <c r="B3488" s="24">
        <v>24</v>
      </c>
      <c r="C3488" t="s">
        <v>200</v>
      </c>
      <c r="D3488" t="s">
        <v>69</v>
      </c>
      <c r="E3488" t="s">
        <v>216</v>
      </c>
      <c r="F3488" t="s">
        <v>69</v>
      </c>
      <c r="H3488" t="s">
        <v>10</v>
      </c>
      <c r="I3488" t="s">
        <v>217</v>
      </c>
      <c r="J3488">
        <v>11</v>
      </c>
      <c r="N3488">
        <f>Таблица1[[#This Row],[Часов на заказчика  в работе]]+Таблица1[[#This Row],[Часов на заказчика  дежурство]]</f>
        <v>0</v>
      </c>
      <c r="O34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8" s="9"/>
      <c r="R3488" s="9"/>
      <c r="S3488" s="5">
        <v>1</v>
      </c>
      <c r="T34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табеле]])*S3488,0)</f>
        <v>0</v>
      </c>
      <c r="U3488" s="5">
        <f>IF(Таблица1[[#This Row],[ТТН]]&gt;0,Таблица1[[#This Row],[Ставка за ТТН]]*Таблица1[[#This Row],[ТТН]],0)</f>
        <v>0</v>
      </c>
    </row>
    <row r="3489" spans="1:21" x14ac:dyDescent="0.25">
      <c r="A3489" t="s">
        <v>84</v>
      </c>
      <c r="B3489" s="24">
        <v>25</v>
      </c>
      <c r="C3489" t="s">
        <v>200</v>
      </c>
      <c r="D3489" t="s">
        <v>69</v>
      </c>
      <c r="E3489" t="s">
        <v>216</v>
      </c>
      <c r="F3489" t="s">
        <v>69</v>
      </c>
      <c r="H3489" t="s">
        <v>10</v>
      </c>
      <c r="I3489" t="s">
        <v>217</v>
      </c>
      <c r="J3489">
        <v>11</v>
      </c>
      <c r="N3489">
        <f>Таблица1[[#This Row],[Часов на заказчика  в работе]]+Таблица1[[#This Row],[Часов на заказчика  дежурство]]</f>
        <v>0</v>
      </c>
      <c r="O34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89" s="9"/>
      <c r="R3489" s="9"/>
      <c r="S3489" s="5">
        <v>1</v>
      </c>
      <c r="T34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табеле]])*S3489,0)</f>
        <v>0</v>
      </c>
      <c r="U3489" s="5">
        <f>IF(Таблица1[[#This Row],[ТТН]]&gt;0,Таблица1[[#This Row],[Ставка за ТТН]]*Таблица1[[#This Row],[ТТН]],0)</f>
        <v>0</v>
      </c>
    </row>
    <row r="3490" spans="1:21" x14ac:dyDescent="0.25">
      <c r="A3490" t="s">
        <v>84</v>
      </c>
      <c r="B3490" s="24">
        <v>26</v>
      </c>
      <c r="C3490" t="s">
        <v>200</v>
      </c>
      <c r="D3490" t="s">
        <v>69</v>
      </c>
      <c r="E3490" t="s">
        <v>216</v>
      </c>
      <c r="F3490" t="s">
        <v>69</v>
      </c>
      <c r="H3490" t="s">
        <v>10</v>
      </c>
      <c r="I3490" t="s">
        <v>217</v>
      </c>
      <c r="J3490">
        <v>11</v>
      </c>
      <c r="N3490">
        <f>Таблица1[[#This Row],[Часов на заказчика  в работе]]+Таблица1[[#This Row],[Часов на заказчика  дежурство]]</f>
        <v>0</v>
      </c>
      <c r="O34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0" s="9"/>
      <c r="R3490" s="9"/>
      <c r="S3490" s="5">
        <v>1</v>
      </c>
      <c r="T34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табеле]])*S3490,0)</f>
        <v>0</v>
      </c>
      <c r="U3490" s="5">
        <f>IF(Таблица1[[#This Row],[ТТН]]&gt;0,Таблица1[[#This Row],[Ставка за ТТН]]*Таблица1[[#This Row],[ТТН]],0)</f>
        <v>0</v>
      </c>
    </row>
    <row r="3491" spans="1:21" x14ac:dyDescent="0.25">
      <c r="A3491" t="s">
        <v>84</v>
      </c>
      <c r="B3491" s="24">
        <v>27</v>
      </c>
      <c r="C3491" t="s">
        <v>200</v>
      </c>
      <c r="D3491" t="s">
        <v>69</v>
      </c>
      <c r="E3491" t="s">
        <v>216</v>
      </c>
      <c r="F3491" t="s">
        <v>69</v>
      </c>
      <c r="H3491" t="s">
        <v>10</v>
      </c>
      <c r="I3491" t="s">
        <v>217</v>
      </c>
      <c r="J3491">
        <v>11</v>
      </c>
      <c r="N3491">
        <f>Таблица1[[#This Row],[Часов на заказчика  в работе]]+Таблица1[[#This Row],[Часов на заказчика  дежурство]]</f>
        <v>0</v>
      </c>
      <c r="O34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1" s="9"/>
      <c r="R3491" s="9"/>
      <c r="S3491" s="5">
        <v>1</v>
      </c>
      <c r="T34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табеле]])*S3491,0)</f>
        <v>0</v>
      </c>
      <c r="U3491" s="5">
        <f>IF(Таблица1[[#This Row],[ТТН]]&gt;0,Таблица1[[#This Row],[Ставка за ТТН]]*Таблица1[[#This Row],[ТТН]],0)</f>
        <v>0</v>
      </c>
    </row>
    <row r="3492" spans="1:21" x14ac:dyDescent="0.25">
      <c r="A3492" t="s">
        <v>84</v>
      </c>
      <c r="B3492" s="24">
        <v>28</v>
      </c>
      <c r="C3492" t="s">
        <v>200</v>
      </c>
      <c r="D3492" t="s">
        <v>69</v>
      </c>
      <c r="E3492" t="s">
        <v>216</v>
      </c>
      <c r="F3492" t="s">
        <v>69</v>
      </c>
      <c r="H3492" t="s">
        <v>10</v>
      </c>
      <c r="I3492" t="s">
        <v>217</v>
      </c>
      <c r="J3492">
        <v>11</v>
      </c>
      <c r="N3492">
        <f>Таблица1[[#This Row],[Часов на заказчика  в работе]]+Таблица1[[#This Row],[Часов на заказчика  дежурство]]</f>
        <v>0</v>
      </c>
      <c r="O34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2" s="9"/>
      <c r="R3492" s="9"/>
      <c r="S3492" s="5">
        <v>1</v>
      </c>
      <c r="T34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табеле]])*S3492,0)</f>
        <v>0</v>
      </c>
      <c r="U3492" s="5">
        <f>IF(Таблица1[[#This Row],[ТТН]]&gt;0,Таблица1[[#This Row],[Ставка за ТТН]]*Таблица1[[#This Row],[ТТН]],0)</f>
        <v>0</v>
      </c>
    </row>
    <row r="3493" spans="1:21" x14ac:dyDescent="0.25">
      <c r="A3493" t="s">
        <v>84</v>
      </c>
      <c r="B3493" s="24">
        <v>29</v>
      </c>
      <c r="C3493" t="s">
        <v>200</v>
      </c>
      <c r="D3493" t="s">
        <v>69</v>
      </c>
      <c r="E3493" t="s">
        <v>216</v>
      </c>
      <c r="F3493" t="s">
        <v>69</v>
      </c>
      <c r="H3493" t="s">
        <v>10</v>
      </c>
      <c r="I3493" t="s">
        <v>217</v>
      </c>
      <c r="J3493">
        <v>11</v>
      </c>
      <c r="N3493">
        <f>Таблица1[[#This Row],[Часов на заказчика  в работе]]+Таблица1[[#This Row],[Часов на заказчика  дежурство]]</f>
        <v>0</v>
      </c>
      <c r="O34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3" s="9"/>
      <c r="R3493" s="9"/>
      <c r="S3493" s="5">
        <v>1</v>
      </c>
      <c r="T34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табеле]])*S3493,0)</f>
        <v>0</v>
      </c>
      <c r="U3493" s="5">
        <f>IF(Таблица1[[#This Row],[ТТН]]&gt;0,Таблица1[[#This Row],[Ставка за ТТН]]*Таблица1[[#This Row],[ТТН]],0)</f>
        <v>0</v>
      </c>
    </row>
    <row r="3494" spans="1:21" x14ac:dyDescent="0.25">
      <c r="A3494" t="s">
        <v>84</v>
      </c>
      <c r="B3494" s="24">
        <v>30</v>
      </c>
      <c r="C3494" t="s">
        <v>201</v>
      </c>
      <c r="D3494" t="s">
        <v>69</v>
      </c>
      <c r="E3494" t="s">
        <v>216</v>
      </c>
      <c r="F3494" t="s">
        <v>69</v>
      </c>
      <c r="H3494" t="s">
        <v>10</v>
      </c>
      <c r="I3494" t="s">
        <v>217</v>
      </c>
      <c r="J3494">
        <v>11</v>
      </c>
      <c r="N3494">
        <f>Таблица1[[#This Row],[Часов на заказчика  в работе]]+Таблица1[[#This Row],[Часов на заказчика  дежурство]]</f>
        <v>0</v>
      </c>
      <c r="O34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4" s="9"/>
      <c r="R3494" s="9"/>
      <c r="S3494" s="5">
        <v>1</v>
      </c>
      <c r="T34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табеле]])*S3494,0)</f>
        <v>0</v>
      </c>
      <c r="U3494" s="5">
        <f>IF(Таблица1[[#This Row],[ТТН]]&gt;0,Таблица1[[#This Row],[Ставка за ТТН]]*Таблица1[[#This Row],[ТТН]],0)</f>
        <v>0</v>
      </c>
    </row>
    <row r="3495" spans="1:21" x14ac:dyDescent="0.25">
      <c r="B3495" s="24">
        <v>1</v>
      </c>
      <c r="C3495" t="s">
        <v>201</v>
      </c>
      <c r="D3495" t="s">
        <v>12</v>
      </c>
      <c r="E3495" t="s">
        <v>215</v>
      </c>
      <c r="F3495" t="s">
        <v>66</v>
      </c>
      <c r="H3495" t="s">
        <v>10</v>
      </c>
      <c r="I3495" t="s">
        <v>219</v>
      </c>
      <c r="J3495">
        <v>11</v>
      </c>
      <c r="N3495">
        <f>Таблица1[[#This Row],[Часов на заказчика  в работе]]+Таблица1[[#This Row],[Часов на заказчика  дежурство]]</f>
        <v>0</v>
      </c>
      <c r="O34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5" s="9">
        <v>162000</v>
      </c>
      <c r="R3495" s="9"/>
      <c r="S3495" s="5">
        <v>1</v>
      </c>
      <c r="T34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табеле]])*S3495,0)</f>
        <v>5400</v>
      </c>
      <c r="U3495" s="5">
        <f>IF(Таблица1[[#This Row],[ТТН]]&gt;0,Таблица1[[#This Row],[Ставка за ТТН]]*Таблица1[[#This Row],[ТТН]],0)</f>
        <v>0</v>
      </c>
    </row>
    <row r="3496" spans="1:21" x14ac:dyDescent="0.25">
      <c r="B3496" s="24">
        <v>2</v>
      </c>
      <c r="C3496" t="s">
        <v>201</v>
      </c>
      <c r="D3496" t="s">
        <v>12</v>
      </c>
      <c r="E3496" t="s">
        <v>215</v>
      </c>
      <c r="F3496" t="s">
        <v>66</v>
      </c>
      <c r="H3496" t="s">
        <v>10</v>
      </c>
      <c r="I3496" t="s">
        <v>219</v>
      </c>
      <c r="J3496">
        <v>11</v>
      </c>
      <c r="N3496">
        <f>Таблица1[[#This Row],[Часов на заказчика  в работе]]+Таблица1[[#This Row],[Часов на заказчика  дежурство]]</f>
        <v>0</v>
      </c>
      <c r="O34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6" s="9">
        <v>162000</v>
      </c>
      <c r="R3496" s="9"/>
      <c r="S3496" s="5">
        <v>1</v>
      </c>
      <c r="T34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табеле]])*S3496,0)</f>
        <v>5400</v>
      </c>
      <c r="U3496" s="5">
        <f>IF(Таблица1[[#This Row],[ТТН]]&gt;0,Таблица1[[#This Row],[Ставка за ТТН]]*Таблица1[[#This Row],[ТТН]],0)</f>
        <v>0</v>
      </c>
    </row>
    <row r="3497" spans="1:21" x14ac:dyDescent="0.25">
      <c r="B3497" s="24">
        <v>3</v>
      </c>
      <c r="C3497" t="s">
        <v>201</v>
      </c>
      <c r="D3497" t="s">
        <v>12</v>
      </c>
      <c r="E3497" t="s">
        <v>215</v>
      </c>
      <c r="F3497" t="s">
        <v>66</v>
      </c>
      <c r="H3497" t="s">
        <v>38</v>
      </c>
      <c r="I3497" t="s">
        <v>217</v>
      </c>
      <c r="J3497">
        <v>11</v>
      </c>
      <c r="N3497">
        <f>Таблица1[[#This Row],[Часов на заказчика  в работе]]+Таблица1[[#This Row],[Часов на заказчика  дежурство]]</f>
        <v>0</v>
      </c>
      <c r="O34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7" s="9">
        <v>162000</v>
      </c>
      <c r="R3497" s="9"/>
      <c r="S3497" s="5">
        <v>1</v>
      </c>
      <c r="T34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табеле]])*S3497,0)</f>
        <v>5400</v>
      </c>
      <c r="U3497" s="5">
        <f>IF(Таблица1[[#This Row],[ТТН]]&gt;0,Таблица1[[#This Row],[Ставка за ТТН]]*Таблица1[[#This Row],[ТТН]],0)</f>
        <v>0</v>
      </c>
    </row>
    <row r="3498" spans="1:21" x14ac:dyDescent="0.25">
      <c r="B3498" s="24">
        <v>4</v>
      </c>
      <c r="C3498" t="s">
        <v>201</v>
      </c>
      <c r="D3498" t="s">
        <v>12</v>
      </c>
      <c r="E3498" t="s">
        <v>215</v>
      </c>
      <c r="F3498" t="s">
        <v>66</v>
      </c>
      <c r="H3498" t="s">
        <v>10</v>
      </c>
      <c r="I3498" t="s">
        <v>219</v>
      </c>
      <c r="J3498">
        <v>11</v>
      </c>
      <c r="N3498">
        <f>Таблица1[[#This Row],[Часов на заказчика  в работе]]+Таблица1[[#This Row],[Часов на заказчика  дежурство]]</f>
        <v>0</v>
      </c>
      <c r="O34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8" s="9">
        <v>162000</v>
      </c>
      <c r="R3498" s="9"/>
      <c r="S3498" s="5">
        <v>1</v>
      </c>
      <c r="T34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табеле]])*S3498,0)</f>
        <v>5400</v>
      </c>
      <c r="U3498" s="5">
        <f>IF(Таблица1[[#This Row],[ТТН]]&gt;0,Таблица1[[#This Row],[Ставка за ТТН]]*Таблица1[[#This Row],[ТТН]],0)</f>
        <v>0</v>
      </c>
    </row>
    <row r="3499" spans="1:21" x14ac:dyDescent="0.25">
      <c r="B3499" s="24">
        <v>5</v>
      </c>
      <c r="C3499" t="s">
        <v>201</v>
      </c>
      <c r="D3499" t="s">
        <v>12</v>
      </c>
      <c r="E3499" t="s">
        <v>215</v>
      </c>
      <c r="F3499" t="s">
        <v>66</v>
      </c>
      <c r="H3499" t="s">
        <v>10</v>
      </c>
      <c r="I3499" t="s">
        <v>219</v>
      </c>
      <c r="J3499">
        <v>11</v>
      </c>
      <c r="N3499">
        <f>Таблица1[[#This Row],[Часов на заказчика  в работе]]+Таблица1[[#This Row],[Часов на заказчика  дежурство]]</f>
        <v>0</v>
      </c>
      <c r="O34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499" s="9">
        <v>162000</v>
      </c>
      <c r="R3499" s="9"/>
      <c r="S3499" s="5">
        <v>1</v>
      </c>
      <c r="T34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табеле]])*S3499,0)</f>
        <v>5400</v>
      </c>
      <c r="U3499" s="5">
        <f>IF(Таблица1[[#This Row],[ТТН]]&gt;0,Таблица1[[#This Row],[Ставка за ТТН]]*Таблица1[[#This Row],[ТТН]],0)</f>
        <v>0</v>
      </c>
    </row>
    <row r="3500" spans="1:21" x14ac:dyDescent="0.25">
      <c r="B3500" s="24">
        <v>6</v>
      </c>
      <c r="C3500" t="s">
        <v>201</v>
      </c>
      <c r="D3500" t="s">
        <v>12</v>
      </c>
      <c r="E3500" t="s">
        <v>215</v>
      </c>
      <c r="F3500" t="s">
        <v>66</v>
      </c>
      <c r="H3500" t="s">
        <v>10</v>
      </c>
      <c r="I3500" t="s">
        <v>219</v>
      </c>
      <c r="J3500">
        <v>11</v>
      </c>
      <c r="K3500">
        <v>1</v>
      </c>
      <c r="N3500">
        <f>Таблица1[[#This Row],[Часов на заказчика  в работе]]+Таблица1[[#This Row],[Часов на заказчика  дежурство]]</f>
        <v>0</v>
      </c>
      <c r="O35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0" s="9">
        <v>162000</v>
      </c>
      <c r="R3500" s="9">
        <v>5000</v>
      </c>
      <c r="S3500" s="5">
        <v>1</v>
      </c>
      <c r="T35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табеле]])*S3500,0)</f>
        <v>5400</v>
      </c>
      <c r="U3500" s="5">
        <f>IF(Таблица1[[#This Row],[ТТН]]&gt;0,Таблица1[[#This Row],[Ставка за ТТН]]*Таблица1[[#This Row],[ТТН]],0)</f>
        <v>5000</v>
      </c>
    </row>
    <row r="3501" spans="1:21" x14ac:dyDescent="0.25">
      <c r="B3501" s="24">
        <v>7</v>
      </c>
      <c r="C3501" t="s">
        <v>201</v>
      </c>
      <c r="D3501" t="s">
        <v>12</v>
      </c>
      <c r="E3501" t="s">
        <v>215</v>
      </c>
      <c r="F3501" t="s">
        <v>66</v>
      </c>
      <c r="H3501" t="s">
        <v>10</v>
      </c>
      <c r="I3501" t="s">
        <v>219</v>
      </c>
      <c r="J3501">
        <v>22</v>
      </c>
      <c r="N3501">
        <f>Таблица1[[#This Row],[Часов на заказчика  в работе]]+Таблица1[[#This Row],[Часов на заказчика  дежурство]]</f>
        <v>0</v>
      </c>
      <c r="O35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1" s="9">
        <v>162000</v>
      </c>
      <c r="R3501" s="9"/>
      <c r="S3501" s="5">
        <v>1</v>
      </c>
      <c r="T35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табеле]])*S3501,0)</f>
        <v>10800</v>
      </c>
      <c r="U3501" s="5">
        <f>IF(Таблица1[[#This Row],[ТТН]]&gt;0,Таблица1[[#This Row],[Ставка за ТТН]]*Таблица1[[#This Row],[ТТН]],0)</f>
        <v>0</v>
      </c>
    </row>
    <row r="3502" spans="1:21" x14ac:dyDescent="0.25">
      <c r="B3502" s="24">
        <v>8</v>
      </c>
      <c r="C3502" t="s">
        <v>201</v>
      </c>
      <c r="D3502" t="s">
        <v>12</v>
      </c>
      <c r="E3502" t="s">
        <v>215</v>
      </c>
      <c r="F3502" t="s">
        <v>66</v>
      </c>
      <c r="H3502" t="s">
        <v>10</v>
      </c>
      <c r="I3502" t="s">
        <v>219</v>
      </c>
      <c r="J3502">
        <v>11</v>
      </c>
      <c r="N3502">
        <f>Таблица1[[#This Row],[Часов на заказчика  в работе]]+Таблица1[[#This Row],[Часов на заказчика  дежурство]]</f>
        <v>0</v>
      </c>
      <c r="O35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2" s="9">
        <v>162000</v>
      </c>
      <c r="R3502" s="9"/>
      <c r="S3502" s="5">
        <v>1</v>
      </c>
      <c r="T35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табеле]])*S3502,0)</f>
        <v>5400</v>
      </c>
      <c r="U3502" s="5">
        <f>IF(Таблица1[[#This Row],[ТТН]]&gt;0,Таблица1[[#This Row],[Ставка за ТТН]]*Таблица1[[#This Row],[ТТН]],0)</f>
        <v>0</v>
      </c>
    </row>
    <row r="3503" spans="1:21" x14ac:dyDescent="0.25">
      <c r="B3503" s="24">
        <v>9</v>
      </c>
      <c r="C3503" t="s">
        <v>201</v>
      </c>
      <c r="D3503" t="s">
        <v>12</v>
      </c>
      <c r="E3503" t="s">
        <v>215</v>
      </c>
      <c r="F3503" t="s">
        <v>66</v>
      </c>
      <c r="H3503" t="s">
        <v>10</v>
      </c>
      <c r="I3503" t="s">
        <v>219</v>
      </c>
      <c r="J3503">
        <v>22</v>
      </c>
      <c r="N3503">
        <f>Таблица1[[#This Row],[Часов на заказчика  в работе]]+Таблица1[[#This Row],[Часов на заказчика  дежурство]]</f>
        <v>0</v>
      </c>
      <c r="O35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3" s="9">
        <v>162000</v>
      </c>
      <c r="R3503" s="9"/>
      <c r="S3503" s="5">
        <v>1</v>
      </c>
      <c r="T35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табеле]])*S3503,0)</f>
        <v>10800</v>
      </c>
      <c r="U3503" s="5">
        <f>IF(Таблица1[[#This Row],[ТТН]]&gt;0,Таблица1[[#This Row],[Ставка за ТТН]]*Таблица1[[#This Row],[ТТН]],0)</f>
        <v>0</v>
      </c>
    </row>
    <row r="3504" spans="1:21" x14ac:dyDescent="0.25">
      <c r="B3504" s="24">
        <v>10</v>
      </c>
      <c r="C3504" t="s">
        <v>201</v>
      </c>
      <c r="D3504" t="s">
        <v>12</v>
      </c>
      <c r="E3504" t="s">
        <v>215</v>
      </c>
      <c r="F3504" t="s">
        <v>66</v>
      </c>
      <c r="H3504" t="s">
        <v>10</v>
      </c>
      <c r="I3504" t="s">
        <v>219</v>
      </c>
      <c r="J3504">
        <v>22</v>
      </c>
      <c r="N3504">
        <f>Таблица1[[#This Row],[Часов на заказчика  в работе]]+Таблица1[[#This Row],[Часов на заказчика  дежурство]]</f>
        <v>0</v>
      </c>
      <c r="O35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4" s="9">
        <v>162000</v>
      </c>
      <c r="R3504" s="9"/>
      <c r="S3504" s="5">
        <v>1</v>
      </c>
      <c r="T35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табеле]])*S3504,0)</f>
        <v>10800</v>
      </c>
      <c r="U3504" s="5">
        <f>IF(Таблица1[[#This Row],[ТТН]]&gt;0,Таблица1[[#This Row],[Ставка за ТТН]]*Таблица1[[#This Row],[ТТН]],0)</f>
        <v>0</v>
      </c>
    </row>
    <row r="3505" spans="1:21" x14ac:dyDescent="0.25">
      <c r="B3505" s="24">
        <v>11</v>
      </c>
      <c r="C3505" t="s">
        <v>201</v>
      </c>
      <c r="D3505" t="s">
        <v>12</v>
      </c>
      <c r="E3505" t="s">
        <v>215</v>
      </c>
      <c r="F3505" t="s">
        <v>66</v>
      </c>
      <c r="H3505" t="s">
        <v>10</v>
      </c>
      <c r="I3505" t="s">
        <v>219</v>
      </c>
      <c r="J3505">
        <v>11</v>
      </c>
      <c r="K3505">
        <v>1</v>
      </c>
      <c r="N3505">
        <f>Таблица1[[#This Row],[Часов на заказчика  в работе]]+Таблица1[[#This Row],[Часов на заказчика  дежурство]]</f>
        <v>0</v>
      </c>
      <c r="O35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5" s="9">
        <v>162000</v>
      </c>
      <c r="R3505" s="9">
        <v>2000</v>
      </c>
      <c r="S3505" s="5">
        <v>1</v>
      </c>
      <c r="T35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табеле]])*S3505,0)</f>
        <v>5400</v>
      </c>
      <c r="U3505" s="5">
        <f>IF(Таблица1[[#This Row],[ТТН]]&gt;0,Таблица1[[#This Row],[Ставка за ТТН]]*Таблица1[[#This Row],[ТТН]],0)</f>
        <v>2000</v>
      </c>
    </row>
    <row r="3506" spans="1:21" x14ac:dyDescent="0.25">
      <c r="B3506" s="24">
        <v>12</v>
      </c>
      <c r="C3506" t="s">
        <v>201</v>
      </c>
      <c r="D3506" t="s">
        <v>12</v>
      </c>
      <c r="E3506" t="s">
        <v>215</v>
      </c>
      <c r="F3506" t="s">
        <v>66</v>
      </c>
      <c r="H3506" t="s">
        <v>10</v>
      </c>
      <c r="I3506" t="s">
        <v>219</v>
      </c>
      <c r="J3506">
        <v>11</v>
      </c>
      <c r="N3506">
        <f>Таблица1[[#This Row],[Часов на заказчика  в работе]]+Таблица1[[#This Row],[Часов на заказчика  дежурство]]</f>
        <v>0</v>
      </c>
      <c r="O35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6" s="9">
        <v>162000</v>
      </c>
      <c r="R3506" s="9"/>
      <c r="S3506" s="5">
        <v>1</v>
      </c>
      <c r="T35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табеле]])*S3506,0)</f>
        <v>5400</v>
      </c>
      <c r="U3506" s="5">
        <f>IF(Таблица1[[#This Row],[ТТН]]&gt;0,Таблица1[[#This Row],[Ставка за ТТН]]*Таблица1[[#This Row],[ТТН]],0)</f>
        <v>0</v>
      </c>
    </row>
    <row r="3507" spans="1:21" x14ac:dyDescent="0.25">
      <c r="B3507" s="24">
        <v>13</v>
      </c>
      <c r="C3507" t="s">
        <v>201</v>
      </c>
      <c r="D3507" t="s">
        <v>12</v>
      </c>
      <c r="E3507" t="s">
        <v>215</v>
      </c>
      <c r="F3507" t="s">
        <v>66</v>
      </c>
      <c r="H3507" t="s">
        <v>10</v>
      </c>
      <c r="I3507" t="s">
        <v>219</v>
      </c>
      <c r="J3507">
        <v>11</v>
      </c>
      <c r="K3507">
        <v>1</v>
      </c>
      <c r="N3507">
        <f>Таблица1[[#This Row],[Часов на заказчика  в работе]]+Таблица1[[#This Row],[Часов на заказчика  дежурство]]</f>
        <v>0</v>
      </c>
      <c r="O35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7" s="9">
        <v>162000</v>
      </c>
      <c r="R3507" s="9">
        <v>2000</v>
      </c>
      <c r="S3507" s="5">
        <v>1</v>
      </c>
      <c r="T35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табеле]])*S3507,0)</f>
        <v>5400</v>
      </c>
      <c r="U3507" s="5">
        <f>IF(Таблица1[[#This Row],[ТТН]]&gt;0,Таблица1[[#This Row],[Ставка за ТТН]]*Таблица1[[#This Row],[ТТН]],0)</f>
        <v>2000</v>
      </c>
    </row>
    <row r="3508" spans="1:21" x14ac:dyDescent="0.25">
      <c r="B3508" s="24">
        <v>14</v>
      </c>
      <c r="C3508" t="s">
        <v>201</v>
      </c>
      <c r="D3508" t="s">
        <v>12</v>
      </c>
      <c r="E3508" t="s">
        <v>215</v>
      </c>
      <c r="F3508" t="s">
        <v>66</v>
      </c>
      <c r="H3508" t="s">
        <v>10</v>
      </c>
      <c r="I3508" t="s">
        <v>219</v>
      </c>
      <c r="J3508">
        <v>22</v>
      </c>
      <c r="K3508">
        <v>2</v>
      </c>
      <c r="N3508">
        <f>Таблица1[[#This Row],[Часов на заказчика  в работе]]+Таблица1[[#This Row],[Часов на заказчика  дежурство]]</f>
        <v>0</v>
      </c>
      <c r="O35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8" s="9">
        <v>162000</v>
      </c>
      <c r="R3508" s="9">
        <v>2000</v>
      </c>
      <c r="S3508" s="5">
        <v>1</v>
      </c>
      <c r="T35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табеле]])*S3508,0)</f>
        <v>10800</v>
      </c>
      <c r="U3508" s="5">
        <f>IF(Таблица1[[#This Row],[ТТН]]&gt;0,Таблица1[[#This Row],[Ставка за ТТН]]*Таблица1[[#This Row],[ТТН]],0)</f>
        <v>4000</v>
      </c>
    </row>
    <row r="3509" spans="1:21" x14ac:dyDescent="0.25">
      <c r="B3509" s="24">
        <v>15</v>
      </c>
      <c r="C3509" t="s">
        <v>201</v>
      </c>
      <c r="D3509" t="s">
        <v>12</v>
      </c>
      <c r="E3509" t="s">
        <v>215</v>
      </c>
      <c r="F3509" t="s">
        <v>66</v>
      </c>
      <c r="H3509" t="s">
        <v>23</v>
      </c>
      <c r="I3509" t="s">
        <v>217</v>
      </c>
      <c r="J3509">
        <v>11</v>
      </c>
      <c r="N3509">
        <f>Таблица1[[#This Row],[Часов на заказчика  в работе]]+Таблица1[[#This Row],[Часов на заказчика  дежурство]]</f>
        <v>0</v>
      </c>
      <c r="O35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09" s="9">
        <v>162000</v>
      </c>
      <c r="R3509" s="9"/>
      <c r="S3509" s="5">
        <v>1</v>
      </c>
      <c r="T35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табеле]])*S3509,0)</f>
        <v>5400</v>
      </c>
      <c r="U3509" s="5">
        <f>IF(Таблица1[[#This Row],[ТТН]]&gt;0,Таблица1[[#This Row],[Ставка за ТТН]]*Таблица1[[#This Row],[ТТН]],0)</f>
        <v>0</v>
      </c>
    </row>
    <row r="3510" spans="1:21" x14ac:dyDescent="0.25">
      <c r="B3510" s="24">
        <v>16</v>
      </c>
      <c r="C3510" t="s">
        <v>201</v>
      </c>
      <c r="D3510" t="s">
        <v>12</v>
      </c>
      <c r="E3510" t="s">
        <v>215</v>
      </c>
      <c r="F3510" t="s">
        <v>66</v>
      </c>
      <c r="H3510" t="s">
        <v>23</v>
      </c>
      <c r="I3510" t="s">
        <v>217</v>
      </c>
      <c r="J3510">
        <v>11</v>
      </c>
      <c r="N3510">
        <f>Таблица1[[#This Row],[Часов на заказчика  в работе]]+Таблица1[[#This Row],[Часов на заказчика  дежурство]]</f>
        <v>0</v>
      </c>
      <c r="O35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0" s="9">
        <v>162000</v>
      </c>
      <c r="R3510" s="9"/>
      <c r="S3510" s="5">
        <v>1</v>
      </c>
      <c r="T35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табеле]])*S3510,0)</f>
        <v>5400</v>
      </c>
      <c r="U3510" s="5">
        <f>IF(Таблица1[[#This Row],[ТТН]]&gt;0,Таблица1[[#This Row],[Ставка за ТТН]]*Таблица1[[#This Row],[ТТН]],0)</f>
        <v>0</v>
      </c>
    </row>
    <row r="3511" spans="1:21" x14ac:dyDescent="0.25">
      <c r="B3511" s="24">
        <v>17</v>
      </c>
      <c r="C3511" t="s">
        <v>201</v>
      </c>
      <c r="D3511" t="s">
        <v>12</v>
      </c>
      <c r="E3511" t="s">
        <v>215</v>
      </c>
      <c r="F3511" t="s">
        <v>66</v>
      </c>
      <c r="H3511" t="s">
        <v>23</v>
      </c>
      <c r="I3511" t="s">
        <v>217</v>
      </c>
      <c r="J3511">
        <v>11</v>
      </c>
      <c r="N3511">
        <f>Таблица1[[#This Row],[Часов на заказчика  в работе]]+Таблица1[[#This Row],[Часов на заказчика  дежурство]]</f>
        <v>0</v>
      </c>
      <c r="O35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1" s="9">
        <v>162000</v>
      </c>
      <c r="R3511" s="9"/>
      <c r="S3511" s="5">
        <v>1</v>
      </c>
      <c r="T35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табеле]])*S3511,0)</f>
        <v>5400</v>
      </c>
      <c r="U3511" s="5">
        <f>IF(Таблица1[[#This Row],[ТТН]]&gt;0,Таблица1[[#This Row],[Ставка за ТТН]]*Таблица1[[#This Row],[ТТН]],0)</f>
        <v>0</v>
      </c>
    </row>
    <row r="3512" spans="1:21" x14ac:dyDescent="0.25">
      <c r="B3512" s="24">
        <v>18</v>
      </c>
      <c r="C3512" t="s">
        <v>201</v>
      </c>
      <c r="D3512" t="s">
        <v>12</v>
      </c>
      <c r="E3512" t="s">
        <v>215</v>
      </c>
      <c r="F3512" t="s">
        <v>66</v>
      </c>
      <c r="H3512" t="s">
        <v>23</v>
      </c>
      <c r="I3512" t="s">
        <v>217</v>
      </c>
      <c r="J3512">
        <v>11</v>
      </c>
      <c r="N3512">
        <f>Таблица1[[#This Row],[Часов на заказчика  в работе]]+Таблица1[[#This Row],[Часов на заказчика  дежурство]]</f>
        <v>0</v>
      </c>
      <c r="O35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2" s="9">
        <v>162000</v>
      </c>
      <c r="R3512" s="9"/>
      <c r="S3512" s="5">
        <v>1</v>
      </c>
      <c r="T35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табеле]])*S3512,0)</f>
        <v>5400</v>
      </c>
      <c r="U3512" s="5">
        <f>IF(Таблица1[[#This Row],[ТТН]]&gt;0,Таблица1[[#This Row],[Ставка за ТТН]]*Таблица1[[#This Row],[ТТН]],0)</f>
        <v>0</v>
      </c>
    </row>
    <row r="3513" spans="1:21" x14ac:dyDescent="0.25">
      <c r="B3513" s="24">
        <v>19</v>
      </c>
      <c r="C3513" t="s">
        <v>201</v>
      </c>
      <c r="D3513" t="s">
        <v>12</v>
      </c>
      <c r="E3513" t="s">
        <v>215</v>
      </c>
      <c r="F3513" t="s">
        <v>66</v>
      </c>
      <c r="H3513" t="s">
        <v>23</v>
      </c>
      <c r="I3513" t="s">
        <v>217</v>
      </c>
      <c r="J3513">
        <v>11</v>
      </c>
      <c r="N3513">
        <f>Таблица1[[#This Row],[Часов на заказчика  в работе]]+Таблица1[[#This Row],[Часов на заказчика  дежурство]]</f>
        <v>0</v>
      </c>
      <c r="O35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3" s="9">
        <v>162000</v>
      </c>
      <c r="R3513" s="9"/>
      <c r="S3513" s="5">
        <v>1</v>
      </c>
      <c r="T35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табеле]])*S3513,0)</f>
        <v>5400</v>
      </c>
      <c r="U3513" s="5">
        <f>IF(Таблица1[[#This Row],[ТТН]]&gt;0,Таблица1[[#This Row],[Ставка за ТТН]]*Таблица1[[#This Row],[ТТН]],0)</f>
        <v>0</v>
      </c>
    </row>
    <row r="3514" spans="1:21" x14ac:dyDescent="0.25">
      <c r="B3514" s="24">
        <v>20</v>
      </c>
      <c r="C3514" t="s">
        <v>201</v>
      </c>
      <c r="D3514" t="s">
        <v>12</v>
      </c>
      <c r="E3514" t="s">
        <v>215</v>
      </c>
      <c r="F3514" t="s">
        <v>66</v>
      </c>
      <c r="H3514" t="s">
        <v>23</v>
      </c>
      <c r="I3514" t="s">
        <v>217</v>
      </c>
      <c r="J3514">
        <v>11</v>
      </c>
      <c r="N3514">
        <f>Таблица1[[#This Row],[Часов на заказчика  в работе]]+Таблица1[[#This Row],[Часов на заказчика  дежурство]]</f>
        <v>0</v>
      </c>
      <c r="O35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4" s="9">
        <v>162000</v>
      </c>
      <c r="R3514" s="9"/>
      <c r="S3514" s="5">
        <v>1</v>
      </c>
      <c r="T35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табеле]])*S3514,0)</f>
        <v>5400</v>
      </c>
      <c r="U3514" s="5">
        <f>IF(Таблица1[[#This Row],[ТТН]]&gt;0,Таблица1[[#This Row],[Ставка за ТТН]]*Таблица1[[#This Row],[ТТН]],0)</f>
        <v>0</v>
      </c>
    </row>
    <row r="3515" spans="1:21" x14ac:dyDescent="0.25">
      <c r="A3515" t="s">
        <v>84</v>
      </c>
      <c r="B3515" s="24">
        <v>21</v>
      </c>
      <c r="C3515" t="s">
        <v>201</v>
      </c>
      <c r="D3515" t="s">
        <v>12</v>
      </c>
      <c r="E3515" t="s">
        <v>215</v>
      </c>
      <c r="F3515" t="s">
        <v>66</v>
      </c>
      <c r="H3515" t="s">
        <v>23</v>
      </c>
      <c r="I3515" t="s">
        <v>217</v>
      </c>
      <c r="J3515">
        <v>11</v>
      </c>
      <c r="N3515">
        <f>Таблица1[[#This Row],[Часов на заказчика  в работе]]+Таблица1[[#This Row],[Часов на заказчика  дежурство]]</f>
        <v>0</v>
      </c>
      <c r="O35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5" s="9">
        <v>162000</v>
      </c>
      <c r="R3515" s="9"/>
      <c r="S3515" s="5">
        <v>1</v>
      </c>
      <c r="T35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табеле]])*S3515,0)</f>
        <v>5400</v>
      </c>
      <c r="U3515" s="5">
        <f>IF(Таблица1[[#This Row],[ТТН]]&gt;0,Таблица1[[#This Row],[Ставка за ТТН]]*Таблица1[[#This Row],[ТТН]],0)</f>
        <v>0</v>
      </c>
    </row>
    <row r="3516" spans="1:21" x14ac:dyDescent="0.25">
      <c r="A3516" t="s">
        <v>84</v>
      </c>
      <c r="B3516" s="24">
        <v>22</v>
      </c>
      <c r="C3516" t="s">
        <v>201</v>
      </c>
      <c r="D3516" t="s">
        <v>12</v>
      </c>
      <c r="E3516" t="s">
        <v>215</v>
      </c>
      <c r="F3516" t="s">
        <v>66</v>
      </c>
      <c r="H3516" t="s">
        <v>10</v>
      </c>
      <c r="I3516" t="s">
        <v>219</v>
      </c>
      <c r="J3516">
        <v>11</v>
      </c>
      <c r="N3516">
        <f>Таблица1[[#This Row],[Часов на заказчика  в работе]]+Таблица1[[#This Row],[Часов на заказчика  дежурство]]</f>
        <v>0</v>
      </c>
      <c r="O35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6" s="9">
        <v>162000</v>
      </c>
      <c r="R3516" s="9"/>
      <c r="S3516" s="5">
        <v>1</v>
      </c>
      <c r="T35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табеле]])*S3516,0)</f>
        <v>5400</v>
      </c>
      <c r="U3516" s="5">
        <f>IF(Таблица1[[#This Row],[ТТН]]&gt;0,Таблица1[[#This Row],[Ставка за ТТН]]*Таблица1[[#This Row],[ТТН]],0)</f>
        <v>0</v>
      </c>
    </row>
    <row r="3517" spans="1:21" x14ac:dyDescent="0.25">
      <c r="A3517" t="s">
        <v>84</v>
      </c>
      <c r="B3517" s="24">
        <v>23</v>
      </c>
      <c r="C3517" t="s">
        <v>201</v>
      </c>
      <c r="D3517" t="s">
        <v>12</v>
      </c>
      <c r="E3517" t="s">
        <v>215</v>
      </c>
      <c r="F3517" t="s">
        <v>66</v>
      </c>
      <c r="H3517" t="s">
        <v>10</v>
      </c>
      <c r="I3517" t="s">
        <v>219</v>
      </c>
      <c r="J3517">
        <v>11</v>
      </c>
      <c r="K3517">
        <v>1</v>
      </c>
      <c r="N3517">
        <f>Таблица1[[#This Row],[Часов на заказчика  в работе]]+Таблица1[[#This Row],[Часов на заказчика  дежурство]]</f>
        <v>0</v>
      </c>
      <c r="O35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7" s="9">
        <v>162000</v>
      </c>
      <c r="R3517" s="9">
        <v>5000</v>
      </c>
      <c r="S3517" s="5">
        <v>1</v>
      </c>
      <c r="T35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табеле]])*S3517,0)</f>
        <v>5400</v>
      </c>
      <c r="U3517" s="5">
        <f>IF(Таблица1[[#This Row],[ТТН]]&gt;0,Таблица1[[#This Row],[Ставка за ТТН]]*Таблица1[[#This Row],[ТТН]],0)</f>
        <v>5000</v>
      </c>
    </row>
    <row r="3518" spans="1:21" x14ac:dyDescent="0.25">
      <c r="A3518" t="s">
        <v>84</v>
      </c>
      <c r="B3518" s="24">
        <v>24</v>
      </c>
      <c r="C3518" t="s">
        <v>201</v>
      </c>
      <c r="D3518" t="s">
        <v>12</v>
      </c>
      <c r="E3518" t="s">
        <v>215</v>
      </c>
      <c r="F3518" t="s">
        <v>66</v>
      </c>
      <c r="H3518" t="s">
        <v>10</v>
      </c>
      <c r="I3518" t="s">
        <v>219</v>
      </c>
      <c r="J3518">
        <v>22</v>
      </c>
      <c r="N3518">
        <f>Таблица1[[#This Row],[Часов на заказчика  в работе]]+Таблица1[[#This Row],[Часов на заказчика  дежурство]]</f>
        <v>0</v>
      </c>
      <c r="O35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8" s="9">
        <v>162000</v>
      </c>
      <c r="R3518" s="9"/>
      <c r="S3518" s="5">
        <v>1</v>
      </c>
      <c r="T35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табеле]])*S3518,0)</f>
        <v>10800</v>
      </c>
      <c r="U3518" s="5">
        <f>IF(Таблица1[[#This Row],[ТТН]]&gt;0,Таблица1[[#This Row],[Ставка за ТТН]]*Таблица1[[#This Row],[ТТН]],0)</f>
        <v>0</v>
      </c>
    </row>
    <row r="3519" spans="1:21" x14ac:dyDescent="0.25">
      <c r="A3519" t="s">
        <v>84</v>
      </c>
      <c r="B3519" s="24">
        <v>25</v>
      </c>
      <c r="C3519" t="s">
        <v>201</v>
      </c>
      <c r="D3519" t="s">
        <v>12</v>
      </c>
      <c r="E3519" t="s">
        <v>215</v>
      </c>
      <c r="F3519" t="s">
        <v>66</v>
      </c>
      <c r="H3519" t="s">
        <v>10</v>
      </c>
      <c r="I3519" t="s">
        <v>219</v>
      </c>
      <c r="J3519">
        <v>11</v>
      </c>
      <c r="N3519">
        <f>Таблица1[[#This Row],[Часов на заказчика  в работе]]+Таблица1[[#This Row],[Часов на заказчика  дежурство]]</f>
        <v>0</v>
      </c>
      <c r="O35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19" s="9">
        <v>162000</v>
      </c>
      <c r="R3519" s="9"/>
      <c r="S3519" s="5">
        <v>1</v>
      </c>
      <c r="T35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табеле]])*S3519,0)</f>
        <v>5400</v>
      </c>
      <c r="U3519" s="5">
        <f>IF(Таблица1[[#This Row],[ТТН]]&gt;0,Таблица1[[#This Row],[Ставка за ТТН]]*Таблица1[[#This Row],[ТТН]],0)</f>
        <v>0</v>
      </c>
    </row>
    <row r="3520" spans="1:21" x14ac:dyDescent="0.25">
      <c r="A3520" t="s">
        <v>84</v>
      </c>
      <c r="B3520" s="24">
        <v>26</v>
      </c>
      <c r="C3520" t="s">
        <v>201</v>
      </c>
      <c r="D3520" t="s">
        <v>12</v>
      </c>
      <c r="E3520" t="s">
        <v>215</v>
      </c>
      <c r="F3520" t="s">
        <v>66</v>
      </c>
      <c r="H3520" t="s">
        <v>10</v>
      </c>
      <c r="I3520" t="s">
        <v>219</v>
      </c>
      <c r="J3520">
        <v>22</v>
      </c>
      <c r="N3520">
        <f>Таблица1[[#This Row],[Часов на заказчика  в работе]]+Таблица1[[#This Row],[Часов на заказчика  дежурство]]</f>
        <v>0</v>
      </c>
      <c r="O35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0" s="9">
        <v>162000</v>
      </c>
      <c r="R3520" s="9"/>
      <c r="S3520" s="5">
        <v>1</v>
      </c>
      <c r="T35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табеле]])*S3520,0)</f>
        <v>10800</v>
      </c>
      <c r="U3520" s="5">
        <f>IF(Таблица1[[#This Row],[ТТН]]&gt;0,Таблица1[[#This Row],[Ставка за ТТН]]*Таблица1[[#This Row],[ТТН]],0)</f>
        <v>0</v>
      </c>
    </row>
    <row r="3521" spans="1:22" x14ac:dyDescent="0.25">
      <c r="A3521" t="s">
        <v>84</v>
      </c>
      <c r="B3521" s="24">
        <v>27</v>
      </c>
      <c r="C3521" t="s">
        <v>201</v>
      </c>
      <c r="D3521" t="s">
        <v>12</v>
      </c>
      <c r="E3521" t="s">
        <v>215</v>
      </c>
      <c r="F3521" t="s">
        <v>66</v>
      </c>
      <c r="H3521" t="s">
        <v>10</v>
      </c>
      <c r="I3521" t="s">
        <v>219</v>
      </c>
      <c r="J3521">
        <v>11</v>
      </c>
      <c r="K3521">
        <v>1</v>
      </c>
      <c r="N3521">
        <f>Таблица1[[#This Row],[Часов на заказчика  в работе]]+Таблица1[[#This Row],[Часов на заказчика  дежурство]]</f>
        <v>0</v>
      </c>
      <c r="O35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1" s="9">
        <v>162000</v>
      </c>
      <c r="R3521" s="9">
        <v>5000</v>
      </c>
      <c r="S3521" s="5">
        <v>1</v>
      </c>
      <c r="T35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табеле]])*S3521,0)</f>
        <v>5400</v>
      </c>
      <c r="U3521" s="5">
        <f>IF(Таблица1[[#This Row],[ТТН]]&gt;0,Таблица1[[#This Row],[Ставка за ТТН]]*Таблица1[[#This Row],[ТТН]],0)</f>
        <v>5000</v>
      </c>
    </row>
    <row r="3522" spans="1:22" x14ac:dyDescent="0.25">
      <c r="A3522" t="s">
        <v>84</v>
      </c>
      <c r="B3522" s="24">
        <v>28</v>
      </c>
      <c r="C3522" t="s">
        <v>201</v>
      </c>
      <c r="D3522" t="s">
        <v>12</v>
      </c>
      <c r="E3522" t="s">
        <v>215</v>
      </c>
      <c r="F3522" t="s">
        <v>66</v>
      </c>
      <c r="H3522" t="s">
        <v>10</v>
      </c>
      <c r="I3522" t="s">
        <v>219</v>
      </c>
      <c r="J3522">
        <v>22</v>
      </c>
      <c r="N3522">
        <f>Таблица1[[#This Row],[Часов на заказчика  в работе]]+Таблица1[[#This Row],[Часов на заказчика  дежурство]]</f>
        <v>0</v>
      </c>
      <c r="O35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2" s="9">
        <v>162000</v>
      </c>
      <c r="R3522" s="9"/>
      <c r="S3522" s="5">
        <v>1</v>
      </c>
      <c r="T35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табеле]])*S3522,0)</f>
        <v>10800</v>
      </c>
      <c r="U3522" s="5">
        <f>IF(Таблица1[[#This Row],[ТТН]]&gt;0,Таблица1[[#This Row],[Ставка за ТТН]]*Таблица1[[#This Row],[ТТН]],0)</f>
        <v>0</v>
      </c>
    </row>
    <row r="3523" spans="1:22" x14ac:dyDescent="0.25">
      <c r="A3523" t="s">
        <v>84</v>
      </c>
      <c r="B3523" s="24">
        <v>29</v>
      </c>
      <c r="C3523" t="s">
        <v>201</v>
      </c>
      <c r="D3523" t="s">
        <v>12</v>
      </c>
      <c r="E3523" t="s">
        <v>215</v>
      </c>
      <c r="F3523" t="s">
        <v>66</v>
      </c>
      <c r="H3523" t="s">
        <v>10</v>
      </c>
      <c r="I3523" t="s">
        <v>219</v>
      </c>
      <c r="J3523">
        <v>22</v>
      </c>
      <c r="K3523">
        <v>1</v>
      </c>
      <c r="N3523">
        <f>Таблица1[[#This Row],[Часов на заказчика  в работе]]+Таблица1[[#This Row],[Часов на заказчика  дежурство]]</f>
        <v>0</v>
      </c>
      <c r="O35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3" s="9">
        <v>162000</v>
      </c>
      <c r="R3523" s="9">
        <v>2000</v>
      </c>
      <c r="S3523" s="5">
        <v>1</v>
      </c>
      <c r="T35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табеле]])*S3523,0)</f>
        <v>10800</v>
      </c>
      <c r="U3523" s="5">
        <f>IF(Таблица1[[#This Row],[ТТН]]&gt;0,Таблица1[[#This Row],[Ставка за ТТН]]*Таблица1[[#This Row],[ТТН]],0)</f>
        <v>2000</v>
      </c>
    </row>
    <row r="3524" spans="1:22" x14ac:dyDescent="0.25">
      <c r="A3524" t="s">
        <v>84</v>
      </c>
      <c r="B3524" s="24">
        <v>30</v>
      </c>
      <c r="C3524" t="s">
        <v>201</v>
      </c>
      <c r="D3524" t="s">
        <v>12</v>
      </c>
      <c r="E3524" t="s">
        <v>215</v>
      </c>
      <c r="F3524" t="s">
        <v>66</v>
      </c>
      <c r="H3524" t="s">
        <v>10</v>
      </c>
      <c r="I3524" t="s">
        <v>219</v>
      </c>
      <c r="J3524">
        <v>11</v>
      </c>
      <c r="N3524">
        <f>Таблица1[[#This Row],[Часов на заказчика  в работе]]+Таблица1[[#This Row],[Часов на заказчика  дежурство]]</f>
        <v>0</v>
      </c>
      <c r="O35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4" s="9">
        <v>162000</v>
      </c>
      <c r="R3524" s="9"/>
      <c r="S3524" s="5">
        <v>1</v>
      </c>
      <c r="T35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табеле]])*S3524,0)</f>
        <v>5400</v>
      </c>
      <c r="U3524" s="5">
        <f>IF(Таблица1[[#This Row],[ТТН]]&gt;0,Таблица1[[#This Row],[Ставка за ТТН]]*Таблица1[[#This Row],[ТТН]],0)</f>
        <v>0</v>
      </c>
    </row>
    <row r="3525" spans="1:22" x14ac:dyDescent="0.25">
      <c r="A3525" t="s">
        <v>84</v>
      </c>
      <c r="B3525" s="24">
        <v>1</v>
      </c>
      <c r="C3525" t="s">
        <v>201</v>
      </c>
      <c r="D3525" t="s">
        <v>12</v>
      </c>
      <c r="E3525" t="s">
        <v>215</v>
      </c>
      <c r="F3525" t="s">
        <v>40</v>
      </c>
      <c r="H3525" t="s">
        <v>23</v>
      </c>
      <c r="I3525" t="s">
        <v>217</v>
      </c>
      <c r="J3525">
        <v>11</v>
      </c>
      <c r="N3525">
        <f>Таблица1[[#This Row],[Часов на заказчика  в работе]]+Таблица1[[#This Row],[Часов на заказчика  дежурство]]</f>
        <v>0</v>
      </c>
      <c r="O35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5" s="9">
        <v>170000</v>
      </c>
      <c r="R3525" s="9"/>
      <c r="S3525" s="5">
        <v>1</v>
      </c>
      <c r="T35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табеле]])*S3525,0)</f>
        <v>5666.6666666666661</v>
      </c>
      <c r="U3525" s="5">
        <f>IF(Таблица1[[#This Row],[ТТН]]&gt;0,Таблица1[[#This Row],[Ставка за ТТН]]*Таблица1[[#This Row],[ТТН]],0)</f>
        <v>0</v>
      </c>
    </row>
    <row r="3526" spans="1:22" x14ac:dyDescent="0.25">
      <c r="A3526" t="s">
        <v>84</v>
      </c>
      <c r="B3526" s="24">
        <v>2</v>
      </c>
      <c r="C3526" t="s">
        <v>201</v>
      </c>
      <c r="D3526" t="s">
        <v>12</v>
      </c>
      <c r="E3526" t="s">
        <v>215</v>
      </c>
      <c r="F3526" t="s">
        <v>40</v>
      </c>
      <c r="H3526" t="s">
        <v>23</v>
      </c>
      <c r="I3526" t="s">
        <v>217</v>
      </c>
      <c r="J3526">
        <v>11</v>
      </c>
      <c r="N3526">
        <f>Таблица1[[#This Row],[Часов на заказчика  в работе]]+Таблица1[[#This Row],[Часов на заказчика  дежурство]]</f>
        <v>0</v>
      </c>
      <c r="O35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6" s="9">
        <v>170000</v>
      </c>
      <c r="R3526" s="9"/>
      <c r="S3526" s="5">
        <v>1</v>
      </c>
      <c r="T35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табеле]])*S3526,0)</f>
        <v>5666.6666666666661</v>
      </c>
      <c r="U3526" s="5">
        <f>IF(Таблица1[[#This Row],[ТТН]]&gt;0,Таблица1[[#This Row],[Ставка за ТТН]]*Таблица1[[#This Row],[ТТН]],0)</f>
        <v>0</v>
      </c>
    </row>
    <row r="3527" spans="1:22" x14ac:dyDescent="0.25">
      <c r="A3527" t="s">
        <v>84</v>
      </c>
      <c r="B3527" s="24">
        <v>3</v>
      </c>
      <c r="C3527" t="s">
        <v>201</v>
      </c>
      <c r="D3527" t="s">
        <v>12</v>
      </c>
      <c r="E3527" t="s">
        <v>215</v>
      </c>
      <c r="F3527" t="s">
        <v>40</v>
      </c>
      <c r="H3527" t="s">
        <v>23</v>
      </c>
      <c r="I3527" t="s">
        <v>217</v>
      </c>
      <c r="J3527">
        <v>11</v>
      </c>
      <c r="N3527">
        <f>Таблица1[[#This Row],[Часов на заказчика  в работе]]+Таблица1[[#This Row],[Часов на заказчика  дежурство]]</f>
        <v>0</v>
      </c>
      <c r="O35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7" s="9">
        <v>170000</v>
      </c>
      <c r="R3527" s="9"/>
      <c r="S3527" s="5">
        <v>1</v>
      </c>
      <c r="T35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табеле]])*S3527,0)</f>
        <v>5666.6666666666661</v>
      </c>
      <c r="U3527" s="5">
        <f>IF(Таблица1[[#This Row],[ТТН]]&gt;0,Таблица1[[#This Row],[Ставка за ТТН]]*Таблица1[[#This Row],[ТТН]],0)</f>
        <v>0</v>
      </c>
    </row>
    <row r="3528" spans="1:22" x14ac:dyDescent="0.25">
      <c r="A3528" t="s">
        <v>84</v>
      </c>
      <c r="B3528" s="24">
        <v>4</v>
      </c>
      <c r="C3528" t="s">
        <v>201</v>
      </c>
      <c r="D3528" t="s">
        <v>12</v>
      </c>
      <c r="E3528" t="s">
        <v>215</v>
      </c>
      <c r="F3528" t="s">
        <v>40</v>
      </c>
      <c r="H3528" t="s">
        <v>23</v>
      </c>
      <c r="I3528" t="s">
        <v>217</v>
      </c>
      <c r="J3528">
        <v>11</v>
      </c>
      <c r="N3528">
        <f>Таблица1[[#This Row],[Часов на заказчика  в работе]]+Таблица1[[#This Row],[Часов на заказчика  дежурство]]</f>
        <v>0</v>
      </c>
      <c r="O35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8" s="9">
        <v>170000</v>
      </c>
      <c r="R3528" s="9"/>
      <c r="S3528" s="5">
        <v>1</v>
      </c>
      <c r="T35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табеле]])*S3528,0)</f>
        <v>5666.6666666666661</v>
      </c>
      <c r="U3528" s="5">
        <f>IF(Таблица1[[#This Row],[ТТН]]&gt;0,Таблица1[[#This Row],[Ставка за ТТН]]*Таблица1[[#This Row],[ТТН]],0)</f>
        <v>0</v>
      </c>
    </row>
    <row r="3529" spans="1:22" x14ac:dyDescent="0.25">
      <c r="A3529" t="s">
        <v>84</v>
      </c>
      <c r="B3529" s="24">
        <v>5</v>
      </c>
      <c r="C3529" t="s">
        <v>201</v>
      </c>
      <c r="D3529" t="s">
        <v>12</v>
      </c>
      <c r="E3529" t="s">
        <v>215</v>
      </c>
      <c r="F3529" t="s">
        <v>40</v>
      </c>
      <c r="H3529" t="s">
        <v>23</v>
      </c>
      <c r="I3529" t="s">
        <v>217</v>
      </c>
      <c r="J3529">
        <v>11</v>
      </c>
      <c r="N3529">
        <f>Таблица1[[#This Row],[Часов на заказчика  в работе]]+Таблица1[[#This Row],[Часов на заказчика  дежурство]]</f>
        <v>0</v>
      </c>
      <c r="O35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29" s="9">
        <v>170000</v>
      </c>
      <c r="R3529" s="9"/>
      <c r="S3529" s="5">
        <v>1</v>
      </c>
      <c r="T35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табеле]])*S3529,0)</f>
        <v>5666.6666666666661</v>
      </c>
      <c r="U3529" s="5">
        <f>IF(Таблица1[[#This Row],[ТТН]]&gt;0,Таблица1[[#This Row],[Ставка за ТТН]]*Таблица1[[#This Row],[ТТН]],0)</f>
        <v>0</v>
      </c>
    </row>
    <row r="3530" spans="1:22" x14ac:dyDescent="0.25">
      <c r="A3530" t="s">
        <v>84</v>
      </c>
      <c r="B3530" s="24">
        <v>6</v>
      </c>
      <c r="C3530" t="s">
        <v>201</v>
      </c>
      <c r="D3530" t="s">
        <v>12</v>
      </c>
      <c r="E3530" t="s">
        <v>215</v>
      </c>
      <c r="F3530" t="s">
        <v>40</v>
      </c>
      <c r="H3530" t="s">
        <v>23</v>
      </c>
      <c r="I3530" t="s">
        <v>217</v>
      </c>
      <c r="J3530">
        <v>11</v>
      </c>
      <c r="N3530">
        <f>Таблица1[[#This Row],[Часов на заказчика  в работе]]+Таблица1[[#This Row],[Часов на заказчика  дежурство]]</f>
        <v>0</v>
      </c>
      <c r="O35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0" s="9">
        <v>170000</v>
      </c>
      <c r="R3530" s="9"/>
      <c r="S3530" s="5">
        <v>1</v>
      </c>
      <c r="T35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табеле]])*S3530,0)</f>
        <v>5666.6666666666661</v>
      </c>
      <c r="U3530" s="5">
        <f>IF(Таблица1[[#This Row],[ТТН]]&gt;0,Таблица1[[#This Row],[Ставка за ТТН]]*Таблица1[[#This Row],[ТТН]],0)</f>
        <v>0</v>
      </c>
    </row>
    <row r="3531" spans="1:22" x14ac:dyDescent="0.25">
      <c r="A3531" t="s">
        <v>84</v>
      </c>
      <c r="B3531" s="24">
        <v>7</v>
      </c>
      <c r="C3531" t="s">
        <v>201</v>
      </c>
      <c r="D3531" t="s">
        <v>12</v>
      </c>
      <c r="E3531" t="s">
        <v>215</v>
      </c>
      <c r="F3531" t="s">
        <v>40</v>
      </c>
      <c r="H3531" t="s">
        <v>23</v>
      </c>
      <c r="I3531" t="s">
        <v>217</v>
      </c>
      <c r="J3531">
        <v>11</v>
      </c>
      <c r="N3531">
        <f>Таблица1[[#This Row],[Часов на заказчика  в работе]]+Таблица1[[#This Row],[Часов на заказчика  дежурство]]</f>
        <v>0</v>
      </c>
      <c r="O35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1" s="9">
        <v>170000</v>
      </c>
      <c r="R3531" s="9"/>
      <c r="S3531" s="5">
        <v>1</v>
      </c>
      <c r="T35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табеле]])*S3531,0)</f>
        <v>5666.6666666666661</v>
      </c>
      <c r="U3531" s="5">
        <f>IF(Таблица1[[#This Row],[ТТН]]&gt;0,Таблица1[[#This Row],[Ставка за ТТН]]*Таблица1[[#This Row],[ТТН]],0)</f>
        <v>0</v>
      </c>
    </row>
    <row r="3532" spans="1:22" x14ac:dyDescent="0.25">
      <c r="A3532" t="s">
        <v>84</v>
      </c>
      <c r="B3532" s="24">
        <v>8</v>
      </c>
      <c r="C3532" t="s">
        <v>201</v>
      </c>
      <c r="D3532" t="s">
        <v>12</v>
      </c>
      <c r="E3532" t="s">
        <v>215</v>
      </c>
      <c r="F3532" t="s">
        <v>40</v>
      </c>
      <c r="H3532" t="s">
        <v>10</v>
      </c>
      <c r="I3532" t="s">
        <v>217</v>
      </c>
      <c r="J3532">
        <v>11</v>
      </c>
      <c r="N3532">
        <f>Таблица1[[#This Row],[Часов на заказчика  в работе]]+Таблица1[[#This Row],[Часов на заказчика  дежурство]]</f>
        <v>0</v>
      </c>
      <c r="O35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2" s="9">
        <v>170000</v>
      </c>
      <c r="R3532" s="9"/>
      <c r="S3532" s="5">
        <v>1</v>
      </c>
      <c r="T35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табеле]])*S3532,0)</f>
        <v>5666.6666666666661</v>
      </c>
      <c r="U3532" s="5">
        <f>IF(Таблица1[[#This Row],[ТТН]]&gt;0,Таблица1[[#This Row],[Ставка за ТТН]]*Таблица1[[#This Row],[ТТН]],0)</f>
        <v>0</v>
      </c>
    </row>
    <row r="3533" spans="1:22" x14ac:dyDescent="0.25">
      <c r="A3533" t="s">
        <v>84</v>
      </c>
      <c r="B3533" s="24">
        <v>9</v>
      </c>
      <c r="C3533" t="s">
        <v>201</v>
      </c>
      <c r="D3533" t="s">
        <v>12</v>
      </c>
      <c r="E3533" t="s">
        <v>215</v>
      </c>
      <c r="F3533" t="s">
        <v>40</v>
      </c>
      <c r="H3533" t="s">
        <v>10</v>
      </c>
      <c r="I3533" t="s">
        <v>217</v>
      </c>
      <c r="J3533">
        <v>11</v>
      </c>
      <c r="N3533">
        <f>Таблица1[[#This Row],[Часов на заказчика  в работе]]+Таблица1[[#This Row],[Часов на заказчика  дежурство]]</f>
        <v>0</v>
      </c>
      <c r="O35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3" s="9">
        <v>170000</v>
      </c>
      <c r="R3533" s="9"/>
      <c r="S3533" s="5">
        <v>1</v>
      </c>
      <c r="T35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табеле]])*S3533,0)</f>
        <v>5666.6666666666661</v>
      </c>
      <c r="U3533" s="5">
        <f>IF(Таблица1[[#This Row],[ТТН]]&gt;0,Таблица1[[#This Row],[Ставка за ТТН]]*Таблица1[[#This Row],[ТТН]],0)</f>
        <v>0</v>
      </c>
    </row>
    <row r="3534" spans="1:22" x14ac:dyDescent="0.25">
      <c r="A3534" t="s">
        <v>84</v>
      </c>
      <c r="B3534" s="24">
        <v>10</v>
      </c>
      <c r="C3534" t="s">
        <v>201</v>
      </c>
      <c r="D3534" t="s">
        <v>12</v>
      </c>
      <c r="E3534" t="s">
        <v>215</v>
      </c>
      <c r="F3534" t="s">
        <v>40</v>
      </c>
      <c r="H3534" t="s">
        <v>10</v>
      </c>
      <c r="I3534" t="s">
        <v>217</v>
      </c>
      <c r="J3534">
        <v>22</v>
      </c>
      <c r="N3534">
        <f>Таблица1[[#This Row],[Часов на заказчика  в работе]]+Таблица1[[#This Row],[Часов на заказчика  дежурство]]</f>
        <v>0</v>
      </c>
      <c r="O35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4" s="9">
        <v>170000</v>
      </c>
      <c r="R3534" s="9"/>
      <c r="S3534" s="5">
        <v>1</v>
      </c>
      <c r="T35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табеле]])*S3534,0)</f>
        <v>11333.333333333332</v>
      </c>
      <c r="U3534" s="5">
        <f>IF(Таблица1[[#This Row],[ТТН]]&gt;0,Таблица1[[#This Row],[Ставка за ТТН]]*Таблица1[[#This Row],[ТТН]],0)</f>
        <v>0</v>
      </c>
      <c r="V3534" t="s">
        <v>93</v>
      </c>
    </row>
    <row r="3535" spans="1:22" x14ac:dyDescent="0.25">
      <c r="A3535" t="s">
        <v>84</v>
      </c>
      <c r="B3535" s="24">
        <v>11</v>
      </c>
      <c r="C3535" t="s">
        <v>201</v>
      </c>
      <c r="D3535" t="s">
        <v>12</v>
      </c>
      <c r="E3535" t="s">
        <v>215</v>
      </c>
      <c r="F3535" t="s">
        <v>40</v>
      </c>
      <c r="H3535" t="s">
        <v>10</v>
      </c>
      <c r="I3535" t="s">
        <v>222</v>
      </c>
      <c r="J3535">
        <v>11</v>
      </c>
      <c r="L3535">
        <v>11</v>
      </c>
      <c r="N3535">
        <f>Таблица1[[#This Row],[Часов на заказчика  в работе]]+Таблица1[[#This Row],[Часов на заказчика  дежурство]]</f>
        <v>11</v>
      </c>
      <c r="O35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5" s="9">
        <v>170000</v>
      </c>
      <c r="R3535" s="9"/>
      <c r="S3535" s="5">
        <v>1</v>
      </c>
      <c r="T35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табеле]])*S3535,0)</f>
        <v>5666.6666666666661</v>
      </c>
      <c r="U3535" s="5">
        <f>IF(Таблица1[[#This Row],[ТТН]]&gt;0,Таблица1[[#This Row],[Ставка за ТТН]]*Таблица1[[#This Row],[ТТН]],0)</f>
        <v>0</v>
      </c>
    </row>
    <row r="3536" spans="1:22" x14ac:dyDescent="0.25">
      <c r="A3536" t="s">
        <v>84</v>
      </c>
      <c r="B3536" s="24">
        <v>12</v>
      </c>
      <c r="C3536" t="s">
        <v>201</v>
      </c>
      <c r="D3536" t="s">
        <v>12</v>
      </c>
      <c r="E3536" t="s">
        <v>215</v>
      </c>
      <c r="F3536" t="s">
        <v>40</v>
      </c>
      <c r="H3536" t="s">
        <v>10</v>
      </c>
      <c r="I3536" t="s">
        <v>222</v>
      </c>
      <c r="J3536">
        <v>11</v>
      </c>
      <c r="L3536">
        <v>11</v>
      </c>
      <c r="N3536">
        <f>Таблица1[[#This Row],[Часов на заказчика  в работе]]+Таблица1[[#This Row],[Часов на заказчика  дежурство]]</f>
        <v>11</v>
      </c>
      <c r="O35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6" s="9">
        <v>170000</v>
      </c>
      <c r="R3536" s="9"/>
      <c r="S3536" s="5">
        <v>1</v>
      </c>
      <c r="T35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табеле]])*S3536,0)</f>
        <v>5666.6666666666661</v>
      </c>
      <c r="U3536" s="5">
        <f>IF(Таблица1[[#This Row],[ТТН]]&gt;0,Таблица1[[#This Row],[Ставка за ТТН]]*Таблица1[[#This Row],[ТТН]],0)</f>
        <v>0</v>
      </c>
    </row>
    <row r="3537" spans="1:21" x14ac:dyDescent="0.25">
      <c r="A3537" t="s">
        <v>84</v>
      </c>
      <c r="B3537" s="24">
        <v>13</v>
      </c>
      <c r="C3537" t="s">
        <v>201</v>
      </c>
      <c r="D3537" t="s">
        <v>12</v>
      </c>
      <c r="E3537" t="s">
        <v>215</v>
      </c>
      <c r="F3537" t="s">
        <v>40</v>
      </c>
      <c r="H3537" t="s">
        <v>10</v>
      </c>
      <c r="I3537" t="s">
        <v>222</v>
      </c>
      <c r="J3537">
        <v>11</v>
      </c>
      <c r="L3537">
        <v>11</v>
      </c>
      <c r="N3537">
        <f>Таблица1[[#This Row],[Часов на заказчика  в работе]]+Таблица1[[#This Row],[Часов на заказчика  дежурство]]</f>
        <v>11</v>
      </c>
      <c r="O35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7" s="9">
        <v>170000</v>
      </c>
      <c r="R3537" s="9"/>
      <c r="S3537" s="5">
        <v>1</v>
      </c>
      <c r="T35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табеле]])*S3537,0)</f>
        <v>5666.6666666666661</v>
      </c>
      <c r="U3537" s="5">
        <f>IF(Таблица1[[#This Row],[ТТН]]&gt;0,Таблица1[[#This Row],[Ставка за ТТН]]*Таблица1[[#This Row],[ТТН]],0)</f>
        <v>0</v>
      </c>
    </row>
    <row r="3538" spans="1:21" x14ac:dyDescent="0.25">
      <c r="A3538" t="s">
        <v>84</v>
      </c>
      <c r="B3538" s="24">
        <v>14</v>
      </c>
      <c r="C3538" t="s">
        <v>201</v>
      </c>
      <c r="D3538" t="s">
        <v>12</v>
      </c>
      <c r="E3538" t="s">
        <v>215</v>
      </c>
      <c r="F3538" t="s">
        <v>40</v>
      </c>
      <c r="H3538" t="s">
        <v>10</v>
      </c>
      <c r="I3538" t="s">
        <v>222</v>
      </c>
      <c r="J3538">
        <v>11</v>
      </c>
      <c r="L3538">
        <v>11</v>
      </c>
      <c r="N3538">
        <f>Таблица1[[#This Row],[Часов на заказчика  в работе]]+Таблица1[[#This Row],[Часов на заказчика  дежурство]]</f>
        <v>11</v>
      </c>
      <c r="O35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8" s="9">
        <v>170000</v>
      </c>
      <c r="R3538" s="9"/>
      <c r="S3538" s="5">
        <v>1</v>
      </c>
      <c r="T35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табеле]])*S3538,0)</f>
        <v>5666.6666666666661</v>
      </c>
      <c r="U3538" s="5">
        <f>IF(Таблица1[[#This Row],[ТТН]]&gt;0,Таблица1[[#This Row],[Ставка за ТТН]]*Таблица1[[#This Row],[ТТН]],0)</f>
        <v>0</v>
      </c>
    </row>
    <row r="3539" spans="1:21" x14ac:dyDescent="0.25">
      <c r="A3539" t="s">
        <v>84</v>
      </c>
      <c r="B3539" s="24">
        <v>15</v>
      </c>
      <c r="C3539" t="s">
        <v>201</v>
      </c>
      <c r="D3539" t="s">
        <v>12</v>
      </c>
      <c r="E3539" t="s">
        <v>215</v>
      </c>
      <c r="F3539" t="s">
        <v>40</v>
      </c>
      <c r="H3539" t="s">
        <v>10</v>
      </c>
      <c r="I3539" t="s">
        <v>222</v>
      </c>
      <c r="J3539">
        <v>11</v>
      </c>
      <c r="L3539">
        <v>11</v>
      </c>
      <c r="N3539">
        <f>Таблица1[[#This Row],[Часов на заказчика  в работе]]+Таблица1[[#This Row],[Часов на заказчика  дежурство]]</f>
        <v>11</v>
      </c>
      <c r="O35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39" s="9">
        <v>170000</v>
      </c>
      <c r="R3539" s="9"/>
      <c r="S3539" s="5">
        <v>1</v>
      </c>
      <c r="T35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табеле]])*S3539,0)</f>
        <v>5666.6666666666661</v>
      </c>
      <c r="U3539" s="5">
        <f>IF(Таблица1[[#This Row],[ТТН]]&gt;0,Таблица1[[#This Row],[Ставка за ТТН]]*Таблица1[[#This Row],[ТТН]],0)</f>
        <v>0</v>
      </c>
    </row>
    <row r="3540" spans="1:21" x14ac:dyDescent="0.25">
      <c r="A3540" t="s">
        <v>84</v>
      </c>
      <c r="B3540" s="24">
        <v>16</v>
      </c>
      <c r="C3540" t="s">
        <v>201</v>
      </c>
      <c r="D3540" t="s">
        <v>12</v>
      </c>
      <c r="E3540" t="s">
        <v>215</v>
      </c>
      <c r="F3540" t="s">
        <v>40</v>
      </c>
      <c r="H3540" t="s">
        <v>10</v>
      </c>
      <c r="I3540" t="s">
        <v>222</v>
      </c>
      <c r="J3540">
        <v>11</v>
      </c>
      <c r="L3540">
        <v>11</v>
      </c>
      <c r="N3540">
        <f>Таблица1[[#This Row],[Часов на заказчика  в работе]]+Таблица1[[#This Row],[Часов на заказчика  дежурство]]</f>
        <v>11</v>
      </c>
      <c r="O35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0" s="9">
        <v>170000</v>
      </c>
      <c r="R3540" s="9"/>
      <c r="S3540" s="5">
        <v>1</v>
      </c>
      <c r="T35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табеле]])*S3540,0)</f>
        <v>5666.6666666666661</v>
      </c>
      <c r="U3540" s="5">
        <f>IF(Таблица1[[#This Row],[ТТН]]&gt;0,Таблица1[[#This Row],[Ставка за ТТН]]*Таблица1[[#This Row],[ТТН]],0)</f>
        <v>0</v>
      </c>
    </row>
    <row r="3541" spans="1:21" x14ac:dyDescent="0.25">
      <c r="A3541" t="s">
        <v>84</v>
      </c>
      <c r="B3541" s="24">
        <v>17</v>
      </c>
      <c r="C3541" t="s">
        <v>201</v>
      </c>
      <c r="D3541" t="s">
        <v>12</v>
      </c>
      <c r="E3541" t="s">
        <v>215</v>
      </c>
      <c r="F3541" t="s">
        <v>40</v>
      </c>
      <c r="H3541" t="s">
        <v>10</v>
      </c>
      <c r="I3541" t="s">
        <v>222</v>
      </c>
      <c r="J3541">
        <v>11</v>
      </c>
      <c r="L3541">
        <v>11</v>
      </c>
      <c r="N3541">
        <f>Таблица1[[#This Row],[Часов на заказчика  в работе]]+Таблица1[[#This Row],[Часов на заказчика  дежурство]]</f>
        <v>11</v>
      </c>
      <c r="O35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1" s="9">
        <v>170000</v>
      </c>
      <c r="R3541" s="9"/>
      <c r="S3541" s="5">
        <v>1</v>
      </c>
      <c r="T35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табеле]])*S3541,0)</f>
        <v>5666.6666666666661</v>
      </c>
      <c r="U3541" s="5">
        <f>IF(Таблица1[[#This Row],[ТТН]]&gt;0,Таблица1[[#This Row],[Ставка за ТТН]]*Таблица1[[#This Row],[ТТН]],0)</f>
        <v>0</v>
      </c>
    </row>
    <row r="3542" spans="1:21" x14ac:dyDescent="0.25">
      <c r="A3542" t="s">
        <v>84</v>
      </c>
      <c r="B3542" s="24">
        <v>18</v>
      </c>
      <c r="C3542" t="s">
        <v>201</v>
      </c>
      <c r="D3542" t="s">
        <v>12</v>
      </c>
      <c r="E3542" t="s">
        <v>215</v>
      </c>
      <c r="F3542" t="s">
        <v>40</v>
      </c>
      <c r="H3542" t="s">
        <v>10</v>
      </c>
      <c r="I3542" t="s">
        <v>222</v>
      </c>
      <c r="J3542">
        <v>11</v>
      </c>
      <c r="L3542">
        <v>11</v>
      </c>
      <c r="N3542">
        <f>Таблица1[[#This Row],[Часов на заказчика  в работе]]+Таблица1[[#This Row],[Часов на заказчика  дежурство]]</f>
        <v>11</v>
      </c>
      <c r="O35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2" s="9">
        <v>170000</v>
      </c>
      <c r="R3542" s="9"/>
      <c r="S3542" s="5">
        <v>1</v>
      </c>
      <c r="T35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табеле]])*S3542,0)</f>
        <v>5666.6666666666661</v>
      </c>
      <c r="U3542" s="5">
        <f>IF(Таблица1[[#This Row],[ТТН]]&gt;0,Таблица1[[#This Row],[Ставка за ТТН]]*Таблица1[[#This Row],[ТТН]],0)</f>
        <v>0</v>
      </c>
    </row>
    <row r="3543" spans="1:21" x14ac:dyDescent="0.25">
      <c r="A3543" t="s">
        <v>84</v>
      </c>
      <c r="B3543" s="24">
        <v>19</v>
      </c>
      <c r="C3543" t="s">
        <v>201</v>
      </c>
      <c r="D3543" t="s">
        <v>12</v>
      </c>
      <c r="E3543" t="s">
        <v>215</v>
      </c>
      <c r="F3543" t="s">
        <v>40</v>
      </c>
      <c r="H3543" t="s">
        <v>10</v>
      </c>
      <c r="I3543" t="s">
        <v>222</v>
      </c>
      <c r="J3543">
        <v>11</v>
      </c>
      <c r="L3543">
        <v>11</v>
      </c>
      <c r="N3543">
        <f>Таблица1[[#This Row],[Часов на заказчика  в работе]]+Таблица1[[#This Row],[Часов на заказчика  дежурство]]</f>
        <v>11</v>
      </c>
      <c r="O35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3" s="9">
        <v>170000</v>
      </c>
      <c r="R3543" s="9"/>
      <c r="S3543" s="5">
        <v>1</v>
      </c>
      <c r="T35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табеле]])*S3543,0)</f>
        <v>5666.6666666666661</v>
      </c>
      <c r="U3543" s="5">
        <f>IF(Таблица1[[#This Row],[ТТН]]&gt;0,Таблица1[[#This Row],[Ставка за ТТН]]*Таблица1[[#This Row],[ТТН]],0)</f>
        <v>0</v>
      </c>
    </row>
    <row r="3544" spans="1:21" x14ac:dyDescent="0.25">
      <c r="A3544" t="s">
        <v>84</v>
      </c>
      <c r="B3544" s="24">
        <v>20</v>
      </c>
      <c r="C3544" t="s">
        <v>201</v>
      </c>
      <c r="D3544" t="s">
        <v>12</v>
      </c>
      <c r="E3544" t="s">
        <v>215</v>
      </c>
      <c r="F3544" t="s">
        <v>40</v>
      </c>
      <c r="H3544" t="s">
        <v>10</v>
      </c>
      <c r="I3544" t="s">
        <v>222</v>
      </c>
      <c r="J3544">
        <v>11</v>
      </c>
      <c r="L3544">
        <v>11</v>
      </c>
      <c r="N3544">
        <f>Таблица1[[#This Row],[Часов на заказчика  в работе]]+Таблица1[[#This Row],[Часов на заказчика  дежурство]]</f>
        <v>11</v>
      </c>
      <c r="O35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4" s="9">
        <v>170000</v>
      </c>
      <c r="R3544" s="9"/>
      <c r="S3544" s="5">
        <v>1</v>
      </c>
      <c r="T35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табеле]])*S3544,0)</f>
        <v>5666.6666666666661</v>
      </c>
      <c r="U3544" s="5">
        <f>IF(Таблица1[[#This Row],[ТТН]]&gt;0,Таблица1[[#This Row],[Ставка за ТТН]]*Таблица1[[#This Row],[ТТН]],0)</f>
        <v>0</v>
      </c>
    </row>
    <row r="3545" spans="1:21" x14ac:dyDescent="0.25">
      <c r="A3545" t="s">
        <v>84</v>
      </c>
      <c r="B3545" s="24">
        <v>21</v>
      </c>
      <c r="C3545" t="s">
        <v>201</v>
      </c>
      <c r="D3545" t="s">
        <v>12</v>
      </c>
      <c r="E3545" t="s">
        <v>215</v>
      </c>
      <c r="F3545" t="s">
        <v>40</v>
      </c>
      <c r="H3545" t="s">
        <v>10</v>
      </c>
      <c r="I3545" t="s">
        <v>222</v>
      </c>
      <c r="J3545">
        <v>11</v>
      </c>
      <c r="L3545">
        <v>11</v>
      </c>
      <c r="N3545">
        <f>Таблица1[[#This Row],[Часов на заказчика  в работе]]+Таблица1[[#This Row],[Часов на заказчика  дежурство]]</f>
        <v>11</v>
      </c>
      <c r="O35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5" s="9">
        <v>170000</v>
      </c>
      <c r="R3545" s="9"/>
      <c r="S3545" s="5">
        <v>1</v>
      </c>
      <c r="T35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табеле]])*S3545,0)</f>
        <v>5666.6666666666661</v>
      </c>
      <c r="U3545" s="5">
        <f>IF(Таблица1[[#This Row],[ТТН]]&gt;0,Таблица1[[#This Row],[Ставка за ТТН]]*Таблица1[[#This Row],[ТТН]],0)</f>
        <v>0</v>
      </c>
    </row>
    <row r="3546" spans="1:21" x14ac:dyDescent="0.25">
      <c r="A3546" t="s">
        <v>84</v>
      </c>
      <c r="B3546" s="24">
        <v>22</v>
      </c>
      <c r="C3546" t="s">
        <v>201</v>
      </c>
      <c r="D3546" t="s">
        <v>12</v>
      </c>
      <c r="E3546" t="s">
        <v>215</v>
      </c>
      <c r="F3546" t="s">
        <v>40</v>
      </c>
      <c r="H3546" t="s">
        <v>10</v>
      </c>
      <c r="I3546" t="s">
        <v>222</v>
      </c>
      <c r="J3546">
        <v>11</v>
      </c>
      <c r="L3546">
        <v>11</v>
      </c>
      <c r="N3546">
        <f>Таблица1[[#This Row],[Часов на заказчика  в работе]]+Таблица1[[#This Row],[Часов на заказчика  дежурство]]</f>
        <v>11</v>
      </c>
      <c r="O35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6" s="9">
        <v>170000</v>
      </c>
      <c r="R3546" s="9"/>
      <c r="S3546" s="5">
        <v>1</v>
      </c>
      <c r="T35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табеле]])*S3546,0)</f>
        <v>5666.6666666666661</v>
      </c>
      <c r="U3546" s="5">
        <f>IF(Таблица1[[#This Row],[ТТН]]&gt;0,Таблица1[[#This Row],[Ставка за ТТН]]*Таблица1[[#This Row],[ТТН]],0)</f>
        <v>0</v>
      </c>
    </row>
    <row r="3547" spans="1:21" x14ac:dyDescent="0.25">
      <c r="A3547" t="s">
        <v>84</v>
      </c>
      <c r="B3547" s="24">
        <v>23</v>
      </c>
      <c r="C3547" t="s">
        <v>201</v>
      </c>
      <c r="D3547" t="s">
        <v>12</v>
      </c>
      <c r="E3547" t="s">
        <v>215</v>
      </c>
      <c r="F3547" t="s">
        <v>40</v>
      </c>
      <c r="H3547" t="s">
        <v>10</v>
      </c>
      <c r="I3547" t="s">
        <v>222</v>
      </c>
      <c r="J3547">
        <v>11</v>
      </c>
      <c r="L3547">
        <v>11</v>
      </c>
      <c r="N3547">
        <f>Таблица1[[#This Row],[Часов на заказчика  в работе]]+Таблица1[[#This Row],[Часов на заказчика  дежурство]]</f>
        <v>11</v>
      </c>
      <c r="O35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7" s="9">
        <v>170000</v>
      </c>
      <c r="R3547" s="9"/>
      <c r="S3547" s="5">
        <v>1</v>
      </c>
      <c r="T35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табеле]])*S3547,0)</f>
        <v>5666.6666666666661</v>
      </c>
      <c r="U3547" s="5">
        <f>IF(Таблица1[[#This Row],[ТТН]]&gt;0,Таблица1[[#This Row],[Ставка за ТТН]]*Таблица1[[#This Row],[ТТН]],0)</f>
        <v>0</v>
      </c>
    </row>
    <row r="3548" spans="1:21" x14ac:dyDescent="0.25">
      <c r="A3548" t="s">
        <v>84</v>
      </c>
      <c r="B3548" s="24">
        <v>24</v>
      </c>
      <c r="C3548" t="s">
        <v>201</v>
      </c>
      <c r="D3548" t="s">
        <v>12</v>
      </c>
      <c r="E3548" t="s">
        <v>215</v>
      </c>
      <c r="F3548" t="s">
        <v>40</v>
      </c>
      <c r="H3548" t="s">
        <v>10</v>
      </c>
      <c r="I3548" t="s">
        <v>222</v>
      </c>
      <c r="J3548">
        <v>11</v>
      </c>
      <c r="L3548">
        <v>11</v>
      </c>
      <c r="N3548">
        <f>Таблица1[[#This Row],[Часов на заказчика  в работе]]+Таблица1[[#This Row],[Часов на заказчика  дежурство]]</f>
        <v>11</v>
      </c>
      <c r="O35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8" s="9">
        <v>170000</v>
      </c>
      <c r="R3548" s="9"/>
      <c r="S3548" s="5">
        <v>1</v>
      </c>
      <c r="T35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табеле]])*S3548,0)</f>
        <v>5666.6666666666661</v>
      </c>
      <c r="U3548" s="5">
        <f>IF(Таблица1[[#This Row],[ТТН]]&gt;0,Таблица1[[#This Row],[Ставка за ТТН]]*Таблица1[[#This Row],[ТТН]],0)</f>
        <v>0</v>
      </c>
    </row>
    <row r="3549" spans="1:21" x14ac:dyDescent="0.25">
      <c r="A3549" t="s">
        <v>84</v>
      </c>
      <c r="B3549" s="24">
        <v>25</v>
      </c>
      <c r="C3549" t="s">
        <v>201</v>
      </c>
      <c r="D3549" t="s">
        <v>12</v>
      </c>
      <c r="E3549" t="s">
        <v>215</v>
      </c>
      <c r="F3549" t="s">
        <v>40</v>
      </c>
      <c r="H3549" t="s">
        <v>10</v>
      </c>
      <c r="I3549" t="s">
        <v>222</v>
      </c>
      <c r="J3549">
        <v>11</v>
      </c>
      <c r="L3549">
        <v>11</v>
      </c>
      <c r="N3549">
        <f>Таблица1[[#This Row],[Часов на заказчика  в работе]]+Таблица1[[#This Row],[Часов на заказчика  дежурство]]</f>
        <v>11</v>
      </c>
      <c r="O35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49" s="9">
        <v>170000</v>
      </c>
      <c r="R3549" s="9"/>
      <c r="S3549" s="5">
        <v>1</v>
      </c>
      <c r="T35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табеле]])*S3549,0)</f>
        <v>5666.6666666666661</v>
      </c>
      <c r="U3549" s="5">
        <f>IF(Таблица1[[#This Row],[ТТН]]&gt;0,Таблица1[[#This Row],[Ставка за ТТН]]*Таблица1[[#This Row],[ТТН]],0)</f>
        <v>0</v>
      </c>
    </row>
    <row r="3550" spans="1:21" x14ac:dyDescent="0.25">
      <c r="A3550" t="s">
        <v>84</v>
      </c>
      <c r="B3550" s="24">
        <v>26</v>
      </c>
      <c r="C3550" t="s">
        <v>201</v>
      </c>
      <c r="D3550" t="s">
        <v>12</v>
      </c>
      <c r="E3550" t="s">
        <v>215</v>
      </c>
      <c r="F3550" t="s">
        <v>40</v>
      </c>
      <c r="H3550" t="s">
        <v>10</v>
      </c>
      <c r="I3550" t="s">
        <v>222</v>
      </c>
      <c r="J3550">
        <v>11</v>
      </c>
      <c r="L3550">
        <v>11</v>
      </c>
      <c r="N3550">
        <f>Таблица1[[#This Row],[Часов на заказчика  в работе]]+Таблица1[[#This Row],[Часов на заказчика  дежурство]]</f>
        <v>11</v>
      </c>
      <c r="O35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0" s="9">
        <v>170000</v>
      </c>
      <c r="R3550" s="9"/>
      <c r="S3550" s="5">
        <v>1</v>
      </c>
      <c r="T35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табеле]])*S3550,0)</f>
        <v>5666.6666666666661</v>
      </c>
      <c r="U3550" s="5">
        <f>IF(Таблица1[[#This Row],[ТТН]]&gt;0,Таблица1[[#This Row],[Ставка за ТТН]]*Таблица1[[#This Row],[ТТН]],0)</f>
        <v>0</v>
      </c>
    </row>
    <row r="3551" spans="1:21" x14ac:dyDescent="0.25">
      <c r="A3551" t="s">
        <v>84</v>
      </c>
      <c r="B3551" s="24">
        <v>27</v>
      </c>
      <c r="C3551" t="s">
        <v>201</v>
      </c>
      <c r="D3551" t="s">
        <v>12</v>
      </c>
      <c r="E3551" t="s">
        <v>215</v>
      </c>
      <c r="F3551" t="s">
        <v>40</v>
      </c>
      <c r="H3551" t="s">
        <v>10</v>
      </c>
      <c r="I3551" t="s">
        <v>222</v>
      </c>
      <c r="J3551">
        <v>11</v>
      </c>
      <c r="L3551">
        <v>11</v>
      </c>
      <c r="N3551">
        <f>Таблица1[[#This Row],[Часов на заказчика  в работе]]+Таблица1[[#This Row],[Часов на заказчика  дежурство]]</f>
        <v>11</v>
      </c>
      <c r="O35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1" s="9">
        <v>170000</v>
      </c>
      <c r="R3551" s="9"/>
      <c r="S3551" s="5">
        <v>1</v>
      </c>
      <c r="T35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табеле]])*S3551,0)</f>
        <v>5666.6666666666661</v>
      </c>
      <c r="U3551" s="5">
        <f>IF(Таблица1[[#This Row],[ТТН]]&gt;0,Таблица1[[#This Row],[Ставка за ТТН]]*Таблица1[[#This Row],[ТТН]],0)</f>
        <v>0</v>
      </c>
    </row>
    <row r="3552" spans="1:21" x14ac:dyDescent="0.25">
      <c r="A3552" t="s">
        <v>84</v>
      </c>
      <c r="B3552" s="24">
        <v>28</v>
      </c>
      <c r="C3552" t="s">
        <v>201</v>
      </c>
      <c r="D3552" t="s">
        <v>12</v>
      </c>
      <c r="E3552" t="s">
        <v>215</v>
      </c>
      <c r="F3552" t="s">
        <v>40</v>
      </c>
      <c r="H3552" t="s">
        <v>10</v>
      </c>
      <c r="I3552" t="s">
        <v>222</v>
      </c>
      <c r="J3552">
        <v>11</v>
      </c>
      <c r="L3552">
        <v>11</v>
      </c>
      <c r="N3552">
        <f>Таблица1[[#This Row],[Часов на заказчика  в работе]]+Таблица1[[#This Row],[Часов на заказчика  дежурство]]</f>
        <v>11</v>
      </c>
      <c r="O35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2" s="9">
        <v>170000</v>
      </c>
      <c r="R3552" s="9"/>
      <c r="S3552" s="5">
        <v>1</v>
      </c>
      <c r="T35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табеле]])*S3552,0)</f>
        <v>5666.6666666666661</v>
      </c>
      <c r="U3552" s="5">
        <f>IF(Таблица1[[#This Row],[ТТН]]&gt;0,Таблица1[[#This Row],[Ставка за ТТН]]*Таблица1[[#This Row],[ТТН]],0)</f>
        <v>0</v>
      </c>
    </row>
    <row r="3553" spans="1:21" x14ac:dyDescent="0.25">
      <c r="A3553" t="s">
        <v>84</v>
      </c>
      <c r="B3553" s="24">
        <v>29</v>
      </c>
      <c r="C3553" t="s">
        <v>201</v>
      </c>
      <c r="D3553" t="s">
        <v>12</v>
      </c>
      <c r="E3553" t="s">
        <v>215</v>
      </c>
      <c r="F3553" t="s">
        <v>40</v>
      </c>
      <c r="H3553" t="s">
        <v>10</v>
      </c>
      <c r="I3553" t="s">
        <v>222</v>
      </c>
      <c r="J3553">
        <v>11</v>
      </c>
      <c r="L3553">
        <v>11</v>
      </c>
      <c r="N3553">
        <f>Таблица1[[#This Row],[Часов на заказчика  в работе]]+Таблица1[[#This Row],[Часов на заказчика  дежурство]]</f>
        <v>11</v>
      </c>
      <c r="O35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3" s="9">
        <v>170000</v>
      </c>
      <c r="R3553" s="9"/>
      <c r="S3553" s="5">
        <v>1</v>
      </c>
      <c r="T35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табеле]])*S3553,0)</f>
        <v>5666.6666666666661</v>
      </c>
      <c r="U3553" s="5">
        <f>IF(Таблица1[[#This Row],[ТТН]]&gt;0,Таблица1[[#This Row],[Ставка за ТТН]]*Таблица1[[#This Row],[ТТН]],0)</f>
        <v>0</v>
      </c>
    </row>
    <row r="3554" spans="1:21" x14ac:dyDescent="0.25">
      <c r="A3554" t="s">
        <v>84</v>
      </c>
      <c r="B3554" s="24">
        <v>30</v>
      </c>
      <c r="C3554" t="s">
        <v>202</v>
      </c>
      <c r="D3554" t="s">
        <v>12</v>
      </c>
      <c r="E3554" t="s">
        <v>215</v>
      </c>
      <c r="F3554" t="s">
        <v>40</v>
      </c>
      <c r="H3554" t="s">
        <v>10</v>
      </c>
      <c r="I3554" t="s">
        <v>222</v>
      </c>
      <c r="J3554">
        <v>11</v>
      </c>
      <c r="L3554">
        <v>11</v>
      </c>
      <c r="N3554">
        <f>Таблица1[[#This Row],[Часов на заказчика  в работе]]+Таблица1[[#This Row],[Часов на заказчика  дежурство]]</f>
        <v>11</v>
      </c>
      <c r="O35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4" s="9">
        <v>170000</v>
      </c>
      <c r="R3554" s="9"/>
      <c r="S3554" s="5">
        <v>1</v>
      </c>
      <c r="T35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табеле]])*S3554,0)</f>
        <v>5666.6666666666661</v>
      </c>
      <c r="U3554" s="5">
        <f>IF(Таблица1[[#This Row],[ТТН]]&gt;0,Таблица1[[#This Row],[Ставка за ТТН]]*Таблица1[[#This Row],[ТТН]],0)</f>
        <v>0</v>
      </c>
    </row>
    <row r="3555" spans="1:21" x14ac:dyDescent="0.25">
      <c r="A3555" t="s">
        <v>84</v>
      </c>
      <c r="B3555" s="24">
        <v>1</v>
      </c>
      <c r="C3555" t="s">
        <v>202</v>
      </c>
      <c r="D3555" t="s">
        <v>12</v>
      </c>
      <c r="E3555" t="s">
        <v>216</v>
      </c>
      <c r="H3555" t="s">
        <v>44</v>
      </c>
      <c r="I3555" t="s">
        <v>217</v>
      </c>
      <c r="J3555">
        <v>1</v>
      </c>
      <c r="N3555">
        <f>Таблица1[[#This Row],[Часов на заказчика  в работе]]+Таблица1[[#This Row],[Часов на заказчика  дежурство]]</f>
        <v>0</v>
      </c>
      <c r="O35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5" s="9"/>
      <c r="R3555" s="9"/>
      <c r="S3555" s="5">
        <v>1</v>
      </c>
      <c r="T35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табеле]])*S3555,0)</f>
        <v>0</v>
      </c>
      <c r="U3555" s="5">
        <f>IF(Таблица1[[#This Row],[ТТН]]&gt;0,Таблица1[[#This Row],[Ставка за ТТН]]*Таблица1[[#This Row],[ТТН]],0)</f>
        <v>0</v>
      </c>
    </row>
    <row r="3556" spans="1:21" x14ac:dyDescent="0.25">
      <c r="A3556" t="s">
        <v>84</v>
      </c>
      <c r="B3556" s="24">
        <v>2</v>
      </c>
      <c r="C3556" t="s">
        <v>202</v>
      </c>
      <c r="D3556" t="s">
        <v>12</v>
      </c>
      <c r="E3556" t="s">
        <v>216</v>
      </c>
      <c r="H3556" t="s">
        <v>44</v>
      </c>
      <c r="I3556" t="s">
        <v>217</v>
      </c>
      <c r="J3556">
        <v>1</v>
      </c>
      <c r="N3556">
        <f>Таблица1[[#This Row],[Часов на заказчика  в работе]]+Таблица1[[#This Row],[Часов на заказчика  дежурство]]</f>
        <v>0</v>
      </c>
      <c r="O35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6" s="9"/>
      <c r="R3556" s="9"/>
      <c r="S3556" s="5">
        <v>1</v>
      </c>
      <c r="T35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табеле]])*S3556,0)</f>
        <v>0</v>
      </c>
      <c r="U3556" s="5">
        <f>IF(Таблица1[[#This Row],[ТТН]]&gt;0,Таблица1[[#This Row],[Ставка за ТТН]]*Таблица1[[#This Row],[ТТН]],0)</f>
        <v>0</v>
      </c>
    </row>
    <row r="3557" spans="1:21" x14ac:dyDescent="0.25">
      <c r="A3557" t="s">
        <v>84</v>
      </c>
      <c r="B3557" s="24">
        <v>3</v>
      </c>
      <c r="C3557" t="s">
        <v>202</v>
      </c>
      <c r="D3557" t="s">
        <v>12</v>
      </c>
      <c r="E3557" t="s">
        <v>216</v>
      </c>
      <c r="H3557" t="s">
        <v>44</v>
      </c>
      <c r="I3557" t="s">
        <v>217</v>
      </c>
      <c r="J3557">
        <v>1</v>
      </c>
      <c r="N3557">
        <f>Таблица1[[#This Row],[Часов на заказчика  в работе]]+Таблица1[[#This Row],[Часов на заказчика  дежурство]]</f>
        <v>0</v>
      </c>
      <c r="O35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7" s="9"/>
      <c r="R3557" s="9"/>
      <c r="S3557" s="5">
        <v>1</v>
      </c>
      <c r="T35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табеле]])*S3557,0)</f>
        <v>0</v>
      </c>
      <c r="U3557" s="5">
        <f>IF(Таблица1[[#This Row],[ТТН]]&gt;0,Таблица1[[#This Row],[Ставка за ТТН]]*Таблица1[[#This Row],[ТТН]],0)</f>
        <v>0</v>
      </c>
    </row>
    <row r="3558" spans="1:21" x14ac:dyDescent="0.25">
      <c r="A3558" t="s">
        <v>84</v>
      </c>
      <c r="B3558" s="24">
        <v>4</v>
      </c>
      <c r="C3558" t="s">
        <v>202</v>
      </c>
      <c r="D3558" t="s">
        <v>12</v>
      </c>
      <c r="E3558" t="s">
        <v>216</v>
      </c>
      <c r="H3558" t="s">
        <v>44</v>
      </c>
      <c r="I3558" t="s">
        <v>217</v>
      </c>
      <c r="J3558">
        <v>1</v>
      </c>
      <c r="N3558">
        <f>Таблица1[[#This Row],[Часов на заказчика  в работе]]+Таблица1[[#This Row],[Часов на заказчика  дежурство]]</f>
        <v>0</v>
      </c>
      <c r="O35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8" s="9"/>
      <c r="R3558" s="9"/>
      <c r="S3558" s="5">
        <v>1</v>
      </c>
      <c r="T35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табеле]])*S3558,0)</f>
        <v>0</v>
      </c>
      <c r="U3558" s="5">
        <f>IF(Таблица1[[#This Row],[ТТН]]&gt;0,Таблица1[[#This Row],[Ставка за ТТН]]*Таблица1[[#This Row],[ТТН]],0)</f>
        <v>0</v>
      </c>
    </row>
    <row r="3559" spans="1:21" x14ac:dyDescent="0.25">
      <c r="A3559" t="s">
        <v>84</v>
      </c>
      <c r="B3559" s="24">
        <v>5</v>
      </c>
      <c r="C3559" t="s">
        <v>202</v>
      </c>
      <c r="D3559" t="s">
        <v>12</v>
      </c>
      <c r="E3559" t="s">
        <v>216</v>
      </c>
      <c r="H3559" t="s">
        <v>44</v>
      </c>
      <c r="I3559" t="s">
        <v>217</v>
      </c>
      <c r="J3559">
        <v>1</v>
      </c>
      <c r="N3559">
        <f>Таблица1[[#This Row],[Часов на заказчика  в работе]]+Таблица1[[#This Row],[Часов на заказчика  дежурство]]</f>
        <v>0</v>
      </c>
      <c r="O35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59" s="9"/>
      <c r="R3559" s="9"/>
      <c r="S3559" s="5">
        <v>1</v>
      </c>
      <c r="T35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табеле]])*S3559,0)</f>
        <v>0</v>
      </c>
      <c r="U3559" s="5">
        <f>IF(Таблица1[[#This Row],[ТТН]]&gt;0,Таблица1[[#This Row],[Ставка за ТТН]]*Таблица1[[#This Row],[ТТН]],0)</f>
        <v>0</v>
      </c>
    </row>
    <row r="3560" spans="1:21" x14ac:dyDescent="0.25">
      <c r="A3560" t="s">
        <v>84</v>
      </c>
      <c r="B3560" s="24">
        <v>6</v>
      </c>
      <c r="C3560" t="s">
        <v>202</v>
      </c>
      <c r="D3560" t="s">
        <v>12</v>
      </c>
      <c r="E3560" t="s">
        <v>216</v>
      </c>
      <c r="H3560" t="s">
        <v>44</v>
      </c>
      <c r="I3560" t="s">
        <v>217</v>
      </c>
      <c r="J3560">
        <v>1</v>
      </c>
      <c r="N3560">
        <f>Таблица1[[#This Row],[Часов на заказчика  в работе]]+Таблица1[[#This Row],[Часов на заказчика  дежурство]]</f>
        <v>0</v>
      </c>
      <c r="O35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0" s="9"/>
      <c r="R3560" s="9"/>
      <c r="S3560" s="5">
        <v>1</v>
      </c>
      <c r="T35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табеле]])*S3560,0)</f>
        <v>0</v>
      </c>
      <c r="U3560" s="5">
        <f>IF(Таблица1[[#This Row],[ТТН]]&gt;0,Таблица1[[#This Row],[Ставка за ТТН]]*Таблица1[[#This Row],[ТТН]],0)</f>
        <v>0</v>
      </c>
    </row>
    <row r="3561" spans="1:21" x14ac:dyDescent="0.25">
      <c r="A3561" t="s">
        <v>84</v>
      </c>
      <c r="B3561" s="24">
        <v>7</v>
      </c>
      <c r="C3561" t="s">
        <v>202</v>
      </c>
      <c r="D3561" t="s">
        <v>12</v>
      </c>
      <c r="E3561" t="s">
        <v>216</v>
      </c>
      <c r="H3561" t="s">
        <v>44</v>
      </c>
      <c r="I3561" t="s">
        <v>217</v>
      </c>
      <c r="J3561">
        <v>1</v>
      </c>
      <c r="N3561">
        <f>Таблица1[[#This Row],[Часов на заказчика  в работе]]+Таблица1[[#This Row],[Часов на заказчика  дежурство]]</f>
        <v>0</v>
      </c>
      <c r="O35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1" s="9"/>
      <c r="R3561" s="9"/>
      <c r="S3561" s="5">
        <v>1</v>
      </c>
      <c r="T35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табеле]])*S3561,0)</f>
        <v>0</v>
      </c>
      <c r="U3561" s="5">
        <f>IF(Таблица1[[#This Row],[ТТН]]&gt;0,Таблица1[[#This Row],[Ставка за ТТН]]*Таблица1[[#This Row],[ТТН]],0)</f>
        <v>0</v>
      </c>
    </row>
    <row r="3562" spans="1:21" x14ac:dyDescent="0.25">
      <c r="A3562" t="s">
        <v>84</v>
      </c>
      <c r="B3562" s="24">
        <v>8</v>
      </c>
      <c r="C3562" t="s">
        <v>202</v>
      </c>
      <c r="D3562" t="s">
        <v>12</v>
      </c>
      <c r="E3562" t="s">
        <v>216</v>
      </c>
      <c r="H3562" t="s">
        <v>44</v>
      </c>
      <c r="I3562" t="s">
        <v>217</v>
      </c>
      <c r="J3562">
        <v>1</v>
      </c>
      <c r="N3562">
        <f>Таблица1[[#This Row],[Часов на заказчика  в работе]]+Таблица1[[#This Row],[Часов на заказчика  дежурство]]</f>
        <v>0</v>
      </c>
      <c r="O35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2" s="9"/>
      <c r="R3562" s="9"/>
      <c r="S3562" s="5">
        <v>1</v>
      </c>
      <c r="T35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табеле]])*S3562,0)</f>
        <v>0</v>
      </c>
      <c r="U3562" s="5">
        <f>IF(Таблица1[[#This Row],[ТТН]]&gt;0,Таблица1[[#This Row],[Ставка за ТТН]]*Таблица1[[#This Row],[ТТН]],0)</f>
        <v>0</v>
      </c>
    </row>
    <row r="3563" spans="1:21" x14ac:dyDescent="0.25">
      <c r="A3563" t="s">
        <v>84</v>
      </c>
      <c r="B3563" s="24">
        <v>9</v>
      </c>
      <c r="C3563" t="s">
        <v>202</v>
      </c>
      <c r="D3563" t="s">
        <v>12</v>
      </c>
      <c r="E3563" t="s">
        <v>216</v>
      </c>
      <c r="H3563" t="s">
        <v>44</v>
      </c>
      <c r="I3563" t="s">
        <v>217</v>
      </c>
      <c r="J3563">
        <v>1</v>
      </c>
      <c r="N3563">
        <f>Таблица1[[#This Row],[Часов на заказчика  в работе]]+Таблица1[[#This Row],[Часов на заказчика  дежурство]]</f>
        <v>0</v>
      </c>
      <c r="O35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3" s="9"/>
      <c r="R3563" s="9"/>
      <c r="S3563" s="5">
        <v>1</v>
      </c>
      <c r="T35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табеле]])*S3563,0)</f>
        <v>0</v>
      </c>
      <c r="U3563" s="5">
        <f>IF(Таблица1[[#This Row],[ТТН]]&gt;0,Таблица1[[#This Row],[Ставка за ТТН]]*Таблица1[[#This Row],[ТТН]],0)</f>
        <v>0</v>
      </c>
    </row>
    <row r="3564" spans="1:21" x14ac:dyDescent="0.25">
      <c r="A3564" t="s">
        <v>84</v>
      </c>
      <c r="B3564" s="24">
        <v>10</v>
      </c>
      <c r="C3564" t="s">
        <v>202</v>
      </c>
      <c r="D3564" t="s">
        <v>12</v>
      </c>
      <c r="E3564" t="s">
        <v>216</v>
      </c>
      <c r="H3564" t="s">
        <v>44</v>
      </c>
      <c r="I3564" t="s">
        <v>217</v>
      </c>
      <c r="J3564">
        <v>1</v>
      </c>
      <c r="N3564">
        <f>Таблица1[[#This Row],[Часов на заказчика  в работе]]+Таблица1[[#This Row],[Часов на заказчика  дежурство]]</f>
        <v>0</v>
      </c>
      <c r="O35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4" s="9"/>
      <c r="R3564" s="9"/>
      <c r="S3564" s="5">
        <v>1</v>
      </c>
      <c r="T35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табеле]])*S3564,0)</f>
        <v>0</v>
      </c>
      <c r="U3564" s="5">
        <f>IF(Таблица1[[#This Row],[ТТН]]&gt;0,Таблица1[[#This Row],[Ставка за ТТН]]*Таблица1[[#This Row],[ТТН]],0)</f>
        <v>0</v>
      </c>
    </row>
    <row r="3565" spans="1:21" x14ac:dyDescent="0.25">
      <c r="A3565" t="s">
        <v>84</v>
      </c>
      <c r="B3565" s="24">
        <v>11</v>
      </c>
      <c r="C3565" t="s">
        <v>202</v>
      </c>
      <c r="D3565" t="s">
        <v>12</v>
      </c>
      <c r="E3565" t="s">
        <v>216</v>
      </c>
      <c r="H3565" t="s">
        <v>44</v>
      </c>
      <c r="I3565" t="s">
        <v>217</v>
      </c>
      <c r="J3565">
        <v>1</v>
      </c>
      <c r="N3565">
        <f>Таблица1[[#This Row],[Часов на заказчика  в работе]]+Таблица1[[#This Row],[Часов на заказчика  дежурство]]</f>
        <v>0</v>
      </c>
      <c r="O35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5" s="9"/>
      <c r="R3565" s="9"/>
      <c r="S3565" s="5">
        <v>1</v>
      </c>
      <c r="T35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табеле]])*S3565,0)</f>
        <v>0</v>
      </c>
      <c r="U3565" s="5">
        <f>IF(Таблица1[[#This Row],[ТТН]]&gt;0,Таблица1[[#This Row],[Ставка за ТТН]]*Таблица1[[#This Row],[ТТН]],0)</f>
        <v>0</v>
      </c>
    </row>
    <row r="3566" spans="1:21" x14ac:dyDescent="0.25">
      <c r="A3566" t="s">
        <v>84</v>
      </c>
      <c r="B3566" s="24">
        <v>12</v>
      </c>
      <c r="C3566" t="s">
        <v>202</v>
      </c>
      <c r="D3566" t="s">
        <v>12</v>
      </c>
      <c r="E3566" t="s">
        <v>216</v>
      </c>
      <c r="H3566" t="s">
        <v>44</v>
      </c>
      <c r="I3566" t="s">
        <v>217</v>
      </c>
      <c r="J3566">
        <v>1</v>
      </c>
      <c r="N3566">
        <f>Таблица1[[#This Row],[Часов на заказчика  в работе]]+Таблица1[[#This Row],[Часов на заказчика  дежурство]]</f>
        <v>0</v>
      </c>
      <c r="O35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6" s="9"/>
      <c r="R3566" s="9"/>
      <c r="S3566" s="5">
        <v>1</v>
      </c>
      <c r="T35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табеле]])*S3566,0)</f>
        <v>0</v>
      </c>
      <c r="U3566" s="5">
        <f>IF(Таблица1[[#This Row],[ТТН]]&gt;0,Таблица1[[#This Row],[Ставка за ТТН]]*Таблица1[[#This Row],[ТТН]],0)</f>
        <v>0</v>
      </c>
    </row>
    <row r="3567" spans="1:21" x14ac:dyDescent="0.25">
      <c r="A3567" t="s">
        <v>84</v>
      </c>
      <c r="B3567" s="24">
        <v>13</v>
      </c>
      <c r="C3567" t="s">
        <v>202</v>
      </c>
      <c r="D3567" t="s">
        <v>12</v>
      </c>
      <c r="E3567" t="s">
        <v>216</v>
      </c>
      <c r="H3567" t="s">
        <v>44</v>
      </c>
      <c r="I3567" t="s">
        <v>217</v>
      </c>
      <c r="J3567">
        <v>1</v>
      </c>
      <c r="N3567">
        <f>Таблица1[[#This Row],[Часов на заказчика  в работе]]+Таблица1[[#This Row],[Часов на заказчика  дежурство]]</f>
        <v>0</v>
      </c>
      <c r="O35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7" s="9"/>
      <c r="R3567" s="9"/>
      <c r="S3567" s="5">
        <v>1</v>
      </c>
      <c r="T35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табеле]])*S3567,0)</f>
        <v>0</v>
      </c>
      <c r="U3567" s="5">
        <f>IF(Таблица1[[#This Row],[ТТН]]&gt;0,Таблица1[[#This Row],[Ставка за ТТН]]*Таблица1[[#This Row],[ТТН]],0)</f>
        <v>0</v>
      </c>
    </row>
    <row r="3568" spans="1:21" x14ac:dyDescent="0.25">
      <c r="A3568" t="s">
        <v>84</v>
      </c>
      <c r="B3568" s="24">
        <v>14</v>
      </c>
      <c r="C3568" t="s">
        <v>202</v>
      </c>
      <c r="D3568" t="s">
        <v>12</v>
      </c>
      <c r="E3568" t="s">
        <v>216</v>
      </c>
      <c r="H3568" t="s">
        <v>44</v>
      </c>
      <c r="I3568" t="s">
        <v>217</v>
      </c>
      <c r="J3568">
        <v>1</v>
      </c>
      <c r="N3568">
        <f>Таблица1[[#This Row],[Часов на заказчика  в работе]]+Таблица1[[#This Row],[Часов на заказчика  дежурство]]</f>
        <v>0</v>
      </c>
      <c r="O35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8" s="9"/>
      <c r="R3568" s="9"/>
      <c r="S3568" s="5">
        <v>1</v>
      </c>
      <c r="T35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табеле]])*S3568,0)</f>
        <v>0</v>
      </c>
      <c r="U3568" s="5">
        <f>IF(Таблица1[[#This Row],[ТТН]]&gt;0,Таблица1[[#This Row],[Ставка за ТТН]]*Таблица1[[#This Row],[ТТН]],0)</f>
        <v>0</v>
      </c>
    </row>
    <row r="3569" spans="1:21" x14ac:dyDescent="0.25">
      <c r="A3569" t="s">
        <v>84</v>
      </c>
      <c r="B3569" s="24">
        <v>15</v>
      </c>
      <c r="C3569" t="s">
        <v>202</v>
      </c>
      <c r="D3569" t="s">
        <v>12</v>
      </c>
      <c r="E3569" t="s">
        <v>216</v>
      </c>
      <c r="H3569" t="s">
        <v>44</v>
      </c>
      <c r="I3569" t="s">
        <v>217</v>
      </c>
      <c r="J3569">
        <v>1</v>
      </c>
      <c r="N3569">
        <f>Таблица1[[#This Row],[Часов на заказчика  в работе]]+Таблица1[[#This Row],[Часов на заказчика  дежурство]]</f>
        <v>0</v>
      </c>
      <c r="O35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69" s="9"/>
      <c r="R3569" s="9"/>
      <c r="S3569" s="5">
        <v>1</v>
      </c>
      <c r="T35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табеле]])*S3569,0)</f>
        <v>0</v>
      </c>
      <c r="U3569" s="5">
        <f>IF(Таблица1[[#This Row],[ТТН]]&gt;0,Таблица1[[#This Row],[Ставка за ТТН]]*Таблица1[[#This Row],[ТТН]],0)</f>
        <v>0</v>
      </c>
    </row>
    <row r="3570" spans="1:21" x14ac:dyDescent="0.25">
      <c r="A3570" t="s">
        <v>84</v>
      </c>
      <c r="B3570" s="24">
        <v>16</v>
      </c>
      <c r="C3570" t="s">
        <v>202</v>
      </c>
      <c r="D3570" t="s">
        <v>12</v>
      </c>
      <c r="E3570" t="s">
        <v>216</v>
      </c>
      <c r="H3570" t="s">
        <v>44</v>
      </c>
      <c r="I3570" t="s">
        <v>217</v>
      </c>
      <c r="J3570">
        <v>1</v>
      </c>
      <c r="N3570">
        <f>Таблица1[[#This Row],[Часов на заказчика  в работе]]+Таблица1[[#This Row],[Часов на заказчика  дежурство]]</f>
        <v>0</v>
      </c>
      <c r="O35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0" s="9"/>
      <c r="R3570" s="9"/>
      <c r="S3570" s="5">
        <v>1</v>
      </c>
      <c r="T35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табеле]])*S3570,0)</f>
        <v>0</v>
      </c>
      <c r="U3570" s="5">
        <f>IF(Таблица1[[#This Row],[ТТН]]&gt;0,Таблица1[[#This Row],[Ставка за ТТН]]*Таблица1[[#This Row],[ТТН]],0)</f>
        <v>0</v>
      </c>
    </row>
    <row r="3571" spans="1:21" x14ac:dyDescent="0.25">
      <c r="A3571" t="s">
        <v>84</v>
      </c>
      <c r="B3571" s="24">
        <v>17</v>
      </c>
      <c r="C3571" t="s">
        <v>202</v>
      </c>
      <c r="D3571" t="s">
        <v>12</v>
      </c>
      <c r="E3571" t="s">
        <v>216</v>
      </c>
      <c r="H3571" t="s">
        <v>44</v>
      </c>
      <c r="I3571" t="s">
        <v>217</v>
      </c>
      <c r="J3571">
        <v>1</v>
      </c>
      <c r="N3571">
        <f>Таблица1[[#This Row],[Часов на заказчика  в работе]]+Таблица1[[#This Row],[Часов на заказчика  дежурство]]</f>
        <v>0</v>
      </c>
      <c r="O35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1" s="9"/>
      <c r="R3571" s="9"/>
      <c r="S3571" s="5">
        <v>1</v>
      </c>
      <c r="T35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табеле]])*S3571,0)</f>
        <v>0</v>
      </c>
      <c r="U3571" s="5">
        <f>IF(Таблица1[[#This Row],[ТТН]]&gt;0,Таблица1[[#This Row],[Ставка за ТТН]]*Таблица1[[#This Row],[ТТН]],0)</f>
        <v>0</v>
      </c>
    </row>
    <row r="3572" spans="1:21" x14ac:dyDescent="0.25">
      <c r="A3572" t="s">
        <v>84</v>
      </c>
      <c r="B3572" s="24">
        <v>18</v>
      </c>
      <c r="C3572" t="s">
        <v>202</v>
      </c>
      <c r="D3572" t="s">
        <v>12</v>
      </c>
      <c r="E3572" t="s">
        <v>216</v>
      </c>
      <c r="H3572" t="s">
        <v>44</v>
      </c>
      <c r="I3572" t="s">
        <v>217</v>
      </c>
      <c r="J3572">
        <v>1</v>
      </c>
      <c r="N3572">
        <f>Таблица1[[#This Row],[Часов на заказчика  в работе]]+Таблица1[[#This Row],[Часов на заказчика  дежурство]]</f>
        <v>0</v>
      </c>
      <c r="O35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2" s="9"/>
      <c r="R3572" s="9"/>
      <c r="S3572" s="5">
        <v>1</v>
      </c>
      <c r="T35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табеле]])*S3572,0)</f>
        <v>0</v>
      </c>
      <c r="U3572" s="5">
        <f>IF(Таблица1[[#This Row],[ТТН]]&gt;0,Таблица1[[#This Row],[Ставка за ТТН]]*Таблица1[[#This Row],[ТТН]],0)</f>
        <v>0</v>
      </c>
    </row>
    <row r="3573" spans="1:21" x14ac:dyDescent="0.25">
      <c r="A3573" t="s">
        <v>84</v>
      </c>
      <c r="B3573" s="24">
        <v>19</v>
      </c>
      <c r="C3573" t="s">
        <v>202</v>
      </c>
      <c r="D3573" t="s">
        <v>12</v>
      </c>
      <c r="E3573" t="s">
        <v>216</v>
      </c>
      <c r="H3573" t="s">
        <v>44</v>
      </c>
      <c r="I3573" t="s">
        <v>217</v>
      </c>
      <c r="J3573">
        <v>1</v>
      </c>
      <c r="N3573">
        <f>Таблица1[[#This Row],[Часов на заказчика  в работе]]+Таблица1[[#This Row],[Часов на заказчика  дежурство]]</f>
        <v>0</v>
      </c>
      <c r="O35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3" s="9"/>
      <c r="R3573" s="9"/>
      <c r="S3573" s="5">
        <v>1</v>
      </c>
      <c r="T35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табеле]])*S3573,0)</f>
        <v>0</v>
      </c>
      <c r="U3573" s="5">
        <f>IF(Таблица1[[#This Row],[ТТН]]&gt;0,Таблица1[[#This Row],[Ставка за ТТН]]*Таблица1[[#This Row],[ТТН]],0)</f>
        <v>0</v>
      </c>
    </row>
    <row r="3574" spans="1:21" x14ac:dyDescent="0.25">
      <c r="A3574" t="s">
        <v>84</v>
      </c>
      <c r="B3574" s="24">
        <v>20</v>
      </c>
      <c r="C3574" t="s">
        <v>202</v>
      </c>
      <c r="D3574" t="s">
        <v>12</v>
      </c>
      <c r="E3574" t="s">
        <v>216</v>
      </c>
      <c r="H3574" t="s">
        <v>44</v>
      </c>
      <c r="I3574" t="s">
        <v>217</v>
      </c>
      <c r="J3574">
        <v>1</v>
      </c>
      <c r="N3574">
        <f>Таблица1[[#This Row],[Часов на заказчика  в работе]]+Таблица1[[#This Row],[Часов на заказчика  дежурство]]</f>
        <v>0</v>
      </c>
      <c r="O35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4" s="9"/>
      <c r="R3574" s="9"/>
      <c r="S3574" s="5">
        <v>1</v>
      </c>
      <c r="T35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табеле]])*S3574,0)</f>
        <v>0</v>
      </c>
      <c r="U3574" s="5">
        <f>IF(Таблица1[[#This Row],[ТТН]]&gt;0,Таблица1[[#This Row],[Ставка за ТТН]]*Таблица1[[#This Row],[ТТН]],0)</f>
        <v>0</v>
      </c>
    </row>
    <row r="3575" spans="1:21" x14ac:dyDescent="0.25">
      <c r="A3575" t="s">
        <v>84</v>
      </c>
      <c r="B3575" s="24">
        <v>21</v>
      </c>
      <c r="C3575" t="s">
        <v>202</v>
      </c>
      <c r="D3575" t="s">
        <v>12</v>
      </c>
      <c r="E3575" t="s">
        <v>216</v>
      </c>
      <c r="H3575" t="s">
        <v>44</v>
      </c>
      <c r="I3575" t="s">
        <v>217</v>
      </c>
      <c r="J3575">
        <v>1</v>
      </c>
      <c r="N3575">
        <f>Таблица1[[#This Row],[Часов на заказчика  в работе]]+Таблица1[[#This Row],[Часов на заказчика  дежурство]]</f>
        <v>0</v>
      </c>
      <c r="O35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5" s="9"/>
      <c r="R3575" s="9"/>
      <c r="S3575" s="5">
        <v>1</v>
      </c>
      <c r="T35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табеле]])*S3575,0)</f>
        <v>0</v>
      </c>
      <c r="U3575" s="5">
        <f>IF(Таблица1[[#This Row],[ТТН]]&gt;0,Таблица1[[#This Row],[Ставка за ТТН]]*Таблица1[[#This Row],[ТТН]],0)</f>
        <v>0</v>
      </c>
    </row>
    <row r="3576" spans="1:21" x14ac:dyDescent="0.25">
      <c r="A3576" t="s">
        <v>84</v>
      </c>
      <c r="B3576" s="24">
        <v>22</v>
      </c>
      <c r="C3576" t="s">
        <v>202</v>
      </c>
      <c r="D3576" t="s">
        <v>12</v>
      </c>
      <c r="E3576" t="s">
        <v>216</v>
      </c>
      <c r="H3576" t="s">
        <v>44</v>
      </c>
      <c r="I3576" t="s">
        <v>217</v>
      </c>
      <c r="J3576">
        <v>1</v>
      </c>
      <c r="N3576">
        <f>Таблица1[[#This Row],[Часов на заказчика  в работе]]+Таблица1[[#This Row],[Часов на заказчика  дежурство]]</f>
        <v>0</v>
      </c>
      <c r="O35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6" s="9"/>
      <c r="R3576" s="9"/>
      <c r="S3576" s="5">
        <v>1</v>
      </c>
      <c r="T35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табеле]])*S3576,0)</f>
        <v>0</v>
      </c>
      <c r="U3576" s="5">
        <f>IF(Таблица1[[#This Row],[ТТН]]&gt;0,Таблица1[[#This Row],[Ставка за ТТН]]*Таблица1[[#This Row],[ТТН]],0)</f>
        <v>0</v>
      </c>
    </row>
    <row r="3577" spans="1:21" x14ac:dyDescent="0.25">
      <c r="A3577" t="s">
        <v>84</v>
      </c>
      <c r="B3577" s="24">
        <v>23</v>
      </c>
      <c r="C3577" t="s">
        <v>202</v>
      </c>
      <c r="D3577" t="s">
        <v>12</v>
      </c>
      <c r="E3577" t="s">
        <v>216</v>
      </c>
      <c r="H3577" t="s">
        <v>44</v>
      </c>
      <c r="I3577" t="s">
        <v>217</v>
      </c>
      <c r="J3577">
        <v>1</v>
      </c>
      <c r="N3577">
        <f>Таблица1[[#This Row],[Часов на заказчика  в работе]]+Таблица1[[#This Row],[Часов на заказчика  дежурство]]</f>
        <v>0</v>
      </c>
      <c r="O35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7" s="9"/>
      <c r="R3577" s="9"/>
      <c r="S3577" s="5">
        <v>1</v>
      </c>
      <c r="T35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табеле]])*S3577,0)</f>
        <v>0</v>
      </c>
      <c r="U3577" s="5">
        <f>IF(Таблица1[[#This Row],[ТТН]]&gt;0,Таблица1[[#This Row],[Ставка за ТТН]]*Таблица1[[#This Row],[ТТН]],0)</f>
        <v>0</v>
      </c>
    </row>
    <row r="3578" spans="1:21" x14ac:dyDescent="0.25">
      <c r="A3578" t="s">
        <v>84</v>
      </c>
      <c r="B3578" s="24">
        <v>24</v>
      </c>
      <c r="C3578" t="s">
        <v>202</v>
      </c>
      <c r="D3578" t="s">
        <v>12</v>
      </c>
      <c r="E3578" t="s">
        <v>216</v>
      </c>
      <c r="H3578" t="s">
        <v>44</v>
      </c>
      <c r="I3578" t="s">
        <v>217</v>
      </c>
      <c r="J3578">
        <v>1</v>
      </c>
      <c r="N3578">
        <f>Таблица1[[#This Row],[Часов на заказчика  в работе]]+Таблица1[[#This Row],[Часов на заказчика  дежурство]]</f>
        <v>0</v>
      </c>
      <c r="O35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8" s="9"/>
      <c r="R3578" s="9"/>
      <c r="S3578" s="5">
        <v>1</v>
      </c>
      <c r="T35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табеле]])*S3578,0)</f>
        <v>0</v>
      </c>
      <c r="U3578" s="5">
        <f>IF(Таблица1[[#This Row],[ТТН]]&gt;0,Таблица1[[#This Row],[Ставка за ТТН]]*Таблица1[[#This Row],[ТТН]],0)</f>
        <v>0</v>
      </c>
    </row>
    <row r="3579" spans="1:21" x14ac:dyDescent="0.25">
      <c r="A3579" t="s">
        <v>84</v>
      </c>
      <c r="B3579" s="24">
        <v>25</v>
      </c>
      <c r="C3579" t="s">
        <v>202</v>
      </c>
      <c r="D3579" t="s">
        <v>12</v>
      </c>
      <c r="E3579" t="s">
        <v>216</v>
      </c>
      <c r="H3579" t="s">
        <v>44</v>
      </c>
      <c r="I3579" t="s">
        <v>217</v>
      </c>
      <c r="J3579">
        <v>1</v>
      </c>
      <c r="N3579">
        <f>Таблица1[[#This Row],[Часов на заказчика  в работе]]+Таблица1[[#This Row],[Часов на заказчика  дежурство]]</f>
        <v>0</v>
      </c>
      <c r="O35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79" s="9"/>
      <c r="R3579" s="9"/>
      <c r="S3579" s="5">
        <v>1</v>
      </c>
      <c r="T35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табеле]])*S3579,0)</f>
        <v>0</v>
      </c>
      <c r="U3579" s="5">
        <f>IF(Таблица1[[#This Row],[ТТН]]&gt;0,Таблица1[[#This Row],[Ставка за ТТН]]*Таблица1[[#This Row],[ТТН]],0)</f>
        <v>0</v>
      </c>
    </row>
    <row r="3580" spans="1:21" x14ac:dyDescent="0.25">
      <c r="A3580" t="s">
        <v>84</v>
      </c>
      <c r="B3580" s="24">
        <v>26</v>
      </c>
      <c r="C3580" t="s">
        <v>202</v>
      </c>
      <c r="D3580" t="s">
        <v>12</v>
      </c>
      <c r="E3580" t="s">
        <v>216</v>
      </c>
      <c r="H3580" t="s">
        <v>44</v>
      </c>
      <c r="I3580" t="s">
        <v>217</v>
      </c>
      <c r="J3580">
        <v>1</v>
      </c>
      <c r="N3580">
        <f>Таблица1[[#This Row],[Часов на заказчика  в работе]]+Таблица1[[#This Row],[Часов на заказчика  дежурство]]</f>
        <v>0</v>
      </c>
      <c r="O35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0" s="9"/>
      <c r="R3580" s="9"/>
      <c r="S3580" s="5">
        <v>1</v>
      </c>
      <c r="T35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табеле]])*S3580,0)</f>
        <v>0</v>
      </c>
      <c r="U3580" s="5">
        <f>IF(Таблица1[[#This Row],[ТТН]]&gt;0,Таблица1[[#This Row],[Ставка за ТТН]]*Таблица1[[#This Row],[ТТН]],0)</f>
        <v>0</v>
      </c>
    </row>
    <row r="3581" spans="1:21" x14ac:dyDescent="0.25">
      <c r="A3581" t="s">
        <v>84</v>
      </c>
      <c r="B3581" s="24">
        <v>27</v>
      </c>
      <c r="C3581" t="s">
        <v>202</v>
      </c>
      <c r="D3581" t="s">
        <v>12</v>
      </c>
      <c r="E3581" t="s">
        <v>216</v>
      </c>
      <c r="H3581" t="s">
        <v>44</v>
      </c>
      <c r="I3581" t="s">
        <v>217</v>
      </c>
      <c r="J3581">
        <v>1</v>
      </c>
      <c r="N3581">
        <f>Таблица1[[#This Row],[Часов на заказчика  в работе]]+Таблица1[[#This Row],[Часов на заказчика  дежурство]]</f>
        <v>0</v>
      </c>
      <c r="O35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1" s="9"/>
      <c r="R3581" s="9"/>
      <c r="S3581" s="5">
        <v>1</v>
      </c>
      <c r="T35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табеле]])*S3581,0)</f>
        <v>0</v>
      </c>
      <c r="U3581" s="5">
        <f>IF(Таблица1[[#This Row],[ТТН]]&gt;0,Таблица1[[#This Row],[Ставка за ТТН]]*Таблица1[[#This Row],[ТТН]],0)</f>
        <v>0</v>
      </c>
    </row>
    <row r="3582" spans="1:21" x14ac:dyDescent="0.25">
      <c r="A3582" t="s">
        <v>84</v>
      </c>
      <c r="B3582" s="24">
        <v>28</v>
      </c>
      <c r="C3582" t="s">
        <v>202</v>
      </c>
      <c r="D3582" t="s">
        <v>12</v>
      </c>
      <c r="E3582" t="s">
        <v>216</v>
      </c>
      <c r="H3582" t="s">
        <v>44</v>
      </c>
      <c r="I3582" t="s">
        <v>217</v>
      </c>
      <c r="J3582">
        <v>1</v>
      </c>
      <c r="N3582">
        <f>Таблица1[[#This Row],[Часов на заказчика  в работе]]+Таблица1[[#This Row],[Часов на заказчика  дежурство]]</f>
        <v>0</v>
      </c>
      <c r="O35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2" s="9"/>
      <c r="R3582" s="9"/>
      <c r="S3582" s="5">
        <v>1</v>
      </c>
      <c r="T35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табеле]])*S3582,0)</f>
        <v>0</v>
      </c>
      <c r="U3582" s="5">
        <f>IF(Таблица1[[#This Row],[ТТН]]&gt;0,Таблица1[[#This Row],[Ставка за ТТН]]*Таблица1[[#This Row],[ТТН]],0)</f>
        <v>0</v>
      </c>
    </row>
    <row r="3583" spans="1:21" x14ac:dyDescent="0.25">
      <c r="A3583" t="s">
        <v>84</v>
      </c>
      <c r="B3583" s="24">
        <v>29</v>
      </c>
      <c r="C3583" t="s">
        <v>202</v>
      </c>
      <c r="D3583" t="s">
        <v>12</v>
      </c>
      <c r="E3583" t="s">
        <v>216</v>
      </c>
      <c r="H3583" t="s">
        <v>44</v>
      </c>
      <c r="I3583" t="s">
        <v>217</v>
      </c>
      <c r="J3583">
        <v>1</v>
      </c>
      <c r="N3583">
        <f>Таблица1[[#This Row],[Часов на заказчика  в работе]]+Таблица1[[#This Row],[Часов на заказчика  дежурство]]</f>
        <v>0</v>
      </c>
      <c r="O35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3" s="9"/>
      <c r="R3583" s="9"/>
      <c r="S3583" s="5">
        <v>1</v>
      </c>
      <c r="T35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табеле]])*S3583,0)</f>
        <v>0</v>
      </c>
      <c r="U3583" s="5">
        <f>IF(Таблица1[[#This Row],[ТТН]]&gt;0,Таблица1[[#This Row],[Ставка за ТТН]]*Таблица1[[#This Row],[ТТН]],0)</f>
        <v>0</v>
      </c>
    </row>
    <row r="3584" spans="1:21" x14ac:dyDescent="0.25">
      <c r="A3584" t="s">
        <v>84</v>
      </c>
      <c r="B3584" s="24">
        <v>30</v>
      </c>
      <c r="C3584" t="s">
        <v>160</v>
      </c>
      <c r="D3584" t="s">
        <v>12</v>
      </c>
      <c r="E3584" t="s">
        <v>216</v>
      </c>
      <c r="H3584" t="s">
        <v>44</v>
      </c>
      <c r="I3584" t="s">
        <v>217</v>
      </c>
      <c r="J3584">
        <v>1</v>
      </c>
      <c r="N3584">
        <f>Таблица1[[#This Row],[Часов на заказчика  в работе]]+Таблица1[[#This Row],[Часов на заказчика  дежурство]]</f>
        <v>0</v>
      </c>
      <c r="O35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4" s="9"/>
      <c r="R3584" s="9"/>
      <c r="S3584" s="5">
        <v>1</v>
      </c>
      <c r="T35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табеле]])*S3584,0)</f>
        <v>0</v>
      </c>
      <c r="U3584" s="5">
        <f>IF(Таблица1[[#This Row],[ТТН]]&gt;0,Таблица1[[#This Row],[Ставка за ТТН]]*Таблица1[[#This Row],[ТТН]],0)</f>
        <v>0</v>
      </c>
    </row>
    <row r="3585" spans="1:21" x14ac:dyDescent="0.25">
      <c r="A3585" t="s">
        <v>84</v>
      </c>
      <c r="B3585" s="24">
        <v>1</v>
      </c>
      <c r="C3585" t="s">
        <v>160</v>
      </c>
      <c r="D3585" t="s">
        <v>9</v>
      </c>
      <c r="E3585" t="s">
        <v>216</v>
      </c>
      <c r="F3585" t="s">
        <v>9</v>
      </c>
      <c r="H3585" t="s">
        <v>52</v>
      </c>
      <c r="I3585" t="s">
        <v>217</v>
      </c>
      <c r="J3585">
        <v>1</v>
      </c>
      <c r="N3585">
        <f>Таблица1[[#This Row],[Часов на заказчика  в работе]]+Таблица1[[#This Row],[Часов на заказчика  дежурство]]</f>
        <v>0</v>
      </c>
      <c r="O35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5" s="9"/>
      <c r="R3585" s="9"/>
      <c r="S3585" s="5">
        <v>1</v>
      </c>
      <c r="T35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табеле]])*S3585,0)</f>
        <v>0</v>
      </c>
      <c r="U3585" s="5">
        <f>IF(Таблица1[[#This Row],[ТТН]]&gt;0,Таблица1[[#This Row],[Ставка за ТТН]]*Таблица1[[#This Row],[ТТН]],0)</f>
        <v>0</v>
      </c>
    </row>
    <row r="3586" spans="1:21" x14ac:dyDescent="0.25">
      <c r="A3586" t="s">
        <v>84</v>
      </c>
      <c r="B3586" s="24">
        <v>2</v>
      </c>
      <c r="C3586" t="s">
        <v>160</v>
      </c>
      <c r="D3586" t="s">
        <v>9</v>
      </c>
      <c r="E3586" t="s">
        <v>216</v>
      </c>
      <c r="F3586" t="s">
        <v>9</v>
      </c>
      <c r="H3586" t="s">
        <v>52</v>
      </c>
      <c r="I3586" t="s">
        <v>217</v>
      </c>
      <c r="J3586">
        <v>1</v>
      </c>
      <c r="N3586">
        <f>Таблица1[[#This Row],[Часов на заказчика  в работе]]+Таблица1[[#This Row],[Часов на заказчика  дежурство]]</f>
        <v>0</v>
      </c>
      <c r="O35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6" s="9"/>
      <c r="R3586" s="9"/>
      <c r="S3586" s="5">
        <v>1</v>
      </c>
      <c r="T35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табеле]])*S3586,0)</f>
        <v>0</v>
      </c>
      <c r="U3586" s="5">
        <f>IF(Таблица1[[#This Row],[ТТН]]&gt;0,Таблица1[[#This Row],[Ставка за ТТН]]*Таблица1[[#This Row],[ТТН]],0)</f>
        <v>0</v>
      </c>
    </row>
    <row r="3587" spans="1:21" x14ac:dyDescent="0.25">
      <c r="A3587" t="s">
        <v>84</v>
      </c>
      <c r="B3587" s="24">
        <v>3</v>
      </c>
      <c r="C3587" t="s">
        <v>160</v>
      </c>
      <c r="D3587" t="s">
        <v>9</v>
      </c>
      <c r="E3587" t="s">
        <v>216</v>
      </c>
      <c r="F3587" t="s">
        <v>9</v>
      </c>
      <c r="H3587" t="s">
        <v>52</v>
      </c>
      <c r="I3587" t="s">
        <v>217</v>
      </c>
      <c r="J3587">
        <v>1</v>
      </c>
      <c r="N3587">
        <f>Таблица1[[#This Row],[Часов на заказчика  в работе]]+Таблица1[[#This Row],[Часов на заказчика  дежурство]]</f>
        <v>0</v>
      </c>
      <c r="O35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7" s="9"/>
      <c r="R3587" s="9"/>
      <c r="S3587" s="5">
        <v>1</v>
      </c>
      <c r="T35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табеле]])*S3587,0)</f>
        <v>0</v>
      </c>
      <c r="U3587" s="5">
        <f>IF(Таблица1[[#This Row],[ТТН]]&gt;0,Таблица1[[#This Row],[Ставка за ТТН]]*Таблица1[[#This Row],[ТТН]],0)</f>
        <v>0</v>
      </c>
    </row>
    <row r="3588" spans="1:21" x14ac:dyDescent="0.25">
      <c r="A3588" t="s">
        <v>84</v>
      </c>
      <c r="B3588" s="24">
        <v>4</v>
      </c>
      <c r="C3588" t="s">
        <v>160</v>
      </c>
      <c r="D3588" t="s">
        <v>9</v>
      </c>
      <c r="E3588" t="s">
        <v>216</v>
      </c>
      <c r="F3588" t="s">
        <v>9</v>
      </c>
      <c r="H3588" t="s">
        <v>52</v>
      </c>
      <c r="I3588" t="s">
        <v>217</v>
      </c>
      <c r="J3588">
        <v>1</v>
      </c>
      <c r="N3588">
        <f>Таблица1[[#This Row],[Часов на заказчика  в работе]]+Таблица1[[#This Row],[Часов на заказчика  дежурство]]</f>
        <v>0</v>
      </c>
      <c r="O35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8" s="9"/>
      <c r="R3588" s="9"/>
      <c r="S3588" s="5">
        <v>1</v>
      </c>
      <c r="T35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табеле]])*S3588,0)</f>
        <v>0</v>
      </c>
      <c r="U3588" s="5">
        <f>IF(Таблица1[[#This Row],[ТТН]]&gt;0,Таблица1[[#This Row],[Ставка за ТТН]]*Таблица1[[#This Row],[ТТН]],0)</f>
        <v>0</v>
      </c>
    </row>
    <row r="3589" spans="1:21" x14ac:dyDescent="0.25">
      <c r="A3589" t="s">
        <v>84</v>
      </c>
      <c r="B3589" s="24">
        <v>5</v>
      </c>
      <c r="C3589" t="s">
        <v>160</v>
      </c>
      <c r="D3589" t="s">
        <v>9</v>
      </c>
      <c r="E3589" t="s">
        <v>216</v>
      </c>
      <c r="F3589" t="s">
        <v>9</v>
      </c>
      <c r="H3589" t="s">
        <v>52</v>
      </c>
      <c r="I3589" t="s">
        <v>217</v>
      </c>
      <c r="J3589">
        <v>1</v>
      </c>
      <c r="N3589">
        <f>Таблица1[[#This Row],[Часов на заказчика  в работе]]+Таблица1[[#This Row],[Часов на заказчика  дежурство]]</f>
        <v>0</v>
      </c>
      <c r="O35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89" s="9"/>
      <c r="R3589" s="9"/>
      <c r="S3589" s="5">
        <v>1</v>
      </c>
      <c r="T35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табеле]])*S3589,0)</f>
        <v>0</v>
      </c>
      <c r="U3589" s="5">
        <f>IF(Таблица1[[#This Row],[ТТН]]&gt;0,Таблица1[[#This Row],[Ставка за ТТН]]*Таблица1[[#This Row],[ТТН]],0)</f>
        <v>0</v>
      </c>
    </row>
    <row r="3590" spans="1:21" x14ac:dyDescent="0.25">
      <c r="A3590" t="s">
        <v>84</v>
      </c>
      <c r="B3590" s="24">
        <v>6</v>
      </c>
      <c r="C3590" t="s">
        <v>160</v>
      </c>
      <c r="D3590" t="s">
        <v>9</v>
      </c>
      <c r="E3590" t="s">
        <v>216</v>
      </c>
      <c r="F3590" t="s">
        <v>9</v>
      </c>
      <c r="H3590" t="s">
        <v>52</v>
      </c>
      <c r="I3590" t="s">
        <v>217</v>
      </c>
      <c r="J3590">
        <v>1</v>
      </c>
      <c r="N3590">
        <f>Таблица1[[#This Row],[Часов на заказчика  в работе]]+Таблица1[[#This Row],[Часов на заказчика  дежурство]]</f>
        <v>0</v>
      </c>
      <c r="O35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0" s="9"/>
      <c r="R3590" s="9"/>
      <c r="S3590" s="5">
        <v>1</v>
      </c>
      <c r="T35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табеле]])*S3590,0)</f>
        <v>0</v>
      </c>
      <c r="U3590" s="5">
        <f>IF(Таблица1[[#This Row],[ТТН]]&gt;0,Таблица1[[#This Row],[Ставка за ТТН]]*Таблица1[[#This Row],[ТТН]],0)</f>
        <v>0</v>
      </c>
    </row>
    <row r="3591" spans="1:21" x14ac:dyDescent="0.25">
      <c r="A3591" t="s">
        <v>84</v>
      </c>
      <c r="B3591" s="24">
        <v>7</v>
      </c>
      <c r="C3591" t="s">
        <v>160</v>
      </c>
      <c r="D3591" t="s">
        <v>9</v>
      </c>
      <c r="E3591" t="s">
        <v>216</v>
      </c>
      <c r="F3591" t="s">
        <v>9</v>
      </c>
      <c r="H3591" t="s">
        <v>52</v>
      </c>
      <c r="I3591" t="s">
        <v>217</v>
      </c>
      <c r="J3591">
        <v>1</v>
      </c>
      <c r="N3591">
        <f>Таблица1[[#This Row],[Часов на заказчика  в работе]]+Таблица1[[#This Row],[Часов на заказчика  дежурство]]</f>
        <v>0</v>
      </c>
      <c r="O35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1" s="9"/>
      <c r="R3591" s="9"/>
      <c r="S3591" s="5">
        <v>1</v>
      </c>
      <c r="T35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табеле]])*S3591,0)</f>
        <v>0</v>
      </c>
      <c r="U3591" s="5">
        <f>IF(Таблица1[[#This Row],[ТТН]]&gt;0,Таблица1[[#This Row],[Ставка за ТТН]]*Таблица1[[#This Row],[ТТН]],0)</f>
        <v>0</v>
      </c>
    </row>
    <row r="3592" spans="1:21" x14ac:dyDescent="0.25">
      <c r="A3592" t="s">
        <v>84</v>
      </c>
      <c r="B3592" s="24">
        <v>8</v>
      </c>
      <c r="C3592" t="s">
        <v>160</v>
      </c>
      <c r="D3592" t="s">
        <v>9</v>
      </c>
      <c r="E3592" t="s">
        <v>216</v>
      </c>
      <c r="F3592" t="s">
        <v>9</v>
      </c>
      <c r="H3592" t="s">
        <v>52</v>
      </c>
      <c r="I3592" t="s">
        <v>217</v>
      </c>
      <c r="J3592">
        <v>1</v>
      </c>
      <c r="N3592">
        <f>Таблица1[[#This Row],[Часов на заказчика  в работе]]+Таблица1[[#This Row],[Часов на заказчика  дежурство]]</f>
        <v>0</v>
      </c>
      <c r="O35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2" s="9"/>
      <c r="R3592" s="9"/>
      <c r="S3592" s="5">
        <v>1</v>
      </c>
      <c r="T35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табеле]])*S3592,0)</f>
        <v>0</v>
      </c>
      <c r="U3592" s="5">
        <f>IF(Таблица1[[#This Row],[ТТН]]&gt;0,Таблица1[[#This Row],[Ставка за ТТН]]*Таблица1[[#This Row],[ТТН]],0)</f>
        <v>0</v>
      </c>
    </row>
    <row r="3593" spans="1:21" x14ac:dyDescent="0.25">
      <c r="A3593" t="s">
        <v>84</v>
      </c>
      <c r="B3593" s="24">
        <v>9</v>
      </c>
      <c r="C3593" t="s">
        <v>160</v>
      </c>
      <c r="D3593" t="s">
        <v>9</v>
      </c>
      <c r="E3593" t="s">
        <v>216</v>
      </c>
      <c r="F3593" t="s">
        <v>9</v>
      </c>
      <c r="H3593" t="s">
        <v>52</v>
      </c>
      <c r="I3593" t="s">
        <v>217</v>
      </c>
      <c r="J3593">
        <v>1</v>
      </c>
      <c r="N3593">
        <f>Таблица1[[#This Row],[Часов на заказчика  в работе]]+Таблица1[[#This Row],[Часов на заказчика  дежурство]]</f>
        <v>0</v>
      </c>
      <c r="O35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3" s="9"/>
      <c r="R3593" s="9"/>
      <c r="S3593" s="5">
        <v>1</v>
      </c>
      <c r="T35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табеле]])*S3593,0)</f>
        <v>0</v>
      </c>
      <c r="U3593" s="5">
        <f>IF(Таблица1[[#This Row],[ТТН]]&gt;0,Таблица1[[#This Row],[Ставка за ТТН]]*Таблица1[[#This Row],[ТТН]],0)</f>
        <v>0</v>
      </c>
    </row>
    <row r="3594" spans="1:21" x14ac:dyDescent="0.25">
      <c r="A3594" t="s">
        <v>84</v>
      </c>
      <c r="B3594" s="24">
        <v>10</v>
      </c>
      <c r="C3594" t="s">
        <v>160</v>
      </c>
      <c r="D3594" t="s">
        <v>9</v>
      </c>
      <c r="E3594" t="s">
        <v>216</v>
      </c>
      <c r="F3594" t="s">
        <v>9</v>
      </c>
      <c r="H3594" t="s">
        <v>52</v>
      </c>
      <c r="I3594" t="s">
        <v>217</v>
      </c>
      <c r="J3594">
        <v>1</v>
      </c>
      <c r="N3594">
        <f>Таблица1[[#This Row],[Часов на заказчика  в работе]]+Таблица1[[#This Row],[Часов на заказчика  дежурство]]</f>
        <v>0</v>
      </c>
      <c r="O35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4" s="9"/>
      <c r="R3594" s="9"/>
      <c r="S3594" s="5">
        <v>1</v>
      </c>
      <c r="T35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табеле]])*S3594,0)</f>
        <v>0</v>
      </c>
      <c r="U3594" s="5">
        <f>IF(Таблица1[[#This Row],[ТТН]]&gt;0,Таблица1[[#This Row],[Ставка за ТТН]]*Таблица1[[#This Row],[ТТН]],0)</f>
        <v>0</v>
      </c>
    </row>
    <row r="3595" spans="1:21" x14ac:dyDescent="0.25">
      <c r="A3595" t="s">
        <v>84</v>
      </c>
      <c r="B3595" s="24">
        <v>11</v>
      </c>
      <c r="C3595" t="s">
        <v>160</v>
      </c>
      <c r="D3595" t="s">
        <v>9</v>
      </c>
      <c r="E3595" t="s">
        <v>216</v>
      </c>
      <c r="F3595" t="s">
        <v>9</v>
      </c>
      <c r="H3595" t="s">
        <v>52</v>
      </c>
      <c r="I3595" t="s">
        <v>217</v>
      </c>
      <c r="J3595">
        <v>1</v>
      </c>
      <c r="N3595">
        <f>Таблица1[[#This Row],[Часов на заказчика  в работе]]+Таблица1[[#This Row],[Часов на заказчика  дежурство]]</f>
        <v>0</v>
      </c>
      <c r="O35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5" s="9"/>
      <c r="R3595" s="9"/>
      <c r="S3595" s="5">
        <v>1</v>
      </c>
      <c r="T35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табеле]])*S3595,0)</f>
        <v>0</v>
      </c>
      <c r="U3595" s="5">
        <f>IF(Таблица1[[#This Row],[ТТН]]&gt;0,Таблица1[[#This Row],[Ставка за ТТН]]*Таблица1[[#This Row],[ТТН]],0)</f>
        <v>0</v>
      </c>
    </row>
    <row r="3596" spans="1:21" x14ac:dyDescent="0.25">
      <c r="A3596" t="s">
        <v>84</v>
      </c>
      <c r="B3596" s="24">
        <v>12</v>
      </c>
      <c r="C3596" t="s">
        <v>160</v>
      </c>
      <c r="D3596" t="s">
        <v>9</v>
      </c>
      <c r="E3596" t="s">
        <v>216</v>
      </c>
      <c r="F3596" t="s">
        <v>9</v>
      </c>
      <c r="H3596" t="s">
        <v>52</v>
      </c>
      <c r="I3596" t="s">
        <v>217</v>
      </c>
      <c r="J3596">
        <v>1</v>
      </c>
      <c r="N3596">
        <f>Таблица1[[#This Row],[Часов на заказчика  в работе]]+Таблица1[[#This Row],[Часов на заказчика  дежурство]]</f>
        <v>0</v>
      </c>
      <c r="O35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6" s="9"/>
      <c r="R3596" s="9"/>
      <c r="S3596" s="5">
        <v>1</v>
      </c>
      <c r="T35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табеле]])*S3596,0)</f>
        <v>0</v>
      </c>
      <c r="U3596" s="5">
        <f>IF(Таблица1[[#This Row],[ТТН]]&gt;0,Таблица1[[#This Row],[Ставка за ТТН]]*Таблица1[[#This Row],[ТТН]],0)</f>
        <v>0</v>
      </c>
    </row>
    <row r="3597" spans="1:21" x14ac:dyDescent="0.25">
      <c r="A3597" t="s">
        <v>84</v>
      </c>
      <c r="B3597" s="24">
        <v>13</v>
      </c>
      <c r="C3597" t="s">
        <v>160</v>
      </c>
      <c r="D3597" t="s">
        <v>9</v>
      </c>
      <c r="E3597" t="s">
        <v>216</v>
      </c>
      <c r="F3597" t="s">
        <v>9</v>
      </c>
      <c r="H3597" t="s">
        <v>52</v>
      </c>
      <c r="I3597" t="s">
        <v>217</v>
      </c>
      <c r="J3597">
        <v>1</v>
      </c>
      <c r="N3597">
        <f>Таблица1[[#This Row],[Часов на заказчика  в работе]]+Таблица1[[#This Row],[Часов на заказчика  дежурство]]</f>
        <v>0</v>
      </c>
      <c r="O35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7" s="9"/>
      <c r="R3597" s="9"/>
      <c r="S3597" s="5">
        <v>1</v>
      </c>
      <c r="T35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табеле]])*S3597,0)</f>
        <v>0</v>
      </c>
      <c r="U3597" s="5">
        <f>IF(Таблица1[[#This Row],[ТТН]]&gt;0,Таблица1[[#This Row],[Ставка за ТТН]]*Таблица1[[#This Row],[ТТН]],0)</f>
        <v>0</v>
      </c>
    </row>
    <row r="3598" spans="1:21" x14ac:dyDescent="0.25">
      <c r="A3598" t="s">
        <v>84</v>
      </c>
      <c r="B3598" s="24">
        <v>14</v>
      </c>
      <c r="C3598" t="s">
        <v>160</v>
      </c>
      <c r="D3598" t="s">
        <v>9</v>
      </c>
      <c r="E3598" t="s">
        <v>216</v>
      </c>
      <c r="F3598" t="s">
        <v>9</v>
      </c>
      <c r="H3598" t="s">
        <v>52</v>
      </c>
      <c r="I3598" t="s">
        <v>217</v>
      </c>
      <c r="J3598">
        <v>1</v>
      </c>
      <c r="N3598">
        <f>Таблица1[[#This Row],[Часов на заказчика  в работе]]+Таблица1[[#This Row],[Часов на заказчика  дежурство]]</f>
        <v>0</v>
      </c>
      <c r="O35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8" s="9"/>
      <c r="R3598" s="9"/>
      <c r="S3598" s="5">
        <v>1</v>
      </c>
      <c r="T35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табеле]])*S3598,0)</f>
        <v>0</v>
      </c>
      <c r="U3598" s="5">
        <f>IF(Таблица1[[#This Row],[ТТН]]&gt;0,Таблица1[[#This Row],[Ставка за ТТН]]*Таблица1[[#This Row],[ТТН]],0)</f>
        <v>0</v>
      </c>
    </row>
    <row r="3599" spans="1:21" x14ac:dyDescent="0.25">
      <c r="A3599" t="s">
        <v>84</v>
      </c>
      <c r="B3599" s="24">
        <v>15</v>
      </c>
      <c r="C3599" t="s">
        <v>160</v>
      </c>
      <c r="D3599" t="s">
        <v>9</v>
      </c>
      <c r="E3599" t="s">
        <v>216</v>
      </c>
      <c r="F3599" t="s">
        <v>9</v>
      </c>
      <c r="H3599" t="s">
        <v>52</v>
      </c>
      <c r="I3599" t="s">
        <v>217</v>
      </c>
      <c r="J3599">
        <v>1</v>
      </c>
      <c r="N3599">
        <f>Таблица1[[#This Row],[Часов на заказчика  в работе]]+Таблица1[[#This Row],[Часов на заказчика  дежурство]]</f>
        <v>0</v>
      </c>
      <c r="O35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599" s="9"/>
      <c r="R3599" s="9"/>
      <c r="S3599" s="5">
        <v>1</v>
      </c>
      <c r="T35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табеле]])*S3599,0)</f>
        <v>0</v>
      </c>
      <c r="U3599" s="5">
        <f>IF(Таблица1[[#This Row],[ТТН]]&gt;0,Таблица1[[#This Row],[Ставка за ТТН]]*Таблица1[[#This Row],[ТТН]],0)</f>
        <v>0</v>
      </c>
    </row>
    <row r="3600" spans="1:21" x14ac:dyDescent="0.25">
      <c r="A3600" t="s">
        <v>84</v>
      </c>
      <c r="B3600" s="24">
        <v>16</v>
      </c>
      <c r="C3600" t="s">
        <v>160</v>
      </c>
      <c r="D3600" t="s">
        <v>9</v>
      </c>
      <c r="E3600" t="s">
        <v>216</v>
      </c>
      <c r="F3600" t="s">
        <v>9</v>
      </c>
      <c r="H3600" t="s">
        <v>52</v>
      </c>
      <c r="I3600" t="s">
        <v>217</v>
      </c>
      <c r="J3600">
        <v>1</v>
      </c>
      <c r="N3600">
        <f>Таблица1[[#This Row],[Часов на заказчика  в работе]]+Таблица1[[#This Row],[Часов на заказчика  дежурство]]</f>
        <v>0</v>
      </c>
      <c r="O36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0" s="9"/>
      <c r="R3600" s="9"/>
      <c r="S3600" s="5">
        <v>1</v>
      </c>
      <c r="T36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табеле]])*S3600,0)</f>
        <v>0</v>
      </c>
      <c r="U3600" s="5">
        <f>IF(Таблица1[[#This Row],[ТТН]]&gt;0,Таблица1[[#This Row],[Ставка за ТТН]]*Таблица1[[#This Row],[ТТН]],0)</f>
        <v>0</v>
      </c>
    </row>
    <row r="3601" spans="1:21" x14ac:dyDescent="0.25">
      <c r="A3601" t="s">
        <v>84</v>
      </c>
      <c r="B3601" s="24">
        <v>17</v>
      </c>
      <c r="C3601" t="s">
        <v>160</v>
      </c>
      <c r="D3601" t="s">
        <v>9</v>
      </c>
      <c r="E3601" t="s">
        <v>216</v>
      </c>
      <c r="F3601" t="s">
        <v>9</v>
      </c>
      <c r="H3601" t="s">
        <v>52</v>
      </c>
      <c r="I3601" t="s">
        <v>217</v>
      </c>
      <c r="J3601">
        <v>1</v>
      </c>
      <c r="N3601">
        <f>Таблица1[[#This Row],[Часов на заказчика  в работе]]+Таблица1[[#This Row],[Часов на заказчика  дежурство]]</f>
        <v>0</v>
      </c>
      <c r="O36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1" s="9"/>
      <c r="R3601" s="9"/>
      <c r="S3601" s="5">
        <v>1</v>
      </c>
      <c r="T36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табеле]])*S3601,0)</f>
        <v>0</v>
      </c>
      <c r="U3601" s="5">
        <f>IF(Таблица1[[#This Row],[ТТН]]&gt;0,Таблица1[[#This Row],[Ставка за ТТН]]*Таблица1[[#This Row],[ТТН]],0)</f>
        <v>0</v>
      </c>
    </row>
    <row r="3602" spans="1:21" x14ac:dyDescent="0.25">
      <c r="A3602" t="s">
        <v>84</v>
      </c>
      <c r="B3602" s="24">
        <v>18</v>
      </c>
      <c r="C3602" t="s">
        <v>160</v>
      </c>
      <c r="D3602" t="s">
        <v>9</v>
      </c>
      <c r="E3602" t="s">
        <v>216</v>
      </c>
      <c r="F3602" t="s">
        <v>9</v>
      </c>
      <c r="H3602" t="s">
        <v>52</v>
      </c>
      <c r="I3602" t="s">
        <v>217</v>
      </c>
      <c r="J3602">
        <v>1</v>
      </c>
      <c r="N3602">
        <f>Таблица1[[#This Row],[Часов на заказчика  в работе]]+Таблица1[[#This Row],[Часов на заказчика  дежурство]]</f>
        <v>0</v>
      </c>
      <c r="O36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2" s="9"/>
      <c r="R3602" s="9"/>
      <c r="S3602" s="5">
        <v>1</v>
      </c>
      <c r="T36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табеле]])*S3602,0)</f>
        <v>0</v>
      </c>
      <c r="U3602" s="5">
        <f>IF(Таблица1[[#This Row],[ТТН]]&gt;0,Таблица1[[#This Row],[Ставка за ТТН]]*Таблица1[[#This Row],[ТТН]],0)</f>
        <v>0</v>
      </c>
    </row>
    <row r="3603" spans="1:21" x14ac:dyDescent="0.25">
      <c r="A3603" t="s">
        <v>84</v>
      </c>
      <c r="B3603" s="24">
        <v>19</v>
      </c>
      <c r="C3603" t="s">
        <v>160</v>
      </c>
      <c r="D3603" t="s">
        <v>9</v>
      </c>
      <c r="E3603" t="s">
        <v>216</v>
      </c>
      <c r="F3603" t="s">
        <v>9</v>
      </c>
      <c r="H3603" t="s">
        <v>52</v>
      </c>
      <c r="I3603" t="s">
        <v>217</v>
      </c>
      <c r="J3603">
        <v>1</v>
      </c>
      <c r="N3603">
        <f>Таблица1[[#This Row],[Часов на заказчика  в работе]]+Таблица1[[#This Row],[Часов на заказчика  дежурство]]</f>
        <v>0</v>
      </c>
      <c r="O36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3" s="9"/>
      <c r="R3603" s="9"/>
      <c r="S3603" s="5">
        <v>1</v>
      </c>
      <c r="T36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табеле]])*S3603,0)</f>
        <v>0</v>
      </c>
      <c r="U3603" s="5">
        <f>IF(Таблица1[[#This Row],[ТТН]]&gt;0,Таблица1[[#This Row],[Ставка за ТТН]]*Таблица1[[#This Row],[ТТН]],0)</f>
        <v>0</v>
      </c>
    </row>
    <row r="3604" spans="1:21" x14ac:dyDescent="0.25">
      <c r="A3604" t="s">
        <v>84</v>
      </c>
      <c r="B3604" s="24">
        <v>20</v>
      </c>
      <c r="C3604" t="s">
        <v>160</v>
      </c>
      <c r="D3604" t="s">
        <v>9</v>
      </c>
      <c r="E3604" t="s">
        <v>216</v>
      </c>
      <c r="F3604" t="s">
        <v>9</v>
      </c>
      <c r="H3604" t="s">
        <v>52</v>
      </c>
      <c r="I3604" t="s">
        <v>217</v>
      </c>
      <c r="J3604">
        <v>1</v>
      </c>
      <c r="N3604">
        <f>Таблица1[[#This Row],[Часов на заказчика  в работе]]+Таблица1[[#This Row],[Часов на заказчика  дежурство]]</f>
        <v>0</v>
      </c>
      <c r="O36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4" s="9"/>
      <c r="R3604" s="9"/>
      <c r="S3604" s="5">
        <v>1</v>
      </c>
      <c r="T36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табеле]])*S3604,0)</f>
        <v>0</v>
      </c>
      <c r="U3604" s="5">
        <f>IF(Таблица1[[#This Row],[ТТН]]&gt;0,Таблица1[[#This Row],[Ставка за ТТН]]*Таблица1[[#This Row],[ТТН]],0)</f>
        <v>0</v>
      </c>
    </row>
    <row r="3605" spans="1:21" x14ac:dyDescent="0.25">
      <c r="A3605" t="s">
        <v>84</v>
      </c>
      <c r="B3605" s="24">
        <v>21</v>
      </c>
      <c r="C3605" t="s">
        <v>160</v>
      </c>
      <c r="D3605" t="s">
        <v>9</v>
      </c>
      <c r="E3605" t="s">
        <v>216</v>
      </c>
      <c r="F3605" t="s">
        <v>9</v>
      </c>
      <c r="H3605" t="s">
        <v>52</v>
      </c>
      <c r="I3605" t="s">
        <v>217</v>
      </c>
      <c r="J3605">
        <v>1</v>
      </c>
      <c r="N3605">
        <f>Таблица1[[#This Row],[Часов на заказчика  в работе]]+Таблица1[[#This Row],[Часов на заказчика  дежурство]]</f>
        <v>0</v>
      </c>
      <c r="O36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5" s="9"/>
      <c r="R3605" s="9"/>
      <c r="S3605" s="5">
        <v>1</v>
      </c>
      <c r="T36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табеле]])*S3605,0)</f>
        <v>0</v>
      </c>
      <c r="U3605" s="5">
        <f>IF(Таблица1[[#This Row],[ТТН]]&gt;0,Таблица1[[#This Row],[Ставка за ТТН]]*Таблица1[[#This Row],[ТТН]],0)</f>
        <v>0</v>
      </c>
    </row>
    <row r="3606" spans="1:21" x14ac:dyDescent="0.25">
      <c r="A3606" t="s">
        <v>84</v>
      </c>
      <c r="B3606" s="24">
        <v>22</v>
      </c>
      <c r="C3606" t="s">
        <v>160</v>
      </c>
      <c r="D3606" t="s">
        <v>9</v>
      </c>
      <c r="E3606" t="s">
        <v>216</v>
      </c>
      <c r="F3606" t="s">
        <v>9</v>
      </c>
      <c r="H3606" t="s">
        <v>52</v>
      </c>
      <c r="I3606" t="s">
        <v>217</v>
      </c>
      <c r="J3606">
        <v>1</v>
      </c>
      <c r="N3606">
        <f>Таблица1[[#This Row],[Часов на заказчика  в работе]]+Таблица1[[#This Row],[Часов на заказчика  дежурство]]</f>
        <v>0</v>
      </c>
      <c r="O36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6" s="9"/>
      <c r="R3606" s="9"/>
      <c r="S3606" s="5">
        <v>1</v>
      </c>
      <c r="T36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табеле]])*S3606,0)</f>
        <v>0</v>
      </c>
      <c r="U3606" s="5">
        <f>IF(Таблица1[[#This Row],[ТТН]]&gt;0,Таблица1[[#This Row],[Ставка за ТТН]]*Таблица1[[#This Row],[ТТН]],0)</f>
        <v>0</v>
      </c>
    </row>
    <row r="3607" spans="1:21" x14ac:dyDescent="0.25">
      <c r="A3607" t="s">
        <v>84</v>
      </c>
      <c r="B3607" s="24">
        <v>23</v>
      </c>
      <c r="C3607" t="s">
        <v>160</v>
      </c>
      <c r="D3607" t="s">
        <v>9</v>
      </c>
      <c r="E3607" t="s">
        <v>216</v>
      </c>
      <c r="F3607" t="s">
        <v>9</v>
      </c>
      <c r="H3607" t="s">
        <v>52</v>
      </c>
      <c r="I3607" t="s">
        <v>217</v>
      </c>
      <c r="J3607">
        <v>1</v>
      </c>
      <c r="N3607">
        <f>Таблица1[[#This Row],[Часов на заказчика  в работе]]+Таблица1[[#This Row],[Часов на заказчика  дежурство]]</f>
        <v>0</v>
      </c>
      <c r="O36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7" s="9"/>
      <c r="R3607" s="9"/>
      <c r="S3607" s="5">
        <v>1</v>
      </c>
      <c r="T36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табеле]])*S3607,0)</f>
        <v>0</v>
      </c>
      <c r="U3607" s="5">
        <f>IF(Таблица1[[#This Row],[ТТН]]&gt;0,Таблица1[[#This Row],[Ставка за ТТН]]*Таблица1[[#This Row],[ТТН]],0)</f>
        <v>0</v>
      </c>
    </row>
    <row r="3608" spans="1:21" x14ac:dyDescent="0.25">
      <c r="A3608" t="s">
        <v>84</v>
      </c>
      <c r="B3608" s="24">
        <v>24</v>
      </c>
      <c r="C3608" t="s">
        <v>160</v>
      </c>
      <c r="D3608" t="s">
        <v>9</v>
      </c>
      <c r="E3608" t="s">
        <v>216</v>
      </c>
      <c r="F3608" t="s">
        <v>9</v>
      </c>
      <c r="H3608" t="s">
        <v>52</v>
      </c>
      <c r="I3608" t="s">
        <v>217</v>
      </c>
      <c r="J3608">
        <v>1</v>
      </c>
      <c r="N3608">
        <f>Таблица1[[#This Row],[Часов на заказчика  в работе]]+Таблица1[[#This Row],[Часов на заказчика  дежурство]]</f>
        <v>0</v>
      </c>
      <c r="O36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8" s="9"/>
      <c r="R3608" s="9"/>
      <c r="S3608" s="5">
        <v>1</v>
      </c>
      <c r="T36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табеле]])*S3608,0)</f>
        <v>0</v>
      </c>
      <c r="U3608" s="5">
        <f>IF(Таблица1[[#This Row],[ТТН]]&gt;0,Таблица1[[#This Row],[Ставка за ТТН]]*Таблица1[[#This Row],[ТТН]],0)</f>
        <v>0</v>
      </c>
    </row>
    <row r="3609" spans="1:21" x14ac:dyDescent="0.25">
      <c r="A3609" t="s">
        <v>84</v>
      </c>
      <c r="B3609" s="24">
        <v>25</v>
      </c>
      <c r="C3609" t="s">
        <v>160</v>
      </c>
      <c r="D3609" t="s">
        <v>9</v>
      </c>
      <c r="E3609" t="s">
        <v>216</v>
      </c>
      <c r="F3609" t="s">
        <v>9</v>
      </c>
      <c r="H3609" t="s">
        <v>52</v>
      </c>
      <c r="I3609" t="s">
        <v>217</v>
      </c>
      <c r="J3609">
        <v>1</v>
      </c>
      <c r="N3609">
        <f>Таблица1[[#This Row],[Часов на заказчика  в работе]]+Таблица1[[#This Row],[Часов на заказчика  дежурство]]</f>
        <v>0</v>
      </c>
      <c r="O36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09" s="9"/>
      <c r="R3609" s="9"/>
      <c r="S3609" s="5">
        <v>1</v>
      </c>
      <c r="T36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табеле]])*S3609,0)</f>
        <v>0</v>
      </c>
      <c r="U3609" s="5">
        <f>IF(Таблица1[[#This Row],[ТТН]]&gt;0,Таблица1[[#This Row],[Ставка за ТТН]]*Таблица1[[#This Row],[ТТН]],0)</f>
        <v>0</v>
      </c>
    </row>
    <row r="3610" spans="1:21" x14ac:dyDescent="0.25">
      <c r="A3610" t="s">
        <v>84</v>
      </c>
      <c r="B3610" s="24">
        <v>26</v>
      </c>
      <c r="C3610" t="s">
        <v>160</v>
      </c>
      <c r="D3610" t="s">
        <v>9</v>
      </c>
      <c r="E3610" t="s">
        <v>216</v>
      </c>
      <c r="F3610" t="s">
        <v>9</v>
      </c>
      <c r="H3610" t="s">
        <v>52</v>
      </c>
      <c r="I3610" t="s">
        <v>217</v>
      </c>
      <c r="J3610">
        <v>1</v>
      </c>
      <c r="N3610">
        <f>Таблица1[[#This Row],[Часов на заказчика  в работе]]+Таблица1[[#This Row],[Часов на заказчика  дежурство]]</f>
        <v>0</v>
      </c>
      <c r="O36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0" s="9"/>
      <c r="R3610" s="9"/>
      <c r="S3610" s="5">
        <v>1</v>
      </c>
      <c r="T36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табеле]])*S3610,0)</f>
        <v>0</v>
      </c>
      <c r="U3610" s="5">
        <f>IF(Таблица1[[#This Row],[ТТН]]&gt;0,Таблица1[[#This Row],[Ставка за ТТН]]*Таблица1[[#This Row],[ТТН]],0)</f>
        <v>0</v>
      </c>
    </row>
    <row r="3611" spans="1:21" x14ac:dyDescent="0.25">
      <c r="A3611" t="s">
        <v>84</v>
      </c>
      <c r="B3611" s="24">
        <v>27</v>
      </c>
      <c r="C3611" t="s">
        <v>160</v>
      </c>
      <c r="D3611" t="s">
        <v>9</v>
      </c>
      <c r="E3611" t="s">
        <v>216</v>
      </c>
      <c r="F3611" t="s">
        <v>9</v>
      </c>
      <c r="H3611" t="s">
        <v>52</v>
      </c>
      <c r="I3611" t="s">
        <v>217</v>
      </c>
      <c r="J3611">
        <v>1</v>
      </c>
      <c r="N3611">
        <f>Таблица1[[#This Row],[Часов на заказчика  в работе]]+Таблица1[[#This Row],[Часов на заказчика  дежурство]]</f>
        <v>0</v>
      </c>
      <c r="O36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1" s="9"/>
      <c r="R3611" s="9"/>
      <c r="S3611" s="5">
        <v>1</v>
      </c>
      <c r="T36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табеле]])*S3611,0)</f>
        <v>0</v>
      </c>
      <c r="U3611" s="5">
        <f>IF(Таблица1[[#This Row],[ТТН]]&gt;0,Таблица1[[#This Row],[Ставка за ТТН]]*Таблица1[[#This Row],[ТТН]],0)</f>
        <v>0</v>
      </c>
    </row>
    <row r="3612" spans="1:21" x14ac:dyDescent="0.25">
      <c r="A3612" t="s">
        <v>84</v>
      </c>
      <c r="B3612" s="24">
        <v>28</v>
      </c>
      <c r="C3612" t="s">
        <v>160</v>
      </c>
      <c r="D3612" t="s">
        <v>9</v>
      </c>
      <c r="E3612" t="s">
        <v>216</v>
      </c>
      <c r="F3612" t="s">
        <v>9</v>
      </c>
      <c r="H3612" t="s">
        <v>52</v>
      </c>
      <c r="I3612" t="s">
        <v>217</v>
      </c>
      <c r="J3612">
        <v>1</v>
      </c>
      <c r="N3612">
        <f>Таблица1[[#This Row],[Часов на заказчика  в работе]]+Таблица1[[#This Row],[Часов на заказчика  дежурство]]</f>
        <v>0</v>
      </c>
      <c r="O36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2" s="9"/>
      <c r="R3612" s="9"/>
      <c r="S3612" s="5">
        <v>1</v>
      </c>
      <c r="T36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табеле]])*S3612,0)</f>
        <v>0</v>
      </c>
      <c r="U3612" s="5">
        <f>IF(Таблица1[[#This Row],[ТТН]]&gt;0,Таблица1[[#This Row],[Ставка за ТТН]]*Таблица1[[#This Row],[ТТН]],0)</f>
        <v>0</v>
      </c>
    </row>
    <row r="3613" spans="1:21" x14ac:dyDescent="0.25">
      <c r="A3613" t="s">
        <v>84</v>
      </c>
      <c r="B3613" s="24">
        <v>29</v>
      </c>
      <c r="C3613" t="s">
        <v>160</v>
      </c>
      <c r="D3613" t="s">
        <v>9</v>
      </c>
      <c r="E3613" t="s">
        <v>216</v>
      </c>
      <c r="F3613" t="s">
        <v>9</v>
      </c>
      <c r="H3613" t="s">
        <v>52</v>
      </c>
      <c r="I3613" t="s">
        <v>217</v>
      </c>
      <c r="J3613">
        <v>1</v>
      </c>
      <c r="N3613">
        <f>Таблица1[[#This Row],[Часов на заказчика  в работе]]+Таблица1[[#This Row],[Часов на заказчика  дежурство]]</f>
        <v>0</v>
      </c>
      <c r="O36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3" s="9"/>
      <c r="R3613" s="9"/>
      <c r="S3613" s="5">
        <v>1</v>
      </c>
      <c r="T36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табеле]])*S3613,0)</f>
        <v>0</v>
      </c>
      <c r="U3613" s="5">
        <f>IF(Таблица1[[#This Row],[ТТН]]&gt;0,Таблица1[[#This Row],[Ставка за ТТН]]*Таблица1[[#This Row],[ТТН]],0)</f>
        <v>0</v>
      </c>
    </row>
    <row r="3614" spans="1:21" x14ac:dyDescent="0.25">
      <c r="A3614" t="s">
        <v>84</v>
      </c>
      <c r="B3614" s="24">
        <v>30</v>
      </c>
      <c r="C3614" t="s">
        <v>203</v>
      </c>
      <c r="D3614" t="s">
        <v>9</v>
      </c>
      <c r="E3614" t="s">
        <v>216</v>
      </c>
      <c r="F3614" t="s">
        <v>9</v>
      </c>
      <c r="H3614" t="s">
        <v>52</v>
      </c>
      <c r="I3614" t="s">
        <v>217</v>
      </c>
      <c r="J3614">
        <v>1</v>
      </c>
      <c r="N3614">
        <f>Таблица1[[#This Row],[Часов на заказчика  в работе]]+Таблица1[[#This Row],[Часов на заказчика  дежурство]]</f>
        <v>0</v>
      </c>
      <c r="O36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4" s="9"/>
      <c r="R3614" s="9"/>
      <c r="S3614" s="5">
        <v>1</v>
      </c>
      <c r="T36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табеле]])*S3614,0)</f>
        <v>0</v>
      </c>
      <c r="U3614" s="5">
        <f>IF(Таблица1[[#This Row],[ТТН]]&gt;0,Таблица1[[#This Row],[Ставка за ТТН]]*Таблица1[[#This Row],[ТТН]],0)</f>
        <v>0</v>
      </c>
    </row>
    <row r="3615" spans="1:21" x14ac:dyDescent="0.25">
      <c r="A3615" t="s">
        <v>84</v>
      </c>
      <c r="B3615" s="24">
        <v>1</v>
      </c>
      <c r="C3615" t="s">
        <v>203</v>
      </c>
      <c r="D3615" t="s">
        <v>28</v>
      </c>
      <c r="E3615" t="s">
        <v>216</v>
      </c>
      <c r="F3615" t="s">
        <v>28</v>
      </c>
      <c r="H3615" t="s">
        <v>44</v>
      </c>
      <c r="I3615" t="s">
        <v>217</v>
      </c>
      <c r="J3615">
        <v>1</v>
      </c>
      <c r="N3615">
        <f>Таблица1[[#This Row],[Часов на заказчика  в работе]]+Таблица1[[#This Row],[Часов на заказчика  дежурство]]</f>
        <v>0</v>
      </c>
      <c r="O36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5" s="9"/>
      <c r="R3615" s="9"/>
      <c r="S3615" s="5">
        <v>1</v>
      </c>
      <c r="T36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табеле]])*S3615,0)</f>
        <v>0</v>
      </c>
      <c r="U3615" s="5">
        <f>IF(Таблица1[[#This Row],[ТТН]]&gt;0,Таблица1[[#This Row],[Ставка за ТТН]]*Таблица1[[#This Row],[ТТН]],0)</f>
        <v>0</v>
      </c>
    </row>
    <row r="3616" spans="1:21" x14ac:dyDescent="0.25">
      <c r="A3616" t="s">
        <v>84</v>
      </c>
      <c r="B3616" s="24">
        <v>2</v>
      </c>
      <c r="C3616" t="s">
        <v>203</v>
      </c>
      <c r="D3616" t="s">
        <v>28</v>
      </c>
      <c r="E3616" t="s">
        <v>216</v>
      </c>
      <c r="F3616" t="s">
        <v>28</v>
      </c>
      <c r="H3616" t="s">
        <v>44</v>
      </c>
      <c r="I3616" t="s">
        <v>217</v>
      </c>
      <c r="J3616">
        <v>1</v>
      </c>
      <c r="N3616">
        <f>Таблица1[[#This Row],[Часов на заказчика  в работе]]+Таблица1[[#This Row],[Часов на заказчика  дежурство]]</f>
        <v>0</v>
      </c>
      <c r="O36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6" s="9"/>
      <c r="R3616" s="9"/>
      <c r="S3616" s="5">
        <v>1</v>
      </c>
      <c r="T36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табеле]])*S3616,0)</f>
        <v>0</v>
      </c>
      <c r="U3616" s="5">
        <f>IF(Таблица1[[#This Row],[ТТН]]&gt;0,Таблица1[[#This Row],[Ставка за ТТН]]*Таблица1[[#This Row],[ТТН]],0)</f>
        <v>0</v>
      </c>
    </row>
    <row r="3617" spans="1:21" x14ac:dyDescent="0.25">
      <c r="A3617" t="s">
        <v>84</v>
      </c>
      <c r="B3617" s="24">
        <v>3</v>
      </c>
      <c r="C3617" t="s">
        <v>203</v>
      </c>
      <c r="D3617" t="s">
        <v>28</v>
      </c>
      <c r="E3617" t="s">
        <v>216</v>
      </c>
      <c r="F3617" t="s">
        <v>28</v>
      </c>
      <c r="H3617" t="s">
        <v>44</v>
      </c>
      <c r="I3617" t="s">
        <v>217</v>
      </c>
      <c r="J3617">
        <v>1</v>
      </c>
      <c r="N3617">
        <f>Таблица1[[#This Row],[Часов на заказчика  в работе]]+Таблица1[[#This Row],[Часов на заказчика  дежурство]]</f>
        <v>0</v>
      </c>
      <c r="O36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7" s="9"/>
      <c r="R3617" s="9"/>
      <c r="S3617" s="5">
        <v>1</v>
      </c>
      <c r="T36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табеле]])*S3617,0)</f>
        <v>0</v>
      </c>
      <c r="U3617" s="5">
        <f>IF(Таблица1[[#This Row],[ТТН]]&gt;0,Таблица1[[#This Row],[Ставка за ТТН]]*Таблица1[[#This Row],[ТТН]],0)</f>
        <v>0</v>
      </c>
    </row>
    <row r="3618" spans="1:21" x14ac:dyDescent="0.25">
      <c r="A3618" t="s">
        <v>84</v>
      </c>
      <c r="B3618" s="24">
        <v>4</v>
      </c>
      <c r="C3618" t="s">
        <v>203</v>
      </c>
      <c r="D3618" t="s">
        <v>28</v>
      </c>
      <c r="E3618" t="s">
        <v>216</v>
      </c>
      <c r="F3618" t="s">
        <v>28</v>
      </c>
      <c r="H3618" t="s">
        <v>44</v>
      </c>
      <c r="I3618" t="s">
        <v>217</v>
      </c>
      <c r="J3618">
        <v>1</v>
      </c>
      <c r="N3618">
        <f>Таблица1[[#This Row],[Часов на заказчика  в работе]]+Таблица1[[#This Row],[Часов на заказчика  дежурство]]</f>
        <v>0</v>
      </c>
      <c r="O36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8" s="9"/>
      <c r="R3618" s="9"/>
      <c r="S3618" s="5">
        <v>1</v>
      </c>
      <c r="T36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табеле]])*S3618,0)</f>
        <v>0</v>
      </c>
      <c r="U3618" s="5">
        <f>IF(Таблица1[[#This Row],[ТТН]]&gt;0,Таблица1[[#This Row],[Ставка за ТТН]]*Таблица1[[#This Row],[ТТН]],0)</f>
        <v>0</v>
      </c>
    </row>
    <row r="3619" spans="1:21" x14ac:dyDescent="0.25">
      <c r="A3619" t="s">
        <v>84</v>
      </c>
      <c r="B3619" s="24">
        <v>5</v>
      </c>
      <c r="C3619" t="s">
        <v>203</v>
      </c>
      <c r="D3619" t="s">
        <v>28</v>
      </c>
      <c r="E3619" t="s">
        <v>216</v>
      </c>
      <c r="F3619" t="s">
        <v>28</v>
      </c>
      <c r="H3619" t="s">
        <v>44</v>
      </c>
      <c r="I3619" t="s">
        <v>217</v>
      </c>
      <c r="J3619">
        <v>1</v>
      </c>
      <c r="N3619">
        <f>Таблица1[[#This Row],[Часов на заказчика  в работе]]+Таблица1[[#This Row],[Часов на заказчика  дежурство]]</f>
        <v>0</v>
      </c>
      <c r="O36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19" s="9"/>
      <c r="R3619" s="9"/>
      <c r="S3619" s="5">
        <v>1</v>
      </c>
      <c r="T36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табеле]])*S3619,0)</f>
        <v>0</v>
      </c>
      <c r="U3619" s="5">
        <f>IF(Таблица1[[#This Row],[ТТН]]&gt;0,Таблица1[[#This Row],[Ставка за ТТН]]*Таблица1[[#This Row],[ТТН]],0)</f>
        <v>0</v>
      </c>
    </row>
    <row r="3620" spans="1:21" x14ac:dyDescent="0.25">
      <c r="A3620" t="s">
        <v>84</v>
      </c>
      <c r="B3620" s="24">
        <v>6</v>
      </c>
      <c r="C3620" t="s">
        <v>203</v>
      </c>
      <c r="D3620" t="s">
        <v>28</v>
      </c>
      <c r="E3620" t="s">
        <v>216</v>
      </c>
      <c r="F3620" t="s">
        <v>28</v>
      </c>
      <c r="H3620" t="s">
        <v>44</v>
      </c>
      <c r="I3620" t="s">
        <v>217</v>
      </c>
      <c r="J3620">
        <v>1</v>
      </c>
      <c r="N3620">
        <f>Таблица1[[#This Row],[Часов на заказчика  в работе]]+Таблица1[[#This Row],[Часов на заказчика  дежурство]]</f>
        <v>0</v>
      </c>
      <c r="O36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0" s="9"/>
      <c r="R3620" s="9"/>
      <c r="S3620" s="5">
        <v>1</v>
      </c>
      <c r="T36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табеле]])*S3620,0)</f>
        <v>0</v>
      </c>
      <c r="U3620" s="5">
        <f>IF(Таблица1[[#This Row],[ТТН]]&gt;0,Таблица1[[#This Row],[Ставка за ТТН]]*Таблица1[[#This Row],[ТТН]],0)</f>
        <v>0</v>
      </c>
    </row>
    <row r="3621" spans="1:21" x14ac:dyDescent="0.25">
      <c r="A3621" t="s">
        <v>84</v>
      </c>
      <c r="B3621" s="24">
        <v>7</v>
      </c>
      <c r="C3621" t="s">
        <v>203</v>
      </c>
      <c r="D3621" t="s">
        <v>28</v>
      </c>
      <c r="E3621" t="s">
        <v>216</v>
      </c>
      <c r="F3621" t="s">
        <v>28</v>
      </c>
      <c r="H3621" t="s">
        <v>44</v>
      </c>
      <c r="I3621" t="s">
        <v>217</v>
      </c>
      <c r="J3621">
        <v>1</v>
      </c>
      <c r="N3621">
        <f>Таблица1[[#This Row],[Часов на заказчика  в работе]]+Таблица1[[#This Row],[Часов на заказчика  дежурство]]</f>
        <v>0</v>
      </c>
      <c r="O36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1" s="9"/>
      <c r="R3621" s="9"/>
      <c r="S3621" s="5">
        <v>1</v>
      </c>
      <c r="T36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табеле]])*S3621,0)</f>
        <v>0</v>
      </c>
      <c r="U3621" s="5">
        <f>IF(Таблица1[[#This Row],[ТТН]]&gt;0,Таблица1[[#This Row],[Ставка за ТТН]]*Таблица1[[#This Row],[ТТН]],0)</f>
        <v>0</v>
      </c>
    </row>
    <row r="3622" spans="1:21" x14ac:dyDescent="0.25">
      <c r="A3622" t="s">
        <v>84</v>
      </c>
      <c r="B3622" s="24">
        <v>8</v>
      </c>
      <c r="C3622" t="s">
        <v>203</v>
      </c>
      <c r="D3622" t="s">
        <v>28</v>
      </c>
      <c r="E3622" t="s">
        <v>216</v>
      </c>
      <c r="F3622" t="s">
        <v>28</v>
      </c>
      <c r="H3622" t="s">
        <v>44</v>
      </c>
      <c r="I3622" t="s">
        <v>217</v>
      </c>
      <c r="J3622">
        <v>1</v>
      </c>
      <c r="N3622">
        <f>Таблица1[[#This Row],[Часов на заказчика  в работе]]+Таблица1[[#This Row],[Часов на заказчика  дежурство]]</f>
        <v>0</v>
      </c>
      <c r="O36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2" s="9"/>
      <c r="R3622" s="9"/>
      <c r="S3622" s="5">
        <v>1</v>
      </c>
      <c r="T36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табеле]])*S3622,0)</f>
        <v>0</v>
      </c>
      <c r="U3622" s="5">
        <f>IF(Таблица1[[#This Row],[ТТН]]&gt;0,Таблица1[[#This Row],[Ставка за ТТН]]*Таблица1[[#This Row],[ТТН]],0)</f>
        <v>0</v>
      </c>
    </row>
    <row r="3623" spans="1:21" x14ac:dyDescent="0.25">
      <c r="A3623" t="s">
        <v>84</v>
      </c>
      <c r="B3623" s="24">
        <v>9</v>
      </c>
      <c r="C3623" t="s">
        <v>203</v>
      </c>
      <c r="D3623" t="s">
        <v>28</v>
      </c>
      <c r="E3623" t="s">
        <v>216</v>
      </c>
      <c r="F3623" t="s">
        <v>28</v>
      </c>
      <c r="H3623" t="s">
        <v>44</v>
      </c>
      <c r="I3623" t="s">
        <v>217</v>
      </c>
      <c r="J3623">
        <v>1</v>
      </c>
      <c r="N3623">
        <f>Таблица1[[#This Row],[Часов на заказчика  в работе]]+Таблица1[[#This Row],[Часов на заказчика  дежурство]]</f>
        <v>0</v>
      </c>
      <c r="O36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3" s="9"/>
      <c r="R3623" s="9"/>
      <c r="S3623" s="5">
        <v>1</v>
      </c>
      <c r="T36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табеле]])*S3623,0)</f>
        <v>0</v>
      </c>
      <c r="U3623" s="5">
        <f>IF(Таблица1[[#This Row],[ТТН]]&gt;0,Таблица1[[#This Row],[Ставка за ТТН]]*Таблица1[[#This Row],[ТТН]],0)</f>
        <v>0</v>
      </c>
    </row>
    <row r="3624" spans="1:21" x14ac:dyDescent="0.25">
      <c r="A3624" t="s">
        <v>84</v>
      </c>
      <c r="B3624" s="24">
        <v>10</v>
      </c>
      <c r="C3624" t="s">
        <v>203</v>
      </c>
      <c r="D3624" t="s">
        <v>28</v>
      </c>
      <c r="E3624" t="s">
        <v>216</v>
      </c>
      <c r="F3624" t="s">
        <v>28</v>
      </c>
      <c r="H3624" t="s">
        <v>44</v>
      </c>
      <c r="I3624" t="s">
        <v>217</v>
      </c>
      <c r="J3624">
        <v>1</v>
      </c>
      <c r="N3624">
        <f>Таблица1[[#This Row],[Часов на заказчика  в работе]]+Таблица1[[#This Row],[Часов на заказчика  дежурство]]</f>
        <v>0</v>
      </c>
      <c r="O36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4" s="9"/>
      <c r="R3624" s="9"/>
      <c r="S3624" s="5">
        <v>1</v>
      </c>
      <c r="T36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табеле]])*S3624,0)</f>
        <v>0</v>
      </c>
      <c r="U3624" s="5">
        <f>IF(Таблица1[[#This Row],[ТТН]]&gt;0,Таблица1[[#This Row],[Ставка за ТТН]]*Таблица1[[#This Row],[ТТН]],0)</f>
        <v>0</v>
      </c>
    </row>
    <row r="3625" spans="1:21" x14ac:dyDescent="0.25">
      <c r="A3625" t="s">
        <v>84</v>
      </c>
      <c r="B3625" s="24">
        <v>11</v>
      </c>
      <c r="C3625" t="s">
        <v>203</v>
      </c>
      <c r="D3625" t="s">
        <v>28</v>
      </c>
      <c r="E3625" t="s">
        <v>216</v>
      </c>
      <c r="F3625" t="s">
        <v>28</v>
      </c>
      <c r="H3625" t="s">
        <v>44</v>
      </c>
      <c r="I3625" t="s">
        <v>217</v>
      </c>
      <c r="J3625">
        <v>1</v>
      </c>
      <c r="N3625">
        <f>Таблица1[[#This Row],[Часов на заказчика  в работе]]+Таблица1[[#This Row],[Часов на заказчика  дежурство]]</f>
        <v>0</v>
      </c>
      <c r="O36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5" s="9"/>
      <c r="R3625" s="9"/>
      <c r="S3625" s="5">
        <v>1</v>
      </c>
      <c r="T36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табеле]])*S3625,0)</f>
        <v>0</v>
      </c>
      <c r="U3625" s="5">
        <f>IF(Таблица1[[#This Row],[ТТН]]&gt;0,Таблица1[[#This Row],[Ставка за ТТН]]*Таблица1[[#This Row],[ТТН]],0)</f>
        <v>0</v>
      </c>
    </row>
    <row r="3626" spans="1:21" x14ac:dyDescent="0.25">
      <c r="A3626" t="s">
        <v>84</v>
      </c>
      <c r="B3626" s="24">
        <v>12</v>
      </c>
      <c r="C3626" t="s">
        <v>203</v>
      </c>
      <c r="D3626" t="s">
        <v>28</v>
      </c>
      <c r="E3626" t="s">
        <v>216</v>
      </c>
      <c r="F3626" t="s">
        <v>28</v>
      </c>
      <c r="H3626" t="s">
        <v>44</v>
      </c>
      <c r="I3626" t="s">
        <v>217</v>
      </c>
      <c r="J3626">
        <v>1</v>
      </c>
      <c r="N3626">
        <f>Таблица1[[#This Row],[Часов на заказчика  в работе]]+Таблица1[[#This Row],[Часов на заказчика  дежурство]]</f>
        <v>0</v>
      </c>
      <c r="O36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6" s="9"/>
      <c r="R3626" s="9"/>
      <c r="S3626" s="5">
        <v>1</v>
      </c>
      <c r="T36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табеле]])*S3626,0)</f>
        <v>0</v>
      </c>
      <c r="U3626" s="5">
        <f>IF(Таблица1[[#This Row],[ТТН]]&gt;0,Таблица1[[#This Row],[Ставка за ТТН]]*Таблица1[[#This Row],[ТТН]],0)</f>
        <v>0</v>
      </c>
    </row>
    <row r="3627" spans="1:21" x14ac:dyDescent="0.25">
      <c r="A3627" t="s">
        <v>84</v>
      </c>
      <c r="B3627" s="24">
        <v>13</v>
      </c>
      <c r="C3627" t="s">
        <v>203</v>
      </c>
      <c r="D3627" t="s">
        <v>28</v>
      </c>
      <c r="E3627" t="s">
        <v>216</v>
      </c>
      <c r="F3627" t="s">
        <v>28</v>
      </c>
      <c r="H3627" t="s">
        <v>44</v>
      </c>
      <c r="I3627" t="s">
        <v>217</v>
      </c>
      <c r="J3627">
        <v>1</v>
      </c>
      <c r="N3627">
        <f>Таблица1[[#This Row],[Часов на заказчика  в работе]]+Таблица1[[#This Row],[Часов на заказчика  дежурство]]</f>
        <v>0</v>
      </c>
      <c r="O36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7" s="9"/>
      <c r="R3627" s="9"/>
      <c r="S3627" s="5">
        <v>1</v>
      </c>
      <c r="T36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табеле]])*S3627,0)</f>
        <v>0</v>
      </c>
      <c r="U3627" s="5">
        <f>IF(Таблица1[[#This Row],[ТТН]]&gt;0,Таблица1[[#This Row],[Ставка за ТТН]]*Таблица1[[#This Row],[ТТН]],0)</f>
        <v>0</v>
      </c>
    </row>
    <row r="3628" spans="1:21" x14ac:dyDescent="0.25">
      <c r="A3628" t="s">
        <v>84</v>
      </c>
      <c r="B3628" s="24">
        <v>14</v>
      </c>
      <c r="C3628" t="s">
        <v>203</v>
      </c>
      <c r="D3628" t="s">
        <v>28</v>
      </c>
      <c r="E3628" t="s">
        <v>216</v>
      </c>
      <c r="F3628" t="s">
        <v>28</v>
      </c>
      <c r="H3628" t="s">
        <v>44</v>
      </c>
      <c r="I3628" t="s">
        <v>217</v>
      </c>
      <c r="J3628">
        <v>1</v>
      </c>
      <c r="N3628">
        <f>Таблица1[[#This Row],[Часов на заказчика  в работе]]+Таблица1[[#This Row],[Часов на заказчика  дежурство]]</f>
        <v>0</v>
      </c>
      <c r="O36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8" s="9"/>
      <c r="R3628" s="9"/>
      <c r="S3628" s="5">
        <v>1</v>
      </c>
      <c r="T36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табеле]])*S3628,0)</f>
        <v>0</v>
      </c>
      <c r="U3628" s="5">
        <f>IF(Таблица1[[#This Row],[ТТН]]&gt;0,Таблица1[[#This Row],[Ставка за ТТН]]*Таблица1[[#This Row],[ТТН]],0)</f>
        <v>0</v>
      </c>
    </row>
    <row r="3629" spans="1:21" x14ac:dyDescent="0.25">
      <c r="A3629" t="s">
        <v>84</v>
      </c>
      <c r="B3629" s="24">
        <v>15</v>
      </c>
      <c r="C3629" t="s">
        <v>203</v>
      </c>
      <c r="D3629" t="s">
        <v>28</v>
      </c>
      <c r="E3629" t="s">
        <v>216</v>
      </c>
      <c r="F3629" t="s">
        <v>28</v>
      </c>
      <c r="H3629" t="s">
        <v>44</v>
      </c>
      <c r="I3629" t="s">
        <v>217</v>
      </c>
      <c r="J3629">
        <v>1</v>
      </c>
      <c r="N3629">
        <f>Таблица1[[#This Row],[Часов на заказчика  в работе]]+Таблица1[[#This Row],[Часов на заказчика  дежурство]]</f>
        <v>0</v>
      </c>
      <c r="O36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29" s="9"/>
      <c r="R3629" s="9"/>
      <c r="S3629" s="5">
        <v>1</v>
      </c>
      <c r="T36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табеле]])*S3629,0)</f>
        <v>0</v>
      </c>
      <c r="U3629" s="5">
        <f>IF(Таблица1[[#This Row],[ТТН]]&gt;0,Таблица1[[#This Row],[Ставка за ТТН]]*Таблица1[[#This Row],[ТТН]],0)</f>
        <v>0</v>
      </c>
    </row>
    <row r="3630" spans="1:21" x14ac:dyDescent="0.25">
      <c r="A3630" t="s">
        <v>84</v>
      </c>
      <c r="B3630" s="24">
        <v>16</v>
      </c>
      <c r="C3630" t="s">
        <v>203</v>
      </c>
      <c r="D3630" t="s">
        <v>28</v>
      </c>
      <c r="E3630" t="s">
        <v>216</v>
      </c>
      <c r="F3630" t="s">
        <v>28</v>
      </c>
      <c r="H3630" t="s">
        <v>44</v>
      </c>
      <c r="I3630" t="s">
        <v>217</v>
      </c>
      <c r="J3630">
        <v>1</v>
      </c>
      <c r="N3630">
        <f>Таблица1[[#This Row],[Часов на заказчика  в работе]]+Таблица1[[#This Row],[Часов на заказчика  дежурство]]</f>
        <v>0</v>
      </c>
      <c r="O36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0" s="9"/>
      <c r="R3630" s="9"/>
      <c r="S3630" s="5">
        <v>1</v>
      </c>
      <c r="T36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табеле]])*S3630,0)</f>
        <v>0</v>
      </c>
      <c r="U3630" s="5">
        <f>IF(Таблица1[[#This Row],[ТТН]]&gt;0,Таблица1[[#This Row],[Ставка за ТТН]]*Таблица1[[#This Row],[ТТН]],0)</f>
        <v>0</v>
      </c>
    </row>
    <row r="3631" spans="1:21" x14ac:dyDescent="0.25">
      <c r="A3631" t="s">
        <v>84</v>
      </c>
      <c r="B3631" s="24">
        <v>17</v>
      </c>
      <c r="C3631" t="s">
        <v>203</v>
      </c>
      <c r="D3631" t="s">
        <v>28</v>
      </c>
      <c r="E3631" t="s">
        <v>216</v>
      </c>
      <c r="F3631" t="s">
        <v>28</v>
      </c>
      <c r="H3631" t="s">
        <v>44</v>
      </c>
      <c r="I3631" t="s">
        <v>217</v>
      </c>
      <c r="J3631">
        <v>1</v>
      </c>
      <c r="N3631">
        <f>Таблица1[[#This Row],[Часов на заказчика  в работе]]+Таблица1[[#This Row],[Часов на заказчика  дежурство]]</f>
        <v>0</v>
      </c>
      <c r="O36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1" s="9"/>
      <c r="R3631" s="9"/>
      <c r="S3631" s="5">
        <v>1</v>
      </c>
      <c r="T36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табеле]])*S3631,0)</f>
        <v>0</v>
      </c>
      <c r="U3631" s="5">
        <f>IF(Таблица1[[#This Row],[ТТН]]&gt;0,Таблица1[[#This Row],[Ставка за ТТН]]*Таблица1[[#This Row],[ТТН]],0)</f>
        <v>0</v>
      </c>
    </row>
    <row r="3632" spans="1:21" x14ac:dyDescent="0.25">
      <c r="A3632" t="s">
        <v>84</v>
      </c>
      <c r="B3632" s="24">
        <v>18</v>
      </c>
      <c r="C3632" t="s">
        <v>203</v>
      </c>
      <c r="D3632" t="s">
        <v>28</v>
      </c>
      <c r="E3632" t="s">
        <v>216</v>
      </c>
      <c r="F3632" t="s">
        <v>28</v>
      </c>
      <c r="H3632" t="s">
        <v>44</v>
      </c>
      <c r="I3632" t="s">
        <v>217</v>
      </c>
      <c r="J3632">
        <v>1</v>
      </c>
      <c r="N3632">
        <f>Таблица1[[#This Row],[Часов на заказчика  в работе]]+Таблица1[[#This Row],[Часов на заказчика  дежурство]]</f>
        <v>0</v>
      </c>
      <c r="O36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2" s="9"/>
      <c r="R3632" s="9"/>
      <c r="S3632" s="5">
        <v>1</v>
      </c>
      <c r="T36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табеле]])*S3632,0)</f>
        <v>0</v>
      </c>
      <c r="U3632" s="5">
        <f>IF(Таблица1[[#This Row],[ТТН]]&gt;0,Таблица1[[#This Row],[Ставка за ТТН]]*Таблица1[[#This Row],[ТТН]],0)</f>
        <v>0</v>
      </c>
    </row>
    <row r="3633" spans="1:21" x14ac:dyDescent="0.25">
      <c r="A3633" t="s">
        <v>84</v>
      </c>
      <c r="B3633" s="24">
        <v>19</v>
      </c>
      <c r="C3633" t="s">
        <v>203</v>
      </c>
      <c r="D3633" t="s">
        <v>28</v>
      </c>
      <c r="E3633" t="s">
        <v>216</v>
      </c>
      <c r="F3633" t="s">
        <v>28</v>
      </c>
      <c r="H3633" t="s">
        <v>44</v>
      </c>
      <c r="I3633" t="s">
        <v>217</v>
      </c>
      <c r="J3633">
        <v>1</v>
      </c>
      <c r="N3633">
        <f>Таблица1[[#This Row],[Часов на заказчика  в работе]]+Таблица1[[#This Row],[Часов на заказчика  дежурство]]</f>
        <v>0</v>
      </c>
      <c r="O36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3" s="9"/>
      <c r="R3633" s="9"/>
      <c r="S3633" s="5">
        <v>1</v>
      </c>
      <c r="T36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табеле]])*S3633,0)</f>
        <v>0</v>
      </c>
      <c r="U3633" s="5">
        <f>IF(Таблица1[[#This Row],[ТТН]]&gt;0,Таблица1[[#This Row],[Ставка за ТТН]]*Таблица1[[#This Row],[ТТН]],0)</f>
        <v>0</v>
      </c>
    </row>
    <row r="3634" spans="1:21" x14ac:dyDescent="0.25">
      <c r="A3634" t="s">
        <v>84</v>
      </c>
      <c r="B3634" s="24">
        <v>20</v>
      </c>
      <c r="C3634" t="s">
        <v>203</v>
      </c>
      <c r="D3634" t="s">
        <v>28</v>
      </c>
      <c r="E3634" t="s">
        <v>216</v>
      </c>
      <c r="F3634" t="s">
        <v>28</v>
      </c>
      <c r="H3634" t="s">
        <v>44</v>
      </c>
      <c r="I3634" t="s">
        <v>217</v>
      </c>
      <c r="J3634">
        <v>1</v>
      </c>
      <c r="N3634">
        <f>Таблица1[[#This Row],[Часов на заказчика  в работе]]+Таблица1[[#This Row],[Часов на заказчика  дежурство]]</f>
        <v>0</v>
      </c>
      <c r="O36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4" s="9"/>
      <c r="R3634" s="9"/>
      <c r="S3634" s="5">
        <v>1</v>
      </c>
      <c r="T36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табеле]])*S3634,0)</f>
        <v>0</v>
      </c>
      <c r="U3634" s="5">
        <f>IF(Таблица1[[#This Row],[ТТН]]&gt;0,Таблица1[[#This Row],[Ставка за ТТН]]*Таблица1[[#This Row],[ТТН]],0)</f>
        <v>0</v>
      </c>
    </row>
    <row r="3635" spans="1:21" x14ac:dyDescent="0.25">
      <c r="A3635" t="s">
        <v>84</v>
      </c>
      <c r="B3635" s="24">
        <v>21</v>
      </c>
      <c r="C3635" t="s">
        <v>203</v>
      </c>
      <c r="D3635" t="s">
        <v>28</v>
      </c>
      <c r="E3635" t="s">
        <v>216</v>
      </c>
      <c r="F3635" t="s">
        <v>28</v>
      </c>
      <c r="H3635" t="s">
        <v>44</v>
      </c>
      <c r="I3635" t="s">
        <v>217</v>
      </c>
      <c r="J3635">
        <v>1</v>
      </c>
      <c r="N3635">
        <f>Таблица1[[#This Row],[Часов на заказчика  в работе]]+Таблица1[[#This Row],[Часов на заказчика  дежурство]]</f>
        <v>0</v>
      </c>
      <c r="O36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5" s="9"/>
      <c r="R3635" s="9"/>
      <c r="S3635" s="5">
        <v>1</v>
      </c>
      <c r="T36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табеле]])*S3635,0)</f>
        <v>0</v>
      </c>
      <c r="U3635" s="5">
        <f>IF(Таблица1[[#This Row],[ТТН]]&gt;0,Таблица1[[#This Row],[Ставка за ТТН]]*Таблица1[[#This Row],[ТТН]],0)</f>
        <v>0</v>
      </c>
    </row>
    <row r="3636" spans="1:21" x14ac:dyDescent="0.25">
      <c r="A3636" t="s">
        <v>84</v>
      </c>
      <c r="B3636" s="24">
        <v>22</v>
      </c>
      <c r="C3636" t="s">
        <v>203</v>
      </c>
      <c r="D3636" t="s">
        <v>28</v>
      </c>
      <c r="E3636" t="s">
        <v>216</v>
      </c>
      <c r="F3636" t="s">
        <v>28</v>
      </c>
      <c r="H3636" t="s">
        <v>44</v>
      </c>
      <c r="I3636" t="s">
        <v>217</v>
      </c>
      <c r="J3636">
        <v>1</v>
      </c>
      <c r="N3636">
        <f>Таблица1[[#This Row],[Часов на заказчика  в работе]]+Таблица1[[#This Row],[Часов на заказчика  дежурство]]</f>
        <v>0</v>
      </c>
      <c r="O36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6" s="9"/>
      <c r="R3636" s="9"/>
      <c r="S3636" s="5">
        <v>1</v>
      </c>
      <c r="T36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табеле]])*S3636,0)</f>
        <v>0</v>
      </c>
      <c r="U3636" s="5">
        <f>IF(Таблица1[[#This Row],[ТТН]]&gt;0,Таблица1[[#This Row],[Ставка за ТТН]]*Таблица1[[#This Row],[ТТН]],0)</f>
        <v>0</v>
      </c>
    </row>
    <row r="3637" spans="1:21" x14ac:dyDescent="0.25">
      <c r="A3637" t="s">
        <v>84</v>
      </c>
      <c r="B3637" s="24">
        <v>23</v>
      </c>
      <c r="C3637" t="s">
        <v>203</v>
      </c>
      <c r="D3637" t="s">
        <v>28</v>
      </c>
      <c r="E3637" t="s">
        <v>216</v>
      </c>
      <c r="F3637" t="s">
        <v>28</v>
      </c>
      <c r="H3637" t="s">
        <v>44</v>
      </c>
      <c r="I3637" t="s">
        <v>217</v>
      </c>
      <c r="J3637">
        <v>1</v>
      </c>
      <c r="N3637">
        <f>Таблица1[[#This Row],[Часов на заказчика  в работе]]+Таблица1[[#This Row],[Часов на заказчика  дежурство]]</f>
        <v>0</v>
      </c>
      <c r="O36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7" s="9"/>
      <c r="R3637" s="9"/>
      <c r="S3637" s="5">
        <v>1</v>
      </c>
      <c r="T36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табеле]])*S3637,0)</f>
        <v>0</v>
      </c>
      <c r="U3637" s="5">
        <f>IF(Таблица1[[#This Row],[ТТН]]&gt;0,Таблица1[[#This Row],[Ставка за ТТН]]*Таблица1[[#This Row],[ТТН]],0)</f>
        <v>0</v>
      </c>
    </row>
    <row r="3638" spans="1:21" x14ac:dyDescent="0.25">
      <c r="A3638" t="s">
        <v>84</v>
      </c>
      <c r="B3638" s="24">
        <v>24</v>
      </c>
      <c r="C3638" t="s">
        <v>203</v>
      </c>
      <c r="D3638" t="s">
        <v>28</v>
      </c>
      <c r="E3638" t="s">
        <v>216</v>
      </c>
      <c r="F3638" t="s">
        <v>28</v>
      </c>
      <c r="H3638" t="s">
        <v>44</v>
      </c>
      <c r="I3638" t="s">
        <v>217</v>
      </c>
      <c r="J3638">
        <v>1</v>
      </c>
      <c r="N3638">
        <f>Таблица1[[#This Row],[Часов на заказчика  в работе]]+Таблица1[[#This Row],[Часов на заказчика  дежурство]]</f>
        <v>0</v>
      </c>
      <c r="O36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8" s="9"/>
      <c r="R3638" s="9"/>
      <c r="S3638" s="5">
        <v>1</v>
      </c>
      <c r="T36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табеле]])*S3638,0)</f>
        <v>0</v>
      </c>
      <c r="U3638" s="5">
        <f>IF(Таблица1[[#This Row],[ТТН]]&gt;0,Таблица1[[#This Row],[Ставка за ТТН]]*Таблица1[[#This Row],[ТТН]],0)</f>
        <v>0</v>
      </c>
    </row>
    <row r="3639" spans="1:21" x14ac:dyDescent="0.25">
      <c r="A3639" t="s">
        <v>84</v>
      </c>
      <c r="B3639" s="24">
        <v>25</v>
      </c>
      <c r="C3639" t="s">
        <v>203</v>
      </c>
      <c r="D3639" t="s">
        <v>28</v>
      </c>
      <c r="E3639" t="s">
        <v>216</v>
      </c>
      <c r="F3639" t="s">
        <v>28</v>
      </c>
      <c r="H3639" t="s">
        <v>44</v>
      </c>
      <c r="I3639" t="s">
        <v>217</v>
      </c>
      <c r="J3639">
        <v>1</v>
      </c>
      <c r="N3639">
        <f>Таблица1[[#This Row],[Часов на заказчика  в работе]]+Таблица1[[#This Row],[Часов на заказчика  дежурство]]</f>
        <v>0</v>
      </c>
      <c r="O36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39" s="9"/>
      <c r="R3639" s="9"/>
      <c r="S3639" s="5">
        <v>1</v>
      </c>
      <c r="T36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табеле]])*S3639,0)</f>
        <v>0</v>
      </c>
      <c r="U3639" s="5">
        <f>IF(Таблица1[[#This Row],[ТТН]]&gt;0,Таблица1[[#This Row],[Ставка за ТТН]]*Таблица1[[#This Row],[ТТН]],0)</f>
        <v>0</v>
      </c>
    </row>
    <row r="3640" spans="1:21" x14ac:dyDescent="0.25">
      <c r="A3640" t="s">
        <v>84</v>
      </c>
      <c r="B3640" s="24">
        <v>26</v>
      </c>
      <c r="C3640" t="s">
        <v>203</v>
      </c>
      <c r="D3640" t="s">
        <v>28</v>
      </c>
      <c r="E3640" t="s">
        <v>216</v>
      </c>
      <c r="F3640" t="s">
        <v>28</v>
      </c>
      <c r="H3640" t="s">
        <v>44</v>
      </c>
      <c r="I3640" t="s">
        <v>217</v>
      </c>
      <c r="J3640">
        <v>1</v>
      </c>
      <c r="N3640">
        <f>Таблица1[[#This Row],[Часов на заказчика  в работе]]+Таблица1[[#This Row],[Часов на заказчика  дежурство]]</f>
        <v>0</v>
      </c>
      <c r="O36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0" s="9"/>
      <c r="R3640" s="9"/>
      <c r="S3640" s="5">
        <v>1</v>
      </c>
      <c r="T36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табеле]])*S3640,0)</f>
        <v>0</v>
      </c>
      <c r="U3640" s="5">
        <f>IF(Таблица1[[#This Row],[ТТН]]&gt;0,Таблица1[[#This Row],[Ставка за ТТН]]*Таблица1[[#This Row],[ТТН]],0)</f>
        <v>0</v>
      </c>
    </row>
    <row r="3641" spans="1:21" x14ac:dyDescent="0.25">
      <c r="A3641" t="s">
        <v>84</v>
      </c>
      <c r="B3641" s="24">
        <v>27</v>
      </c>
      <c r="C3641" t="s">
        <v>203</v>
      </c>
      <c r="D3641" t="s">
        <v>28</v>
      </c>
      <c r="E3641" t="s">
        <v>216</v>
      </c>
      <c r="F3641" t="s">
        <v>28</v>
      </c>
      <c r="H3641" t="s">
        <v>44</v>
      </c>
      <c r="I3641" t="s">
        <v>217</v>
      </c>
      <c r="J3641">
        <v>1</v>
      </c>
      <c r="N3641">
        <f>Таблица1[[#This Row],[Часов на заказчика  в работе]]+Таблица1[[#This Row],[Часов на заказчика  дежурство]]</f>
        <v>0</v>
      </c>
      <c r="O36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1" s="9"/>
      <c r="R3641" s="9"/>
      <c r="S3641" s="5">
        <v>1</v>
      </c>
      <c r="T36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табеле]])*S3641,0)</f>
        <v>0</v>
      </c>
      <c r="U3641" s="5">
        <f>IF(Таблица1[[#This Row],[ТТН]]&gt;0,Таблица1[[#This Row],[Ставка за ТТН]]*Таблица1[[#This Row],[ТТН]],0)</f>
        <v>0</v>
      </c>
    </row>
    <row r="3642" spans="1:21" x14ac:dyDescent="0.25">
      <c r="A3642" t="s">
        <v>84</v>
      </c>
      <c r="B3642" s="24">
        <v>28</v>
      </c>
      <c r="C3642" t="s">
        <v>203</v>
      </c>
      <c r="D3642" t="s">
        <v>28</v>
      </c>
      <c r="E3642" t="s">
        <v>216</v>
      </c>
      <c r="F3642" t="s">
        <v>28</v>
      </c>
      <c r="H3642" t="s">
        <v>44</v>
      </c>
      <c r="I3642" t="s">
        <v>217</v>
      </c>
      <c r="J3642">
        <v>1</v>
      </c>
      <c r="N3642">
        <f>Таблица1[[#This Row],[Часов на заказчика  в работе]]+Таблица1[[#This Row],[Часов на заказчика  дежурство]]</f>
        <v>0</v>
      </c>
      <c r="O36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2" s="9"/>
      <c r="R3642" s="9"/>
      <c r="S3642" s="5">
        <v>1</v>
      </c>
      <c r="T36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табеле]])*S3642,0)</f>
        <v>0</v>
      </c>
      <c r="U3642" s="5">
        <f>IF(Таблица1[[#This Row],[ТТН]]&gt;0,Таблица1[[#This Row],[Ставка за ТТН]]*Таблица1[[#This Row],[ТТН]],0)</f>
        <v>0</v>
      </c>
    </row>
    <row r="3643" spans="1:21" x14ac:dyDescent="0.25">
      <c r="A3643" t="s">
        <v>84</v>
      </c>
      <c r="B3643" s="24">
        <v>29</v>
      </c>
      <c r="C3643" t="s">
        <v>203</v>
      </c>
      <c r="D3643" t="s">
        <v>28</v>
      </c>
      <c r="E3643" t="s">
        <v>216</v>
      </c>
      <c r="F3643" t="s">
        <v>28</v>
      </c>
      <c r="H3643" t="s">
        <v>44</v>
      </c>
      <c r="I3643" t="s">
        <v>217</v>
      </c>
      <c r="J3643">
        <v>1</v>
      </c>
      <c r="N3643">
        <f>Таблица1[[#This Row],[Часов на заказчика  в работе]]+Таблица1[[#This Row],[Часов на заказчика  дежурство]]</f>
        <v>0</v>
      </c>
      <c r="O36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3" s="9"/>
      <c r="R3643" s="9"/>
      <c r="S3643" s="5">
        <v>1</v>
      </c>
      <c r="T36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табеле]])*S3643,0)</f>
        <v>0</v>
      </c>
      <c r="U3643" s="5">
        <f>IF(Таблица1[[#This Row],[ТТН]]&gt;0,Таблица1[[#This Row],[Ставка за ТТН]]*Таблица1[[#This Row],[ТТН]],0)</f>
        <v>0</v>
      </c>
    </row>
    <row r="3644" spans="1:21" x14ac:dyDescent="0.25">
      <c r="A3644" t="s">
        <v>84</v>
      </c>
      <c r="B3644" s="24">
        <v>30</v>
      </c>
      <c r="C3644" t="s">
        <v>159</v>
      </c>
      <c r="D3644" t="s">
        <v>28</v>
      </c>
      <c r="E3644" t="s">
        <v>216</v>
      </c>
      <c r="F3644" t="s">
        <v>28</v>
      </c>
      <c r="H3644" t="s">
        <v>44</v>
      </c>
      <c r="I3644" t="s">
        <v>217</v>
      </c>
      <c r="J3644">
        <v>1</v>
      </c>
      <c r="N3644">
        <f>Таблица1[[#This Row],[Часов на заказчика  в работе]]+Таблица1[[#This Row],[Часов на заказчика  дежурство]]</f>
        <v>0</v>
      </c>
      <c r="O36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4" s="9"/>
      <c r="R3644" s="9"/>
      <c r="S3644" s="5">
        <v>1</v>
      </c>
      <c r="T36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табеле]])*S3644,0)</f>
        <v>0</v>
      </c>
      <c r="U3644" s="5">
        <f>IF(Таблица1[[#This Row],[ТТН]]&gt;0,Таблица1[[#This Row],[Ставка за ТТН]]*Таблица1[[#This Row],[ТТН]],0)</f>
        <v>0</v>
      </c>
    </row>
    <row r="3645" spans="1:21" x14ac:dyDescent="0.25">
      <c r="A3645" t="s">
        <v>84</v>
      </c>
      <c r="B3645" s="24">
        <v>1</v>
      </c>
      <c r="C3645" t="s">
        <v>159</v>
      </c>
      <c r="D3645" t="s">
        <v>12</v>
      </c>
      <c r="E3645" t="s">
        <v>216</v>
      </c>
      <c r="H3645" t="s">
        <v>44</v>
      </c>
      <c r="I3645" t="s">
        <v>217</v>
      </c>
      <c r="J3645">
        <v>1</v>
      </c>
      <c r="N3645">
        <f>Таблица1[[#This Row],[Часов на заказчика  в работе]]+Таблица1[[#This Row],[Часов на заказчика  дежурство]]</f>
        <v>0</v>
      </c>
      <c r="O36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5" s="9"/>
      <c r="R3645" s="9"/>
      <c r="S3645" s="5">
        <v>1</v>
      </c>
      <c r="T36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табеле]])*S3645,0)</f>
        <v>0</v>
      </c>
      <c r="U3645" s="5">
        <f>IF(Таблица1[[#This Row],[ТТН]]&gt;0,Таблица1[[#This Row],[Ставка за ТТН]]*Таблица1[[#This Row],[ТТН]],0)</f>
        <v>0</v>
      </c>
    </row>
    <row r="3646" spans="1:21" x14ac:dyDescent="0.25">
      <c r="A3646" t="s">
        <v>84</v>
      </c>
      <c r="B3646" s="24">
        <v>2</v>
      </c>
      <c r="C3646" t="s">
        <v>159</v>
      </c>
      <c r="D3646" t="s">
        <v>12</v>
      </c>
      <c r="E3646" t="s">
        <v>216</v>
      </c>
      <c r="H3646" t="s">
        <v>44</v>
      </c>
      <c r="I3646" t="s">
        <v>217</v>
      </c>
      <c r="J3646">
        <v>1</v>
      </c>
      <c r="N3646">
        <f>Таблица1[[#This Row],[Часов на заказчика  в работе]]+Таблица1[[#This Row],[Часов на заказчика  дежурство]]</f>
        <v>0</v>
      </c>
      <c r="O36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6" s="9"/>
      <c r="R3646" s="9"/>
      <c r="S3646" s="5">
        <v>1</v>
      </c>
      <c r="T36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табеле]])*S3646,0)</f>
        <v>0</v>
      </c>
      <c r="U3646" s="5">
        <f>IF(Таблица1[[#This Row],[ТТН]]&gt;0,Таблица1[[#This Row],[Ставка за ТТН]]*Таблица1[[#This Row],[ТТН]],0)</f>
        <v>0</v>
      </c>
    </row>
    <row r="3647" spans="1:21" x14ac:dyDescent="0.25">
      <c r="A3647" t="s">
        <v>84</v>
      </c>
      <c r="B3647" s="24">
        <v>3</v>
      </c>
      <c r="C3647" t="s">
        <v>159</v>
      </c>
      <c r="D3647" t="s">
        <v>12</v>
      </c>
      <c r="E3647" t="s">
        <v>216</v>
      </c>
      <c r="H3647" t="s">
        <v>44</v>
      </c>
      <c r="I3647" t="s">
        <v>217</v>
      </c>
      <c r="J3647">
        <v>1</v>
      </c>
      <c r="N3647">
        <f>Таблица1[[#This Row],[Часов на заказчика  в работе]]+Таблица1[[#This Row],[Часов на заказчика  дежурство]]</f>
        <v>0</v>
      </c>
      <c r="O36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7" s="9"/>
      <c r="R3647" s="9"/>
      <c r="S3647" s="5">
        <v>1</v>
      </c>
      <c r="T36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табеле]])*S3647,0)</f>
        <v>0</v>
      </c>
      <c r="U3647" s="5">
        <f>IF(Таблица1[[#This Row],[ТТН]]&gt;0,Таблица1[[#This Row],[Ставка за ТТН]]*Таблица1[[#This Row],[ТТН]],0)</f>
        <v>0</v>
      </c>
    </row>
    <row r="3648" spans="1:21" x14ac:dyDescent="0.25">
      <c r="A3648" t="s">
        <v>84</v>
      </c>
      <c r="B3648" s="24">
        <v>4</v>
      </c>
      <c r="C3648" t="s">
        <v>159</v>
      </c>
      <c r="D3648" t="s">
        <v>12</v>
      </c>
      <c r="E3648" t="s">
        <v>216</v>
      </c>
      <c r="H3648" t="s">
        <v>44</v>
      </c>
      <c r="I3648" t="s">
        <v>217</v>
      </c>
      <c r="J3648">
        <v>1</v>
      </c>
      <c r="N3648">
        <f>Таблица1[[#This Row],[Часов на заказчика  в работе]]+Таблица1[[#This Row],[Часов на заказчика  дежурство]]</f>
        <v>0</v>
      </c>
      <c r="O36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8" s="9"/>
      <c r="R3648" s="9"/>
      <c r="S3648" s="5">
        <v>1</v>
      </c>
      <c r="T36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табеле]])*S3648,0)</f>
        <v>0</v>
      </c>
      <c r="U3648" s="5">
        <f>IF(Таблица1[[#This Row],[ТТН]]&gt;0,Таблица1[[#This Row],[Ставка за ТТН]]*Таблица1[[#This Row],[ТТН]],0)</f>
        <v>0</v>
      </c>
    </row>
    <row r="3649" spans="1:21" x14ac:dyDescent="0.25">
      <c r="A3649" t="s">
        <v>84</v>
      </c>
      <c r="B3649" s="24">
        <v>5</v>
      </c>
      <c r="C3649" t="s">
        <v>159</v>
      </c>
      <c r="D3649" t="s">
        <v>12</v>
      </c>
      <c r="E3649" t="s">
        <v>216</v>
      </c>
      <c r="H3649" t="s">
        <v>44</v>
      </c>
      <c r="I3649" t="s">
        <v>217</v>
      </c>
      <c r="J3649">
        <v>1</v>
      </c>
      <c r="N3649">
        <f>Таблица1[[#This Row],[Часов на заказчика  в работе]]+Таблица1[[#This Row],[Часов на заказчика  дежурство]]</f>
        <v>0</v>
      </c>
      <c r="O36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49" s="9"/>
      <c r="R3649" s="9"/>
      <c r="S3649" s="5">
        <v>1</v>
      </c>
      <c r="T36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табеле]])*S3649,0)</f>
        <v>0</v>
      </c>
      <c r="U3649" s="5">
        <f>IF(Таблица1[[#This Row],[ТТН]]&gt;0,Таблица1[[#This Row],[Ставка за ТТН]]*Таблица1[[#This Row],[ТТН]],0)</f>
        <v>0</v>
      </c>
    </row>
    <row r="3650" spans="1:21" x14ac:dyDescent="0.25">
      <c r="A3650" t="s">
        <v>84</v>
      </c>
      <c r="B3650" s="24">
        <v>6</v>
      </c>
      <c r="C3650" t="s">
        <v>159</v>
      </c>
      <c r="D3650" t="s">
        <v>12</v>
      </c>
      <c r="E3650" t="s">
        <v>216</v>
      </c>
      <c r="H3650" t="s">
        <v>44</v>
      </c>
      <c r="I3650" t="s">
        <v>217</v>
      </c>
      <c r="J3650">
        <v>1</v>
      </c>
      <c r="N3650">
        <f>Таблица1[[#This Row],[Часов на заказчика  в работе]]+Таблица1[[#This Row],[Часов на заказчика  дежурство]]</f>
        <v>0</v>
      </c>
      <c r="O36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0" s="9"/>
      <c r="R3650" s="9"/>
      <c r="S3650" s="5">
        <v>1</v>
      </c>
      <c r="T36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табеле]])*S3650,0)</f>
        <v>0</v>
      </c>
      <c r="U3650" s="5">
        <f>IF(Таблица1[[#This Row],[ТТН]]&gt;0,Таблица1[[#This Row],[Ставка за ТТН]]*Таблица1[[#This Row],[ТТН]],0)</f>
        <v>0</v>
      </c>
    </row>
    <row r="3651" spans="1:21" x14ac:dyDescent="0.25">
      <c r="A3651" t="s">
        <v>84</v>
      </c>
      <c r="B3651" s="24">
        <v>7</v>
      </c>
      <c r="C3651" t="s">
        <v>159</v>
      </c>
      <c r="D3651" t="s">
        <v>12</v>
      </c>
      <c r="E3651" t="s">
        <v>216</v>
      </c>
      <c r="H3651" t="s">
        <v>44</v>
      </c>
      <c r="I3651" t="s">
        <v>217</v>
      </c>
      <c r="J3651">
        <v>1</v>
      </c>
      <c r="N3651">
        <f>Таблица1[[#This Row],[Часов на заказчика  в работе]]+Таблица1[[#This Row],[Часов на заказчика  дежурство]]</f>
        <v>0</v>
      </c>
      <c r="O36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1" s="9"/>
      <c r="R3651" s="9"/>
      <c r="S3651" s="5">
        <v>1</v>
      </c>
      <c r="T36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табеле]])*S3651,0)</f>
        <v>0</v>
      </c>
      <c r="U3651" s="5">
        <f>IF(Таблица1[[#This Row],[ТТН]]&gt;0,Таблица1[[#This Row],[Ставка за ТТН]]*Таблица1[[#This Row],[ТТН]],0)</f>
        <v>0</v>
      </c>
    </row>
    <row r="3652" spans="1:21" x14ac:dyDescent="0.25">
      <c r="A3652" t="s">
        <v>84</v>
      </c>
      <c r="B3652" s="24">
        <v>8</v>
      </c>
      <c r="C3652" t="s">
        <v>159</v>
      </c>
      <c r="D3652" t="s">
        <v>12</v>
      </c>
      <c r="E3652" t="s">
        <v>216</v>
      </c>
      <c r="H3652" t="s">
        <v>44</v>
      </c>
      <c r="I3652" t="s">
        <v>217</v>
      </c>
      <c r="J3652">
        <v>1</v>
      </c>
      <c r="N3652">
        <f>Таблица1[[#This Row],[Часов на заказчика  в работе]]+Таблица1[[#This Row],[Часов на заказчика  дежурство]]</f>
        <v>0</v>
      </c>
      <c r="O36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2" s="9"/>
      <c r="R3652" s="9"/>
      <c r="S3652" s="5">
        <v>1</v>
      </c>
      <c r="T36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табеле]])*S3652,0)</f>
        <v>0</v>
      </c>
      <c r="U3652" s="5">
        <f>IF(Таблица1[[#This Row],[ТТН]]&gt;0,Таблица1[[#This Row],[Ставка за ТТН]]*Таблица1[[#This Row],[ТТН]],0)</f>
        <v>0</v>
      </c>
    </row>
    <row r="3653" spans="1:21" x14ac:dyDescent="0.25">
      <c r="A3653" t="s">
        <v>84</v>
      </c>
      <c r="B3653" s="24">
        <v>9</v>
      </c>
      <c r="C3653" t="s">
        <v>159</v>
      </c>
      <c r="D3653" t="s">
        <v>12</v>
      </c>
      <c r="E3653" t="s">
        <v>216</v>
      </c>
      <c r="H3653" t="s">
        <v>44</v>
      </c>
      <c r="I3653" t="s">
        <v>217</v>
      </c>
      <c r="J3653">
        <v>1</v>
      </c>
      <c r="N3653">
        <f>Таблица1[[#This Row],[Часов на заказчика  в работе]]+Таблица1[[#This Row],[Часов на заказчика  дежурство]]</f>
        <v>0</v>
      </c>
      <c r="O36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3" s="9"/>
      <c r="R3653" s="9"/>
      <c r="S3653" s="5">
        <v>1</v>
      </c>
      <c r="T36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табеле]])*S3653,0)</f>
        <v>0</v>
      </c>
      <c r="U3653" s="5">
        <f>IF(Таблица1[[#This Row],[ТТН]]&gt;0,Таблица1[[#This Row],[Ставка за ТТН]]*Таблица1[[#This Row],[ТТН]],0)</f>
        <v>0</v>
      </c>
    </row>
    <row r="3654" spans="1:21" x14ac:dyDescent="0.25">
      <c r="A3654" t="s">
        <v>84</v>
      </c>
      <c r="B3654" s="24">
        <v>10</v>
      </c>
      <c r="C3654" t="s">
        <v>159</v>
      </c>
      <c r="D3654" t="s">
        <v>12</v>
      </c>
      <c r="E3654" t="s">
        <v>216</v>
      </c>
      <c r="H3654" t="s">
        <v>44</v>
      </c>
      <c r="I3654" t="s">
        <v>217</v>
      </c>
      <c r="J3654">
        <v>1</v>
      </c>
      <c r="N3654">
        <f>Таблица1[[#This Row],[Часов на заказчика  в работе]]+Таблица1[[#This Row],[Часов на заказчика  дежурство]]</f>
        <v>0</v>
      </c>
      <c r="O36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4" s="9"/>
      <c r="R3654" s="9"/>
      <c r="S3654" s="5">
        <v>1</v>
      </c>
      <c r="T36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табеле]])*S3654,0)</f>
        <v>0</v>
      </c>
      <c r="U3654" s="5">
        <f>IF(Таблица1[[#This Row],[ТТН]]&gt;0,Таблица1[[#This Row],[Ставка за ТТН]]*Таблица1[[#This Row],[ТТН]],0)</f>
        <v>0</v>
      </c>
    </row>
    <row r="3655" spans="1:21" x14ac:dyDescent="0.25">
      <c r="A3655" t="s">
        <v>84</v>
      </c>
      <c r="B3655" s="24">
        <v>11</v>
      </c>
      <c r="C3655" t="s">
        <v>159</v>
      </c>
      <c r="D3655" t="s">
        <v>12</v>
      </c>
      <c r="E3655" t="s">
        <v>216</v>
      </c>
      <c r="H3655" t="s">
        <v>44</v>
      </c>
      <c r="I3655" t="s">
        <v>217</v>
      </c>
      <c r="J3655">
        <v>1</v>
      </c>
      <c r="N3655">
        <f>Таблица1[[#This Row],[Часов на заказчика  в работе]]+Таблица1[[#This Row],[Часов на заказчика  дежурство]]</f>
        <v>0</v>
      </c>
      <c r="O36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5" s="9"/>
      <c r="R3655" s="9"/>
      <c r="S3655" s="5">
        <v>1</v>
      </c>
      <c r="T36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табеле]])*S3655,0)</f>
        <v>0</v>
      </c>
      <c r="U3655" s="5">
        <f>IF(Таблица1[[#This Row],[ТТН]]&gt;0,Таблица1[[#This Row],[Ставка за ТТН]]*Таблица1[[#This Row],[ТТН]],0)</f>
        <v>0</v>
      </c>
    </row>
    <row r="3656" spans="1:21" x14ac:dyDescent="0.25">
      <c r="A3656" t="s">
        <v>84</v>
      </c>
      <c r="B3656" s="24">
        <v>12</v>
      </c>
      <c r="C3656" t="s">
        <v>159</v>
      </c>
      <c r="D3656" t="s">
        <v>12</v>
      </c>
      <c r="E3656" t="s">
        <v>216</v>
      </c>
      <c r="H3656" t="s">
        <v>44</v>
      </c>
      <c r="I3656" t="s">
        <v>217</v>
      </c>
      <c r="J3656">
        <v>1</v>
      </c>
      <c r="N3656">
        <f>Таблица1[[#This Row],[Часов на заказчика  в работе]]+Таблица1[[#This Row],[Часов на заказчика  дежурство]]</f>
        <v>0</v>
      </c>
      <c r="O36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6" s="9"/>
      <c r="R3656" s="9"/>
      <c r="S3656" s="5">
        <v>1</v>
      </c>
      <c r="T36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табеле]])*S3656,0)</f>
        <v>0</v>
      </c>
      <c r="U3656" s="5">
        <f>IF(Таблица1[[#This Row],[ТТН]]&gt;0,Таблица1[[#This Row],[Ставка за ТТН]]*Таблица1[[#This Row],[ТТН]],0)</f>
        <v>0</v>
      </c>
    </row>
    <row r="3657" spans="1:21" x14ac:dyDescent="0.25">
      <c r="A3657" t="s">
        <v>84</v>
      </c>
      <c r="B3657" s="24">
        <v>13</v>
      </c>
      <c r="C3657" t="s">
        <v>159</v>
      </c>
      <c r="D3657" t="s">
        <v>12</v>
      </c>
      <c r="E3657" t="s">
        <v>216</v>
      </c>
      <c r="H3657" t="s">
        <v>44</v>
      </c>
      <c r="I3657" t="s">
        <v>217</v>
      </c>
      <c r="J3657">
        <v>1</v>
      </c>
      <c r="N3657">
        <f>Таблица1[[#This Row],[Часов на заказчика  в работе]]+Таблица1[[#This Row],[Часов на заказчика  дежурство]]</f>
        <v>0</v>
      </c>
      <c r="O36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7" s="9"/>
      <c r="R3657" s="9"/>
      <c r="S3657" s="5">
        <v>1</v>
      </c>
      <c r="T36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табеле]])*S3657,0)</f>
        <v>0</v>
      </c>
      <c r="U3657" s="5">
        <f>IF(Таблица1[[#This Row],[ТТН]]&gt;0,Таблица1[[#This Row],[Ставка за ТТН]]*Таблица1[[#This Row],[ТТН]],0)</f>
        <v>0</v>
      </c>
    </row>
    <row r="3658" spans="1:21" x14ac:dyDescent="0.25">
      <c r="A3658" t="s">
        <v>84</v>
      </c>
      <c r="B3658" s="24">
        <v>14</v>
      </c>
      <c r="C3658" t="s">
        <v>159</v>
      </c>
      <c r="D3658" t="s">
        <v>12</v>
      </c>
      <c r="E3658" t="s">
        <v>216</v>
      </c>
      <c r="H3658" t="s">
        <v>44</v>
      </c>
      <c r="I3658" t="s">
        <v>217</v>
      </c>
      <c r="J3658">
        <v>1</v>
      </c>
      <c r="N3658">
        <f>Таблица1[[#This Row],[Часов на заказчика  в работе]]+Таблица1[[#This Row],[Часов на заказчика  дежурство]]</f>
        <v>0</v>
      </c>
      <c r="O36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8" s="9"/>
      <c r="R3658" s="9"/>
      <c r="S3658" s="5">
        <v>1</v>
      </c>
      <c r="T36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табеле]])*S3658,0)</f>
        <v>0</v>
      </c>
      <c r="U3658" s="5">
        <f>IF(Таблица1[[#This Row],[ТТН]]&gt;0,Таблица1[[#This Row],[Ставка за ТТН]]*Таблица1[[#This Row],[ТТН]],0)</f>
        <v>0</v>
      </c>
    </row>
    <row r="3659" spans="1:21" x14ac:dyDescent="0.25">
      <c r="A3659" t="s">
        <v>84</v>
      </c>
      <c r="B3659" s="24">
        <v>15</v>
      </c>
      <c r="C3659" t="s">
        <v>159</v>
      </c>
      <c r="D3659" t="s">
        <v>12</v>
      </c>
      <c r="E3659" t="s">
        <v>216</v>
      </c>
      <c r="H3659" t="s">
        <v>44</v>
      </c>
      <c r="I3659" t="s">
        <v>217</v>
      </c>
      <c r="J3659">
        <v>1</v>
      </c>
      <c r="N3659">
        <f>Таблица1[[#This Row],[Часов на заказчика  в работе]]+Таблица1[[#This Row],[Часов на заказчика  дежурство]]</f>
        <v>0</v>
      </c>
      <c r="O36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59" s="9"/>
      <c r="R3659" s="9"/>
      <c r="S3659" s="5">
        <v>1</v>
      </c>
      <c r="T36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табеле]])*S3659,0)</f>
        <v>0</v>
      </c>
      <c r="U3659" s="5">
        <f>IF(Таблица1[[#This Row],[ТТН]]&gt;0,Таблица1[[#This Row],[Ставка за ТТН]]*Таблица1[[#This Row],[ТТН]],0)</f>
        <v>0</v>
      </c>
    </row>
    <row r="3660" spans="1:21" x14ac:dyDescent="0.25">
      <c r="A3660" t="s">
        <v>84</v>
      </c>
      <c r="B3660" s="24">
        <v>16</v>
      </c>
      <c r="C3660" t="s">
        <v>159</v>
      </c>
      <c r="D3660" t="s">
        <v>12</v>
      </c>
      <c r="E3660" t="s">
        <v>216</v>
      </c>
      <c r="H3660" t="s">
        <v>44</v>
      </c>
      <c r="I3660" t="s">
        <v>217</v>
      </c>
      <c r="J3660">
        <v>1</v>
      </c>
      <c r="N3660">
        <f>Таблица1[[#This Row],[Часов на заказчика  в работе]]+Таблица1[[#This Row],[Часов на заказчика  дежурство]]</f>
        <v>0</v>
      </c>
      <c r="O36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0" s="9"/>
      <c r="R3660" s="9"/>
      <c r="S3660" s="5">
        <v>1</v>
      </c>
      <c r="T36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табеле]])*S3660,0)</f>
        <v>0</v>
      </c>
      <c r="U3660" s="5">
        <f>IF(Таблица1[[#This Row],[ТТН]]&gt;0,Таблица1[[#This Row],[Ставка за ТТН]]*Таблица1[[#This Row],[ТТН]],0)</f>
        <v>0</v>
      </c>
    </row>
    <row r="3661" spans="1:21" x14ac:dyDescent="0.25">
      <c r="A3661" t="s">
        <v>84</v>
      </c>
      <c r="B3661" s="24">
        <v>17</v>
      </c>
      <c r="C3661" t="s">
        <v>159</v>
      </c>
      <c r="D3661" t="s">
        <v>12</v>
      </c>
      <c r="E3661" t="s">
        <v>216</v>
      </c>
      <c r="H3661" t="s">
        <v>44</v>
      </c>
      <c r="I3661" t="s">
        <v>217</v>
      </c>
      <c r="J3661">
        <v>1</v>
      </c>
      <c r="N3661">
        <f>Таблица1[[#This Row],[Часов на заказчика  в работе]]+Таблица1[[#This Row],[Часов на заказчика  дежурство]]</f>
        <v>0</v>
      </c>
      <c r="O36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1" s="9"/>
      <c r="R3661" s="9"/>
      <c r="S3661" s="5">
        <v>1</v>
      </c>
      <c r="T36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табеле]])*S3661,0)</f>
        <v>0</v>
      </c>
      <c r="U3661" s="5">
        <f>IF(Таблица1[[#This Row],[ТТН]]&gt;0,Таблица1[[#This Row],[Ставка за ТТН]]*Таблица1[[#This Row],[ТТН]],0)</f>
        <v>0</v>
      </c>
    </row>
    <row r="3662" spans="1:21" x14ac:dyDescent="0.25">
      <c r="A3662" t="s">
        <v>84</v>
      </c>
      <c r="B3662" s="24">
        <v>18</v>
      </c>
      <c r="C3662" t="s">
        <v>159</v>
      </c>
      <c r="D3662" t="s">
        <v>12</v>
      </c>
      <c r="E3662" t="s">
        <v>216</v>
      </c>
      <c r="H3662" t="s">
        <v>44</v>
      </c>
      <c r="I3662" t="s">
        <v>217</v>
      </c>
      <c r="J3662">
        <v>1</v>
      </c>
      <c r="N3662">
        <f>Таблица1[[#This Row],[Часов на заказчика  в работе]]+Таблица1[[#This Row],[Часов на заказчика  дежурство]]</f>
        <v>0</v>
      </c>
      <c r="O36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2" s="9"/>
      <c r="R3662" s="9"/>
      <c r="S3662" s="5">
        <v>1</v>
      </c>
      <c r="T36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табеле]])*S3662,0)</f>
        <v>0</v>
      </c>
      <c r="U3662" s="5">
        <f>IF(Таблица1[[#This Row],[ТТН]]&gt;0,Таблица1[[#This Row],[Ставка за ТТН]]*Таблица1[[#This Row],[ТТН]],0)</f>
        <v>0</v>
      </c>
    </row>
    <row r="3663" spans="1:21" x14ac:dyDescent="0.25">
      <c r="A3663" t="s">
        <v>84</v>
      </c>
      <c r="B3663" s="24">
        <v>19</v>
      </c>
      <c r="C3663" t="s">
        <v>159</v>
      </c>
      <c r="D3663" t="s">
        <v>12</v>
      </c>
      <c r="E3663" t="s">
        <v>216</v>
      </c>
      <c r="H3663" t="s">
        <v>44</v>
      </c>
      <c r="I3663" t="s">
        <v>217</v>
      </c>
      <c r="J3663">
        <v>1</v>
      </c>
      <c r="N3663">
        <f>Таблица1[[#This Row],[Часов на заказчика  в работе]]+Таблица1[[#This Row],[Часов на заказчика  дежурство]]</f>
        <v>0</v>
      </c>
      <c r="O36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3" s="9"/>
      <c r="R3663" s="9"/>
      <c r="S3663" s="5">
        <v>1</v>
      </c>
      <c r="T36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табеле]])*S3663,0)</f>
        <v>0</v>
      </c>
      <c r="U3663" s="5">
        <f>IF(Таблица1[[#This Row],[ТТН]]&gt;0,Таблица1[[#This Row],[Ставка за ТТН]]*Таблица1[[#This Row],[ТТН]],0)</f>
        <v>0</v>
      </c>
    </row>
    <row r="3664" spans="1:21" x14ac:dyDescent="0.25">
      <c r="A3664" t="s">
        <v>84</v>
      </c>
      <c r="B3664" s="24">
        <v>20</v>
      </c>
      <c r="C3664" t="s">
        <v>159</v>
      </c>
      <c r="D3664" t="s">
        <v>12</v>
      </c>
      <c r="E3664" t="s">
        <v>216</v>
      </c>
      <c r="H3664" t="s">
        <v>44</v>
      </c>
      <c r="I3664" t="s">
        <v>217</v>
      </c>
      <c r="J3664">
        <v>1</v>
      </c>
      <c r="N3664">
        <f>Таблица1[[#This Row],[Часов на заказчика  в работе]]+Таблица1[[#This Row],[Часов на заказчика  дежурство]]</f>
        <v>0</v>
      </c>
      <c r="O36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4" s="9"/>
      <c r="R3664" s="9"/>
      <c r="S3664" s="5">
        <v>1</v>
      </c>
      <c r="T36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табеле]])*S3664,0)</f>
        <v>0</v>
      </c>
      <c r="U3664" s="5">
        <f>IF(Таблица1[[#This Row],[ТТН]]&gt;0,Таблица1[[#This Row],[Ставка за ТТН]]*Таблица1[[#This Row],[ТТН]],0)</f>
        <v>0</v>
      </c>
    </row>
    <row r="3665" spans="1:21" x14ac:dyDescent="0.25">
      <c r="A3665" t="s">
        <v>84</v>
      </c>
      <c r="B3665" s="24">
        <v>21</v>
      </c>
      <c r="C3665" t="s">
        <v>159</v>
      </c>
      <c r="D3665" t="s">
        <v>12</v>
      </c>
      <c r="E3665" t="s">
        <v>216</v>
      </c>
      <c r="H3665" t="s">
        <v>44</v>
      </c>
      <c r="I3665" t="s">
        <v>217</v>
      </c>
      <c r="J3665">
        <v>1</v>
      </c>
      <c r="N3665">
        <f>Таблица1[[#This Row],[Часов на заказчика  в работе]]+Таблица1[[#This Row],[Часов на заказчика  дежурство]]</f>
        <v>0</v>
      </c>
      <c r="O36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5" s="9"/>
      <c r="R3665" s="9"/>
      <c r="S3665" s="5">
        <v>1</v>
      </c>
      <c r="T36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табеле]])*S3665,0)</f>
        <v>0</v>
      </c>
      <c r="U3665" s="5">
        <f>IF(Таблица1[[#This Row],[ТТН]]&gt;0,Таблица1[[#This Row],[Ставка за ТТН]]*Таблица1[[#This Row],[ТТН]],0)</f>
        <v>0</v>
      </c>
    </row>
    <row r="3666" spans="1:21" x14ac:dyDescent="0.25">
      <c r="A3666" t="s">
        <v>84</v>
      </c>
      <c r="B3666" s="24">
        <v>22</v>
      </c>
      <c r="C3666" t="s">
        <v>159</v>
      </c>
      <c r="D3666" t="s">
        <v>12</v>
      </c>
      <c r="E3666" t="s">
        <v>216</v>
      </c>
      <c r="H3666" t="s">
        <v>44</v>
      </c>
      <c r="I3666" t="s">
        <v>217</v>
      </c>
      <c r="J3666">
        <v>1</v>
      </c>
      <c r="N3666">
        <f>Таблица1[[#This Row],[Часов на заказчика  в работе]]+Таблица1[[#This Row],[Часов на заказчика  дежурство]]</f>
        <v>0</v>
      </c>
      <c r="O36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6" s="9"/>
      <c r="R3666" s="9"/>
      <c r="S3666" s="5">
        <v>1</v>
      </c>
      <c r="T36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табеле]])*S3666,0)</f>
        <v>0</v>
      </c>
      <c r="U3666" s="5">
        <f>IF(Таблица1[[#This Row],[ТТН]]&gt;0,Таблица1[[#This Row],[Ставка за ТТН]]*Таблица1[[#This Row],[ТТН]],0)</f>
        <v>0</v>
      </c>
    </row>
    <row r="3667" spans="1:21" x14ac:dyDescent="0.25">
      <c r="A3667" t="s">
        <v>84</v>
      </c>
      <c r="B3667" s="24">
        <v>23</v>
      </c>
      <c r="C3667" t="s">
        <v>159</v>
      </c>
      <c r="D3667" t="s">
        <v>12</v>
      </c>
      <c r="E3667" t="s">
        <v>216</v>
      </c>
      <c r="H3667" t="s">
        <v>44</v>
      </c>
      <c r="I3667" t="s">
        <v>217</v>
      </c>
      <c r="J3667">
        <v>1</v>
      </c>
      <c r="N3667">
        <f>Таблица1[[#This Row],[Часов на заказчика  в работе]]+Таблица1[[#This Row],[Часов на заказчика  дежурство]]</f>
        <v>0</v>
      </c>
      <c r="O36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7" s="9"/>
      <c r="R3667" s="9"/>
      <c r="S3667" s="5">
        <v>1</v>
      </c>
      <c r="T36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табеле]])*S3667,0)</f>
        <v>0</v>
      </c>
      <c r="U3667" s="5">
        <f>IF(Таблица1[[#This Row],[ТТН]]&gt;0,Таблица1[[#This Row],[Ставка за ТТН]]*Таблица1[[#This Row],[ТТН]],0)</f>
        <v>0</v>
      </c>
    </row>
    <row r="3668" spans="1:21" x14ac:dyDescent="0.25">
      <c r="A3668" t="s">
        <v>84</v>
      </c>
      <c r="B3668" s="24">
        <v>24</v>
      </c>
      <c r="C3668" t="s">
        <v>159</v>
      </c>
      <c r="D3668" t="s">
        <v>12</v>
      </c>
      <c r="E3668" t="s">
        <v>216</v>
      </c>
      <c r="H3668" t="s">
        <v>44</v>
      </c>
      <c r="I3668" t="s">
        <v>217</v>
      </c>
      <c r="J3668">
        <v>1</v>
      </c>
      <c r="N3668">
        <f>Таблица1[[#This Row],[Часов на заказчика  в работе]]+Таблица1[[#This Row],[Часов на заказчика  дежурство]]</f>
        <v>0</v>
      </c>
      <c r="O36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8" s="9"/>
      <c r="R3668" s="9"/>
      <c r="S3668" s="5">
        <v>1</v>
      </c>
      <c r="T36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табеле]])*S3668,0)</f>
        <v>0</v>
      </c>
      <c r="U3668" s="5">
        <f>IF(Таблица1[[#This Row],[ТТН]]&gt;0,Таблица1[[#This Row],[Ставка за ТТН]]*Таблица1[[#This Row],[ТТН]],0)</f>
        <v>0</v>
      </c>
    </row>
    <row r="3669" spans="1:21" x14ac:dyDescent="0.25">
      <c r="A3669" t="s">
        <v>84</v>
      </c>
      <c r="B3669" s="24">
        <v>25</v>
      </c>
      <c r="C3669" t="s">
        <v>159</v>
      </c>
      <c r="D3669" t="s">
        <v>12</v>
      </c>
      <c r="E3669" t="s">
        <v>216</v>
      </c>
      <c r="H3669" t="s">
        <v>44</v>
      </c>
      <c r="I3669" t="s">
        <v>217</v>
      </c>
      <c r="J3669">
        <v>1</v>
      </c>
      <c r="N3669">
        <f>Таблица1[[#This Row],[Часов на заказчика  в работе]]+Таблица1[[#This Row],[Часов на заказчика  дежурство]]</f>
        <v>0</v>
      </c>
      <c r="O36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69" s="9"/>
      <c r="R3669" s="9"/>
      <c r="S3669" s="5">
        <v>1</v>
      </c>
      <c r="T36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табеле]])*S3669,0)</f>
        <v>0</v>
      </c>
      <c r="U3669" s="5">
        <f>IF(Таблица1[[#This Row],[ТТН]]&gt;0,Таблица1[[#This Row],[Ставка за ТТН]]*Таблица1[[#This Row],[ТТН]],0)</f>
        <v>0</v>
      </c>
    </row>
    <row r="3670" spans="1:21" x14ac:dyDescent="0.25">
      <c r="A3670" t="s">
        <v>84</v>
      </c>
      <c r="B3670" s="24">
        <v>26</v>
      </c>
      <c r="C3670" t="s">
        <v>159</v>
      </c>
      <c r="D3670" t="s">
        <v>12</v>
      </c>
      <c r="E3670" t="s">
        <v>216</v>
      </c>
      <c r="H3670" t="s">
        <v>44</v>
      </c>
      <c r="I3670" t="s">
        <v>217</v>
      </c>
      <c r="J3670">
        <v>1</v>
      </c>
      <c r="N3670">
        <f>Таблица1[[#This Row],[Часов на заказчика  в работе]]+Таблица1[[#This Row],[Часов на заказчика  дежурство]]</f>
        <v>0</v>
      </c>
      <c r="O36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0" s="9"/>
      <c r="R3670" s="9"/>
      <c r="S3670" s="5">
        <v>1</v>
      </c>
      <c r="T36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табеле]])*S3670,0)</f>
        <v>0</v>
      </c>
      <c r="U3670" s="5">
        <f>IF(Таблица1[[#This Row],[ТТН]]&gt;0,Таблица1[[#This Row],[Ставка за ТТН]]*Таблица1[[#This Row],[ТТН]],0)</f>
        <v>0</v>
      </c>
    </row>
    <row r="3671" spans="1:21" x14ac:dyDescent="0.25">
      <c r="A3671" t="s">
        <v>84</v>
      </c>
      <c r="B3671" s="24">
        <v>27</v>
      </c>
      <c r="C3671" t="s">
        <v>159</v>
      </c>
      <c r="D3671" t="s">
        <v>12</v>
      </c>
      <c r="E3671" t="s">
        <v>216</v>
      </c>
      <c r="H3671" t="s">
        <v>44</v>
      </c>
      <c r="I3671" t="s">
        <v>217</v>
      </c>
      <c r="J3671">
        <v>1</v>
      </c>
      <c r="N3671">
        <f>Таблица1[[#This Row],[Часов на заказчика  в работе]]+Таблица1[[#This Row],[Часов на заказчика  дежурство]]</f>
        <v>0</v>
      </c>
      <c r="O36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1" s="9"/>
      <c r="R3671" s="9"/>
      <c r="S3671" s="5">
        <v>1</v>
      </c>
      <c r="T36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табеле]])*S3671,0)</f>
        <v>0</v>
      </c>
      <c r="U3671" s="5">
        <f>IF(Таблица1[[#This Row],[ТТН]]&gt;0,Таблица1[[#This Row],[Ставка за ТТН]]*Таблица1[[#This Row],[ТТН]],0)</f>
        <v>0</v>
      </c>
    </row>
    <row r="3672" spans="1:21" x14ac:dyDescent="0.25">
      <c r="A3672" t="s">
        <v>84</v>
      </c>
      <c r="B3672" s="24">
        <v>28</v>
      </c>
      <c r="C3672" t="s">
        <v>159</v>
      </c>
      <c r="D3672" t="s">
        <v>12</v>
      </c>
      <c r="E3672" t="s">
        <v>216</v>
      </c>
      <c r="H3672" t="s">
        <v>44</v>
      </c>
      <c r="I3672" t="s">
        <v>217</v>
      </c>
      <c r="J3672">
        <v>1</v>
      </c>
      <c r="N3672">
        <f>Таблица1[[#This Row],[Часов на заказчика  в работе]]+Таблица1[[#This Row],[Часов на заказчика  дежурство]]</f>
        <v>0</v>
      </c>
      <c r="O36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2" s="9"/>
      <c r="R3672" s="9"/>
      <c r="S3672" s="5">
        <v>1</v>
      </c>
      <c r="T36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табеле]])*S3672,0)</f>
        <v>0</v>
      </c>
      <c r="U3672" s="5">
        <f>IF(Таблица1[[#This Row],[ТТН]]&gt;0,Таблица1[[#This Row],[Ставка за ТТН]]*Таблица1[[#This Row],[ТТН]],0)</f>
        <v>0</v>
      </c>
    </row>
    <row r="3673" spans="1:21" x14ac:dyDescent="0.25">
      <c r="A3673" t="s">
        <v>84</v>
      </c>
      <c r="B3673" s="24">
        <v>29</v>
      </c>
      <c r="C3673" t="s">
        <v>159</v>
      </c>
      <c r="D3673" t="s">
        <v>12</v>
      </c>
      <c r="E3673" t="s">
        <v>216</v>
      </c>
      <c r="H3673" t="s">
        <v>44</v>
      </c>
      <c r="I3673" t="s">
        <v>217</v>
      </c>
      <c r="J3673">
        <v>1</v>
      </c>
      <c r="N3673">
        <f>Таблица1[[#This Row],[Часов на заказчика  в работе]]+Таблица1[[#This Row],[Часов на заказчика  дежурство]]</f>
        <v>0</v>
      </c>
      <c r="O36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3" s="9"/>
      <c r="R3673" s="9"/>
      <c r="S3673" s="5">
        <v>1</v>
      </c>
      <c r="T36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табеле]])*S3673,0)</f>
        <v>0</v>
      </c>
      <c r="U3673" s="5">
        <f>IF(Таблица1[[#This Row],[ТТН]]&gt;0,Таблица1[[#This Row],[Ставка за ТТН]]*Таблица1[[#This Row],[ТТН]],0)</f>
        <v>0</v>
      </c>
    </row>
    <row r="3674" spans="1:21" x14ac:dyDescent="0.25">
      <c r="A3674" t="s">
        <v>84</v>
      </c>
      <c r="B3674" s="24">
        <v>30</v>
      </c>
      <c r="C3674" t="s">
        <v>204</v>
      </c>
      <c r="D3674" t="s">
        <v>12</v>
      </c>
      <c r="E3674" t="s">
        <v>216</v>
      </c>
      <c r="H3674" t="s">
        <v>44</v>
      </c>
      <c r="I3674" t="s">
        <v>217</v>
      </c>
      <c r="J3674">
        <v>1</v>
      </c>
      <c r="N3674">
        <f>Таблица1[[#This Row],[Часов на заказчика  в работе]]+Таблица1[[#This Row],[Часов на заказчика  дежурство]]</f>
        <v>0</v>
      </c>
      <c r="O36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4" s="9"/>
      <c r="R3674" s="9"/>
      <c r="S3674" s="5">
        <v>1</v>
      </c>
      <c r="T36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табеле]])*S3674,0)</f>
        <v>0</v>
      </c>
      <c r="U3674" s="5">
        <f>IF(Таблица1[[#This Row],[ТТН]]&gt;0,Таблица1[[#This Row],[Ставка за ТТН]]*Таблица1[[#This Row],[ТТН]],0)</f>
        <v>0</v>
      </c>
    </row>
    <row r="3675" spans="1:21" x14ac:dyDescent="0.25">
      <c r="A3675" t="s">
        <v>84</v>
      </c>
      <c r="B3675" s="24">
        <v>1</v>
      </c>
      <c r="C3675" t="s">
        <v>204</v>
      </c>
      <c r="D3675" t="s">
        <v>71</v>
      </c>
      <c r="E3675" t="s">
        <v>216</v>
      </c>
      <c r="F3675" t="s">
        <v>71</v>
      </c>
      <c r="H3675" t="s">
        <v>29</v>
      </c>
      <c r="I3675" t="s">
        <v>217</v>
      </c>
      <c r="J3675">
        <v>8</v>
      </c>
      <c r="N3675">
        <f>Таблица1[[#This Row],[Часов на заказчика  в работе]]+Таблица1[[#This Row],[Часов на заказчика  дежурство]]</f>
        <v>0</v>
      </c>
      <c r="O36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5" s="9"/>
      <c r="R3675" s="9"/>
      <c r="S3675" s="5">
        <v>1</v>
      </c>
      <c r="T36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табеле]])*S3675,0)</f>
        <v>0</v>
      </c>
      <c r="U3675" s="5">
        <f>IF(Таблица1[[#This Row],[ТТН]]&gt;0,Таблица1[[#This Row],[Ставка за ТТН]]*Таблица1[[#This Row],[ТТН]],0)</f>
        <v>0</v>
      </c>
    </row>
    <row r="3676" spans="1:21" x14ac:dyDescent="0.25">
      <c r="A3676" t="s">
        <v>84</v>
      </c>
      <c r="B3676" s="24">
        <v>2</v>
      </c>
      <c r="C3676" t="s">
        <v>204</v>
      </c>
      <c r="D3676" t="s">
        <v>71</v>
      </c>
      <c r="E3676" t="s">
        <v>216</v>
      </c>
      <c r="F3676" t="s">
        <v>71</v>
      </c>
      <c r="H3676" t="s">
        <v>29</v>
      </c>
      <c r="I3676" t="s">
        <v>217</v>
      </c>
      <c r="J3676">
        <v>8</v>
      </c>
      <c r="N3676">
        <f>Таблица1[[#This Row],[Часов на заказчика  в работе]]+Таблица1[[#This Row],[Часов на заказчика  дежурство]]</f>
        <v>0</v>
      </c>
      <c r="O36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6" s="9"/>
      <c r="R3676" s="9"/>
      <c r="S3676" s="5">
        <v>1</v>
      </c>
      <c r="T36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табеле]])*S3676,0)</f>
        <v>0</v>
      </c>
      <c r="U3676" s="5">
        <f>IF(Таблица1[[#This Row],[ТТН]]&gt;0,Таблица1[[#This Row],[Ставка за ТТН]]*Таблица1[[#This Row],[ТТН]],0)</f>
        <v>0</v>
      </c>
    </row>
    <row r="3677" spans="1:21" x14ac:dyDescent="0.25">
      <c r="A3677" t="s">
        <v>84</v>
      </c>
      <c r="B3677" s="24">
        <v>3</v>
      </c>
      <c r="C3677" t="s">
        <v>204</v>
      </c>
      <c r="D3677" t="s">
        <v>71</v>
      </c>
      <c r="E3677" t="s">
        <v>216</v>
      </c>
      <c r="F3677" t="s">
        <v>71</v>
      </c>
      <c r="H3677" t="s">
        <v>29</v>
      </c>
      <c r="I3677" t="s">
        <v>217</v>
      </c>
      <c r="J3677">
        <v>8</v>
      </c>
      <c r="N3677">
        <f>Таблица1[[#This Row],[Часов на заказчика  в работе]]+Таблица1[[#This Row],[Часов на заказчика  дежурство]]</f>
        <v>0</v>
      </c>
      <c r="O36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7" s="9"/>
      <c r="R3677" s="9"/>
      <c r="S3677" s="5">
        <v>1</v>
      </c>
      <c r="T36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табеле]])*S3677,0)</f>
        <v>0</v>
      </c>
      <c r="U3677" s="5">
        <f>IF(Таблица1[[#This Row],[ТТН]]&gt;0,Таблица1[[#This Row],[Ставка за ТТН]]*Таблица1[[#This Row],[ТТН]],0)</f>
        <v>0</v>
      </c>
    </row>
    <row r="3678" spans="1:21" x14ac:dyDescent="0.25">
      <c r="A3678" t="s">
        <v>84</v>
      </c>
      <c r="B3678" s="24">
        <v>4</v>
      </c>
      <c r="C3678" t="s">
        <v>204</v>
      </c>
      <c r="D3678" t="s">
        <v>71</v>
      </c>
      <c r="E3678" t="s">
        <v>216</v>
      </c>
      <c r="F3678" t="s">
        <v>71</v>
      </c>
      <c r="H3678" t="s">
        <v>29</v>
      </c>
      <c r="I3678" t="s">
        <v>217</v>
      </c>
      <c r="J3678">
        <v>8</v>
      </c>
      <c r="N3678">
        <f>Таблица1[[#This Row],[Часов на заказчика  в работе]]+Таблица1[[#This Row],[Часов на заказчика  дежурство]]</f>
        <v>0</v>
      </c>
      <c r="O36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8" s="9"/>
      <c r="R3678" s="9"/>
      <c r="S3678" s="5">
        <v>1</v>
      </c>
      <c r="T36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табеле]])*S3678,0)</f>
        <v>0</v>
      </c>
      <c r="U3678" s="5">
        <f>IF(Таблица1[[#This Row],[ТТН]]&gt;0,Таблица1[[#This Row],[Ставка за ТТН]]*Таблица1[[#This Row],[ТТН]],0)</f>
        <v>0</v>
      </c>
    </row>
    <row r="3679" spans="1:21" x14ac:dyDescent="0.25">
      <c r="A3679" t="s">
        <v>84</v>
      </c>
      <c r="B3679" s="24">
        <v>5</v>
      </c>
      <c r="C3679" t="s">
        <v>204</v>
      </c>
      <c r="D3679" t="s">
        <v>71</v>
      </c>
      <c r="E3679" t="s">
        <v>216</v>
      </c>
      <c r="F3679" t="s">
        <v>71</v>
      </c>
      <c r="H3679" t="s">
        <v>29</v>
      </c>
      <c r="I3679" t="s">
        <v>217</v>
      </c>
      <c r="J3679">
        <v>8</v>
      </c>
      <c r="N3679">
        <f>Таблица1[[#This Row],[Часов на заказчика  в работе]]+Таблица1[[#This Row],[Часов на заказчика  дежурство]]</f>
        <v>0</v>
      </c>
      <c r="O36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79" s="9"/>
      <c r="R3679" s="9"/>
      <c r="S3679" s="5">
        <v>1</v>
      </c>
      <c r="T36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табеле]])*S3679,0)</f>
        <v>0</v>
      </c>
      <c r="U3679" s="5">
        <f>IF(Таблица1[[#This Row],[ТТН]]&gt;0,Таблица1[[#This Row],[Ставка за ТТН]]*Таблица1[[#This Row],[ТТН]],0)</f>
        <v>0</v>
      </c>
    </row>
    <row r="3680" spans="1:21" x14ac:dyDescent="0.25">
      <c r="A3680" t="s">
        <v>84</v>
      </c>
      <c r="B3680" s="24">
        <v>6</v>
      </c>
      <c r="C3680" t="s">
        <v>204</v>
      </c>
      <c r="D3680" t="s">
        <v>71</v>
      </c>
      <c r="E3680" t="s">
        <v>216</v>
      </c>
      <c r="F3680" t="s">
        <v>71</v>
      </c>
      <c r="H3680" t="s">
        <v>30</v>
      </c>
      <c r="I3680" t="s">
        <v>217</v>
      </c>
      <c r="J3680">
        <v>1</v>
      </c>
      <c r="N3680">
        <f>Таблица1[[#This Row],[Часов на заказчика  в работе]]+Таблица1[[#This Row],[Часов на заказчика  дежурство]]</f>
        <v>0</v>
      </c>
      <c r="O36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0" s="9"/>
      <c r="R3680" s="9"/>
      <c r="S3680" s="5">
        <v>1</v>
      </c>
      <c r="T36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табеле]])*S3680,0)</f>
        <v>0</v>
      </c>
      <c r="U3680" s="5">
        <f>IF(Таблица1[[#This Row],[ТТН]]&gt;0,Таблица1[[#This Row],[Ставка за ТТН]]*Таблица1[[#This Row],[ТТН]],0)</f>
        <v>0</v>
      </c>
    </row>
    <row r="3681" spans="1:21" x14ac:dyDescent="0.25">
      <c r="A3681" t="s">
        <v>84</v>
      </c>
      <c r="B3681" s="24">
        <v>7</v>
      </c>
      <c r="C3681" t="s">
        <v>204</v>
      </c>
      <c r="D3681" t="s">
        <v>71</v>
      </c>
      <c r="E3681" t="s">
        <v>216</v>
      </c>
      <c r="F3681" t="s">
        <v>71</v>
      </c>
      <c r="H3681" t="s">
        <v>30</v>
      </c>
      <c r="I3681" t="s">
        <v>217</v>
      </c>
      <c r="J3681">
        <v>1</v>
      </c>
      <c r="N3681">
        <f>Таблица1[[#This Row],[Часов на заказчика  в работе]]+Таблица1[[#This Row],[Часов на заказчика  дежурство]]</f>
        <v>0</v>
      </c>
      <c r="O36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1" s="9"/>
      <c r="R3681" s="9"/>
      <c r="S3681" s="5">
        <v>1</v>
      </c>
      <c r="T36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табеле]])*S3681,0)</f>
        <v>0</v>
      </c>
      <c r="U3681" s="5">
        <f>IF(Таблица1[[#This Row],[ТТН]]&gt;0,Таблица1[[#This Row],[Ставка за ТТН]]*Таблица1[[#This Row],[ТТН]],0)</f>
        <v>0</v>
      </c>
    </row>
    <row r="3682" spans="1:21" x14ac:dyDescent="0.25">
      <c r="A3682" t="s">
        <v>84</v>
      </c>
      <c r="B3682" s="24">
        <v>8</v>
      </c>
      <c r="C3682" t="s">
        <v>204</v>
      </c>
      <c r="D3682" t="s">
        <v>71</v>
      </c>
      <c r="E3682" t="s">
        <v>216</v>
      </c>
      <c r="F3682" t="s">
        <v>71</v>
      </c>
      <c r="H3682" t="s">
        <v>29</v>
      </c>
      <c r="I3682" t="s">
        <v>217</v>
      </c>
      <c r="J3682">
        <v>8</v>
      </c>
      <c r="N3682">
        <f>Таблица1[[#This Row],[Часов на заказчика  в работе]]+Таблица1[[#This Row],[Часов на заказчика  дежурство]]</f>
        <v>0</v>
      </c>
      <c r="O36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2" s="9"/>
      <c r="R3682" s="9"/>
      <c r="S3682" s="5">
        <v>1</v>
      </c>
      <c r="T36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табеле]])*S3682,0)</f>
        <v>0</v>
      </c>
      <c r="U3682" s="5">
        <f>IF(Таблица1[[#This Row],[ТТН]]&gt;0,Таблица1[[#This Row],[Ставка за ТТН]]*Таблица1[[#This Row],[ТТН]],0)</f>
        <v>0</v>
      </c>
    </row>
    <row r="3683" spans="1:21" x14ac:dyDescent="0.25">
      <c r="A3683" t="s">
        <v>84</v>
      </c>
      <c r="B3683" s="24">
        <v>9</v>
      </c>
      <c r="C3683" t="s">
        <v>204</v>
      </c>
      <c r="D3683" t="s">
        <v>71</v>
      </c>
      <c r="E3683" t="s">
        <v>216</v>
      </c>
      <c r="F3683" t="s">
        <v>71</v>
      </c>
      <c r="H3683" t="s">
        <v>29</v>
      </c>
      <c r="I3683" t="s">
        <v>217</v>
      </c>
      <c r="J3683">
        <v>8</v>
      </c>
      <c r="N3683">
        <f>Таблица1[[#This Row],[Часов на заказчика  в работе]]+Таблица1[[#This Row],[Часов на заказчика  дежурство]]</f>
        <v>0</v>
      </c>
      <c r="O36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3" s="9"/>
      <c r="R3683" s="9"/>
      <c r="S3683" s="5">
        <v>1</v>
      </c>
      <c r="T36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табеле]])*S3683,0)</f>
        <v>0</v>
      </c>
      <c r="U3683" s="5">
        <f>IF(Таблица1[[#This Row],[ТТН]]&gt;0,Таблица1[[#This Row],[Ставка за ТТН]]*Таблица1[[#This Row],[ТТН]],0)</f>
        <v>0</v>
      </c>
    </row>
    <row r="3684" spans="1:21" x14ac:dyDescent="0.25">
      <c r="A3684" t="s">
        <v>84</v>
      </c>
      <c r="B3684" s="24">
        <v>10</v>
      </c>
      <c r="C3684" t="s">
        <v>204</v>
      </c>
      <c r="D3684" t="s">
        <v>71</v>
      </c>
      <c r="E3684" t="s">
        <v>216</v>
      </c>
      <c r="F3684" t="s">
        <v>71</v>
      </c>
      <c r="H3684" t="s">
        <v>29</v>
      </c>
      <c r="I3684" t="s">
        <v>217</v>
      </c>
      <c r="J3684">
        <v>8</v>
      </c>
      <c r="N3684">
        <f>Таблица1[[#This Row],[Часов на заказчика  в работе]]+Таблица1[[#This Row],[Часов на заказчика  дежурство]]</f>
        <v>0</v>
      </c>
      <c r="O36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4" s="9"/>
      <c r="R3684" s="9"/>
      <c r="S3684" s="5">
        <v>1</v>
      </c>
      <c r="T36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табеле]])*S3684,0)</f>
        <v>0</v>
      </c>
      <c r="U3684" s="5">
        <f>IF(Таблица1[[#This Row],[ТТН]]&gt;0,Таблица1[[#This Row],[Ставка за ТТН]]*Таблица1[[#This Row],[ТТН]],0)</f>
        <v>0</v>
      </c>
    </row>
    <row r="3685" spans="1:21" x14ac:dyDescent="0.25">
      <c r="A3685" t="s">
        <v>84</v>
      </c>
      <c r="B3685" s="24">
        <v>11</v>
      </c>
      <c r="C3685" t="s">
        <v>204</v>
      </c>
      <c r="D3685" t="s">
        <v>71</v>
      </c>
      <c r="E3685" t="s">
        <v>216</v>
      </c>
      <c r="F3685" t="s">
        <v>71</v>
      </c>
      <c r="H3685" t="s">
        <v>29</v>
      </c>
      <c r="I3685" t="s">
        <v>217</v>
      </c>
      <c r="J3685">
        <v>8</v>
      </c>
      <c r="N3685">
        <f>Таблица1[[#This Row],[Часов на заказчика  в работе]]+Таблица1[[#This Row],[Часов на заказчика  дежурство]]</f>
        <v>0</v>
      </c>
      <c r="O36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5" s="9"/>
      <c r="R3685" s="9"/>
      <c r="S3685" s="5">
        <v>1</v>
      </c>
      <c r="T36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табеле]])*S3685,0)</f>
        <v>0</v>
      </c>
      <c r="U3685" s="5">
        <f>IF(Таблица1[[#This Row],[ТТН]]&gt;0,Таблица1[[#This Row],[Ставка за ТТН]]*Таблица1[[#This Row],[ТТН]],0)</f>
        <v>0</v>
      </c>
    </row>
    <row r="3686" spans="1:21" x14ac:dyDescent="0.25">
      <c r="A3686" t="s">
        <v>84</v>
      </c>
      <c r="B3686" s="24">
        <v>12</v>
      </c>
      <c r="C3686" t="s">
        <v>204</v>
      </c>
      <c r="D3686" t="s">
        <v>71</v>
      </c>
      <c r="E3686" t="s">
        <v>216</v>
      </c>
      <c r="F3686" t="s">
        <v>71</v>
      </c>
      <c r="H3686" t="s">
        <v>29</v>
      </c>
      <c r="I3686" t="s">
        <v>217</v>
      </c>
      <c r="J3686">
        <v>8</v>
      </c>
      <c r="N3686">
        <f>Таблица1[[#This Row],[Часов на заказчика  в работе]]+Таблица1[[#This Row],[Часов на заказчика  дежурство]]</f>
        <v>0</v>
      </c>
      <c r="O36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6" s="9"/>
      <c r="R3686" s="9"/>
      <c r="S3686" s="5">
        <v>1</v>
      </c>
      <c r="T36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табеле]])*S3686,0)</f>
        <v>0</v>
      </c>
      <c r="U3686" s="5">
        <f>IF(Таблица1[[#This Row],[ТТН]]&gt;0,Таблица1[[#This Row],[Ставка за ТТН]]*Таблица1[[#This Row],[ТТН]],0)</f>
        <v>0</v>
      </c>
    </row>
    <row r="3687" spans="1:21" x14ac:dyDescent="0.25">
      <c r="A3687" t="s">
        <v>84</v>
      </c>
      <c r="B3687" s="24">
        <v>13</v>
      </c>
      <c r="C3687" t="s">
        <v>204</v>
      </c>
      <c r="D3687" t="s">
        <v>71</v>
      </c>
      <c r="E3687" t="s">
        <v>216</v>
      </c>
      <c r="F3687" t="s">
        <v>71</v>
      </c>
      <c r="H3687" t="s">
        <v>30</v>
      </c>
      <c r="I3687" t="s">
        <v>217</v>
      </c>
      <c r="J3687">
        <v>1</v>
      </c>
      <c r="N3687">
        <f>Таблица1[[#This Row],[Часов на заказчика  в работе]]+Таблица1[[#This Row],[Часов на заказчика  дежурство]]</f>
        <v>0</v>
      </c>
      <c r="O36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7" s="9"/>
      <c r="R3687" s="9"/>
      <c r="S3687" s="5">
        <v>1</v>
      </c>
      <c r="T36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табеле]])*S3687,0)</f>
        <v>0</v>
      </c>
      <c r="U3687" s="5">
        <f>IF(Таблица1[[#This Row],[ТТН]]&gt;0,Таблица1[[#This Row],[Ставка за ТТН]]*Таблица1[[#This Row],[ТТН]],0)</f>
        <v>0</v>
      </c>
    </row>
    <row r="3688" spans="1:21" x14ac:dyDescent="0.25">
      <c r="A3688" t="s">
        <v>84</v>
      </c>
      <c r="B3688" s="24">
        <v>14</v>
      </c>
      <c r="C3688" t="s">
        <v>204</v>
      </c>
      <c r="D3688" t="s">
        <v>71</v>
      </c>
      <c r="E3688" t="s">
        <v>216</v>
      </c>
      <c r="F3688" t="s">
        <v>71</v>
      </c>
      <c r="H3688" t="s">
        <v>30</v>
      </c>
      <c r="I3688" t="s">
        <v>217</v>
      </c>
      <c r="J3688">
        <v>1</v>
      </c>
      <c r="N3688">
        <f>Таблица1[[#This Row],[Часов на заказчика  в работе]]+Таблица1[[#This Row],[Часов на заказчика  дежурство]]</f>
        <v>0</v>
      </c>
      <c r="O36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8" s="9"/>
      <c r="R3688" s="9"/>
      <c r="S3688" s="5">
        <v>1</v>
      </c>
      <c r="T36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табеле]])*S3688,0)</f>
        <v>0</v>
      </c>
      <c r="U3688" s="5">
        <f>IF(Таблица1[[#This Row],[ТТН]]&gt;0,Таблица1[[#This Row],[Ставка за ТТН]]*Таблица1[[#This Row],[ТТН]],0)</f>
        <v>0</v>
      </c>
    </row>
    <row r="3689" spans="1:21" x14ac:dyDescent="0.25">
      <c r="A3689" t="s">
        <v>84</v>
      </c>
      <c r="B3689" s="24">
        <v>15</v>
      </c>
      <c r="C3689" t="s">
        <v>204</v>
      </c>
      <c r="D3689" t="s">
        <v>71</v>
      </c>
      <c r="E3689" t="s">
        <v>216</v>
      </c>
      <c r="F3689" t="s">
        <v>71</v>
      </c>
      <c r="H3689" t="s">
        <v>29</v>
      </c>
      <c r="I3689" t="s">
        <v>217</v>
      </c>
      <c r="J3689">
        <v>8</v>
      </c>
      <c r="N3689">
        <f>Таблица1[[#This Row],[Часов на заказчика  в работе]]+Таблица1[[#This Row],[Часов на заказчика  дежурство]]</f>
        <v>0</v>
      </c>
      <c r="O36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89" s="9"/>
      <c r="R3689" s="9"/>
      <c r="S3689" s="5">
        <v>1</v>
      </c>
      <c r="T36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табеле]])*S3689,0)</f>
        <v>0</v>
      </c>
      <c r="U3689" s="5">
        <f>IF(Таблица1[[#This Row],[ТТН]]&gt;0,Таблица1[[#This Row],[Ставка за ТТН]]*Таблица1[[#This Row],[ТТН]],0)</f>
        <v>0</v>
      </c>
    </row>
    <row r="3690" spans="1:21" x14ac:dyDescent="0.25">
      <c r="A3690" t="s">
        <v>84</v>
      </c>
      <c r="B3690" s="24">
        <v>16</v>
      </c>
      <c r="C3690" t="s">
        <v>204</v>
      </c>
      <c r="D3690" t="s">
        <v>71</v>
      </c>
      <c r="E3690" t="s">
        <v>216</v>
      </c>
      <c r="F3690" t="s">
        <v>71</v>
      </c>
      <c r="H3690" t="s">
        <v>29</v>
      </c>
      <c r="I3690" t="s">
        <v>217</v>
      </c>
      <c r="J3690">
        <v>8</v>
      </c>
      <c r="N3690">
        <f>Таблица1[[#This Row],[Часов на заказчика  в работе]]+Таблица1[[#This Row],[Часов на заказчика  дежурство]]</f>
        <v>0</v>
      </c>
      <c r="O36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0" s="9"/>
      <c r="R3690" s="9"/>
      <c r="S3690" s="5">
        <v>1</v>
      </c>
      <c r="T36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табеле]])*S3690,0)</f>
        <v>0</v>
      </c>
      <c r="U3690" s="5">
        <f>IF(Таблица1[[#This Row],[ТТН]]&gt;0,Таблица1[[#This Row],[Ставка за ТТН]]*Таблица1[[#This Row],[ТТН]],0)</f>
        <v>0</v>
      </c>
    </row>
    <row r="3691" spans="1:21" x14ac:dyDescent="0.25">
      <c r="A3691" t="s">
        <v>84</v>
      </c>
      <c r="B3691" s="24">
        <v>17</v>
      </c>
      <c r="C3691" t="s">
        <v>204</v>
      </c>
      <c r="D3691" t="s">
        <v>71</v>
      </c>
      <c r="E3691" t="s">
        <v>216</v>
      </c>
      <c r="F3691" t="s">
        <v>71</v>
      </c>
      <c r="H3691" t="s">
        <v>24</v>
      </c>
      <c r="I3691" t="s">
        <v>217</v>
      </c>
      <c r="J3691">
        <v>8</v>
      </c>
      <c r="N3691">
        <f>Таблица1[[#This Row],[Часов на заказчика  в работе]]+Таблица1[[#This Row],[Часов на заказчика  дежурство]]</f>
        <v>0</v>
      </c>
      <c r="O36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1" s="9"/>
      <c r="R3691" s="9"/>
      <c r="S3691" s="5">
        <v>1</v>
      </c>
      <c r="T36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табеле]])*S3691,0)</f>
        <v>0</v>
      </c>
      <c r="U3691" s="5">
        <f>IF(Таблица1[[#This Row],[ТТН]]&gt;0,Таблица1[[#This Row],[Ставка за ТТН]]*Таблица1[[#This Row],[ТТН]],0)</f>
        <v>0</v>
      </c>
    </row>
    <row r="3692" spans="1:21" x14ac:dyDescent="0.25">
      <c r="A3692" t="s">
        <v>84</v>
      </c>
      <c r="B3692" s="24">
        <v>18</v>
      </c>
      <c r="C3692" t="s">
        <v>204</v>
      </c>
      <c r="D3692" t="s">
        <v>71</v>
      </c>
      <c r="E3692" t="s">
        <v>216</v>
      </c>
      <c r="F3692" t="s">
        <v>71</v>
      </c>
      <c r="H3692" t="s">
        <v>24</v>
      </c>
      <c r="I3692" t="s">
        <v>217</v>
      </c>
      <c r="J3692">
        <v>8</v>
      </c>
      <c r="N3692">
        <f>Таблица1[[#This Row],[Часов на заказчика  в работе]]+Таблица1[[#This Row],[Часов на заказчика  дежурство]]</f>
        <v>0</v>
      </c>
      <c r="O36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2" s="9"/>
      <c r="R3692" s="9"/>
      <c r="S3692" s="5">
        <v>1</v>
      </c>
      <c r="T36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табеле]])*S3692,0)</f>
        <v>0</v>
      </c>
      <c r="U3692" s="5">
        <f>IF(Таблица1[[#This Row],[ТТН]]&gt;0,Таблица1[[#This Row],[Ставка за ТТН]]*Таблица1[[#This Row],[ТТН]],0)</f>
        <v>0</v>
      </c>
    </row>
    <row r="3693" spans="1:21" x14ac:dyDescent="0.25">
      <c r="A3693" t="s">
        <v>84</v>
      </c>
      <c r="B3693" s="24">
        <v>19</v>
      </c>
      <c r="C3693" t="s">
        <v>204</v>
      </c>
      <c r="D3693" t="s">
        <v>71</v>
      </c>
      <c r="E3693" t="s">
        <v>216</v>
      </c>
      <c r="F3693" t="s">
        <v>71</v>
      </c>
      <c r="H3693" t="s">
        <v>10</v>
      </c>
      <c r="I3693" t="s">
        <v>217</v>
      </c>
      <c r="J3693">
        <v>11</v>
      </c>
      <c r="N3693">
        <f>Таблица1[[#This Row],[Часов на заказчика  в работе]]+Таблица1[[#This Row],[Часов на заказчика  дежурство]]</f>
        <v>0</v>
      </c>
      <c r="O36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3" s="9"/>
      <c r="R3693" s="9"/>
      <c r="S3693" s="5">
        <v>1</v>
      </c>
      <c r="T36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табеле]])*S3693,0)</f>
        <v>0</v>
      </c>
      <c r="U3693" s="5">
        <f>IF(Таблица1[[#This Row],[ТТН]]&gt;0,Таблица1[[#This Row],[Ставка за ТТН]]*Таблица1[[#This Row],[ТТН]],0)</f>
        <v>0</v>
      </c>
    </row>
    <row r="3694" spans="1:21" x14ac:dyDescent="0.25">
      <c r="A3694" t="s">
        <v>84</v>
      </c>
      <c r="B3694" s="24">
        <v>20</v>
      </c>
      <c r="C3694" t="s">
        <v>204</v>
      </c>
      <c r="D3694" t="s">
        <v>71</v>
      </c>
      <c r="E3694" t="s">
        <v>216</v>
      </c>
      <c r="F3694" t="s">
        <v>71</v>
      </c>
      <c r="H3694" t="s">
        <v>10</v>
      </c>
      <c r="I3694" t="s">
        <v>217</v>
      </c>
      <c r="J3694">
        <v>11</v>
      </c>
      <c r="N3694">
        <f>Таблица1[[#This Row],[Часов на заказчика  в работе]]+Таблица1[[#This Row],[Часов на заказчика  дежурство]]</f>
        <v>0</v>
      </c>
      <c r="O36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4" s="9"/>
      <c r="R3694" s="9"/>
      <c r="S3694" s="5">
        <v>1</v>
      </c>
      <c r="T36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табеле]])*S3694,0)</f>
        <v>0</v>
      </c>
      <c r="U3694" s="5">
        <f>IF(Таблица1[[#This Row],[ТТН]]&gt;0,Таблица1[[#This Row],[Ставка за ТТН]]*Таблица1[[#This Row],[ТТН]],0)</f>
        <v>0</v>
      </c>
    </row>
    <row r="3695" spans="1:21" x14ac:dyDescent="0.25">
      <c r="A3695" t="s">
        <v>84</v>
      </c>
      <c r="B3695" s="24">
        <v>21</v>
      </c>
      <c r="C3695" t="s">
        <v>204</v>
      </c>
      <c r="D3695" t="s">
        <v>71</v>
      </c>
      <c r="E3695" t="s">
        <v>216</v>
      </c>
      <c r="F3695" t="s">
        <v>71</v>
      </c>
      <c r="H3695" t="s">
        <v>10</v>
      </c>
      <c r="I3695" t="s">
        <v>217</v>
      </c>
      <c r="J3695">
        <v>11</v>
      </c>
      <c r="N3695">
        <f>Таблица1[[#This Row],[Часов на заказчика  в работе]]+Таблица1[[#This Row],[Часов на заказчика  дежурство]]</f>
        <v>0</v>
      </c>
      <c r="O36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5" s="9"/>
      <c r="R3695" s="9"/>
      <c r="S3695" s="5">
        <v>1</v>
      </c>
      <c r="T36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табеле]])*S3695,0)</f>
        <v>0</v>
      </c>
      <c r="U3695" s="5">
        <f>IF(Таблица1[[#This Row],[ТТН]]&gt;0,Таблица1[[#This Row],[Ставка за ТТН]]*Таблица1[[#This Row],[ТТН]],0)</f>
        <v>0</v>
      </c>
    </row>
    <row r="3696" spans="1:21" x14ac:dyDescent="0.25">
      <c r="A3696" t="s">
        <v>84</v>
      </c>
      <c r="B3696" s="24">
        <v>22</v>
      </c>
      <c r="C3696" t="s">
        <v>204</v>
      </c>
      <c r="D3696" t="s">
        <v>71</v>
      </c>
      <c r="E3696" t="s">
        <v>216</v>
      </c>
      <c r="F3696" t="s">
        <v>71</v>
      </c>
      <c r="H3696" t="s">
        <v>10</v>
      </c>
      <c r="I3696" t="s">
        <v>217</v>
      </c>
      <c r="J3696">
        <v>11</v>
      </c>
      <c r="N3696">
        <f>Таблица1[[#This Row],[Часов на заказчика  в работе]]+Таблица1[[#This Row],[Часов на заказчика  дежурство]]</f>
        <v>0</v>
      </c>
      <c r="O36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6" s="9"/>
      <c r="R3696" s="9"/>
      <c r="S3696" s="5">
        <v>1</v>
      </c>
      <c r="T36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табеле]])*S3696,0)</f>
        <v>0</v>
      </c>
      <c r="U3696" s="5">
        <f>IF(Таблица1[[#This Row],[ТТН]]&gt;0,Таблица1[[#This Row],[Ставка за ТТН]]*Таблица1[[#This Row],[ТТН]],0)</f>
        <v>0</v>
      </c>
    </row>
    <row r="3697" spans="1:21" x14ac:dyDescent="0.25">
      <c r="A3697" t="s">
        <v>84</v>
      </c>
      <c r="B3697" s="24">
        <v>23</v>
      </c>
      <c r="C3697" t="s">
        <v>204</v>
      </c>
      <c r="D3697" t="s">
        <v>71</v>
      </c>
      <c r="E3697" t="s">
        <v>216</v>
      </c>
      <c r="F3697" t="s">
        <v>71</v>
      </c>
      <c r="H3697" t="s">
        <v>10</v>
      </c>
      <c r="I3697" t="s">
        <v>217</v>
      </c>
      <c r="J3697">
        <v>11</v>
      </c>
      <c r="N3697">
        <f>Таблица1[[#This Row],[Часов на заказчика  в работе]]+Таблица1[[#This Row],[Часов на заказчика  дежурство]]</f>
        <v>0</v>
      </c>
      <c r="O36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7" s="9"/>
      <c r="R3697" s="9"/>
      <c r="S3697" s="5">
        <v>1</v>
      </c>
      <c r="T36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табеле]])*S3697,0)</f>
        <v>0</v>
      </c>
      <c r="U3697" s="5">
        <f>IF(Таблица1[[#This Row],[ТТН]]&gt;0,Таблица1[[#This Row],[Ставка за ТТН]]*Таблица1[[#This Row],[ТТН]],0)</f>
        <v>0</v>
      </c>
    </row>
    <row r="3698" spans="1:21" x14ac:dyDescent="0.25">
      <c r="A3698" t="s">
        <v>84</v>
      </c>
      <c r="B3698" s="24">
        <v>24</v>
      </c>
      <c r="C3698" t="s">
        <v>204</v>
      </c>
      <c r="D3698" t="s">
        <v>71</v>
      </c>
      <c r="E3698" t="s">
        <v>216</v>
      </c>
      <c r="F3698" t="s">
        <v>71</v>
      </c>
      <c r="H3698" t="s">
        <v>10</v>
      </c>
      <c r="I3698" t="s">
        <v>217</v>
      </c>
      <c r="J3698">
        <v>11</v>
      </c>
      <c r="N3698">
        <f>Таблица1[[#This Row],[Часов на заказчика  в работе]]+Таблица1[[#This Row],[Часов на заказчика  дежурство]]</f>
        <v>0</v>
      </c>
      <c r="O36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8" s="9"/>
      <c r="R3698" s="9"/>
      <c r="S3698" s="5">
        <v>1</v>
      </c>
      <c r="T36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табеле]])*S3698,0)</f>
        <v>0</v>
      </c>
      <c r="U3698" s="5">
        <f>IF(Таблица1[[#This Row],[ТТН]]&gt;0,Таблица1[[#This Row],[Ставка за ТТН]]*Таблица1[[#This Row],[ТТН]],0)</f>
        <v>0</v>
      </c>
    </row>
    <row r="3699" spans="1:21" x14ac:dyDescent="0.25">
      <c r="A3699" t="s">
        <v>84</v>
      </c>
      <c r="B3699" s="24">
        <v>25</v>
      </c>
      <c r="C3699" t="s">
        <v>204</v>
      </c>
      <c r="D3699" t="s">
        <v>71</v>
      </c>
      <c r="E3699" t="s">
        <v>216</v>
      </c>
      <c r="F3699" t="s">
        <v>71</v>
      </c>
      <c r="H3699" t="s">
        <v>10</v>
      </c>
      <c r="I3699" t="s">
        <v>217</v>
      </c>
      <c r="J3699">
        <v>11</v>
      </c>
      <c r="N3699">
        <f>Таблица1[[#This Row],[Часов на заказчика  в работе]]+Таблица1[[#This Row],[Часов на заказчика  дежурство]]</f>
        <v>0</v>
      </c>
      <c r="O36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699" s="9"/>
      <c r="R3699" s="9"/>
      <c r="S3699" s="5">
        <v>1</v>
      </c>
      <c r="T36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табеле]])*S3699,0)</f>
        <v>0</v>
      </c>
      <c r="U3699" s="5">
        <f>IF(Таблица1[[#This Row],[ТТН]]&gt;0,Таблица1[[#This Row],[Ставка за ТТН]]*Таблица1[[#This Row],[ТТН]],0)</f>
        <v>0</v>
      </c>
    </row>
    <row r="3700" spans="1:21" x14ac:dyDescent="0.25">
      <c r="A3700" t="s">
        <v>84</v>
      </c>
      <c r="B3700" s="24">
        <v>26</v>
      </c>
      <c r="C3700" t="s">
        <v>204</v>
      </c>
      <c r="D3700" t="s">
        <v>71</v>
      </c>
      <c r="E3700" t="s">
        <v>216</v>
      </c>
      <c r="F3700" t="s">
        <v>71</v>
      </c>
      <c r="H3700" t="s">
        <v>10</v>
      </c>
      <c r="I3700" t="s">
        <v>217</v>
      </c>
      <c r="J3700">
        <v>11</v>
      </c>
      <c r="N3700">
        <f>Таблица1[[#This Row],[Часов на заказчика  в работе]]+Таблица1[[#This Row],[Часов на заказчика  дежурство]]</f>
        <v>0</v>
      </c>
      <c r="O37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0" s="9"/>
      <c r="R3700" s="9"/>
      <c r="S3700" s="5">
        <v>1</v>
      </c>
      <c r="T37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табеле]])*S3700,0)</f>
        <v>0</v>
      </c>
      <c r="U3700" s="5">
        <f>IF(Таблица1[[#This Row],[ТТН]]&gt;0,Таблица1[[#This Row],[Ставка за ТТН]]*Таблица1[[#This Row],[ТТН]],0)</f>
        <v>0</v>
      </c>
    </row>
    <row r="3701" spans="1:21" x14ac:dyDescent="0.25">
      <c r="A3701" t="s">
        <v>84</v>
      </c>
      <c r="B3701" s="24">
        <v>27</v>
      </c>
      <c r="C3701" t="s">
        <v>204</v>
      </c>
      <c r="D3701" t="s">
        <v>71</v>
      </c>
      <c r="E3701" t="s">
        <v>216</v>
      </c>
      <c r="F3701" t="s">
        <v>71</v>
      </c>
      <c r="H3701" t="s">
        <v>10</v>
      </c>
      <c r="I3701" t="s">
        <v>217</v>
      </c>
      <c r="J3701">
        <v>11</v>
      </c>
      <c r="N3701">
        <f>Таблица1[[#This Row],[Часов на заказчика  в работе]]+Таблица1[[#This Row],[Часов на заказчика  дежурство]]</f>
        <v>0</v>
      </c>
      <c r="O37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1" s="9"/>
      <c r="R3701" s="9"/>
      <c r="S3701" s="5">
        <v>1</v>
      </c>
      <c r="T37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табеле]])*S3701,0)</f>
        <v>0</v>
      </c>
      <c r="U3701" s="5">
        <f>IF(Таблица1[[#This Row],[ТТН]]&gt;0,Таблица1[[#This Row],[Ставка за ТТН]]*Таблица1[[#This Row],[ТТН]],0)</f>
        <v>0</v>
      </c>
    </row>
    <row r="3702" spans="1:21" x14ac:dyDescent="0.25">
      <c r="A3702" t="s">
        <v>84</v>
      </c>
      <c r="B3702" s="24">
        <v>28</v>
      </c>
      <c r="C3702" t="s">
        <v>204</v>
      </c>
      <c r="D3702" t="s">
        <v>71</v>
      </c>
      <c r="E3702" t="s">
        <v>216</v>
      </c>
      <c r="F3702" t="s">
        <v>71</v>
      </c>
      <c r="H3702" t="s">
        <v>10</v>
      </c>
      <c r="I3702" t="s">
        <v>217</v>
      </c>
      <c r="J3702">
        <v>11</v>
      </c>
      <c r="N3702">
        <f>Таблица1[[#This Row],[Часов на заказчика  в работе]]+Таблица1[[#This Row],[Часов на заказчика  дежурство]]</f>
        <v>0</v>
      </c>
      <c r="O37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2" s="9"/>
      <c r="R3702" s="9"/>
      <c r="S3702" s="5">
        <v>1</v>
      </c>
      <c r="T37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табеле]])*S3702,0)</f>
        <v>0</v>
      </c>
      <c r="U3702" s="5">
        <f>IF(Таблица1[[#This Row],[ТТН]]&gt;0,Таблица1[[#This Row],[Ставка за ТТН]]*Таблица1[[#This Row],[ТТН]],0)</f>
        <v>0</v>
      </c>
    </row>
    <row r="3703" spans="1:21" x14ac:dyDescent="0.25">
      <c r="A3703" t="s">
        <v>84</v>
      </c>
      <c r="B3703" s="24">
        <v>29</v>
      </c>
      <c r="C3703" t="s">
        <v>204</v>
      </c>
      <c r="D3703" t="s">
        <v>71</v>
      </c>
      <c r="E3703" t="s">
        <v>216</v>
      </c>
      <c r="F3703" t="s">
        <v>71</v>
      </c>
      <c r="H3703" t="s">
        <v>10</v>
      </c>
      <c r="I3703" t="s">
        <v>217</v>
      </c>
      <c r="J3703">
        <v>11</v>
      </c>
      <c r="N3703">
        <f>Таблица1[[#This Row],[Часов на заказчика  в работе]]+Таблица1[[#This Row],[Часов на заказчика  дежурство]]</f>
        <v>0</v>
      </c>
      <c r="O37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3" s="9"/>
      <c r="R3703" s="9"/>
      <c r="S3703" s="5">
        <v>1</v>
      </c>
      <c r="T37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табеле]])*S3703,0)</f>
        <v>0</v>
      </c>
      <c r="U3703" s="5">
        <f>IF(Таблица1[[#This Row],[ТТН]]&gt;0,Таблица1[[#This Row],[Ставка за ТТН]]*Таблица1[[#This Row],[ТТН]],0)</f>
        <v>0</v>
      </c>
    </row>
    <row r="3704" spans="1:21" x14ac:dyDescent="0.25">
      <c r="A3704" t="s">
        <v>84</v>
      </c>
      <c r="B3704" s="24">
        <v>30</v>
      </c>
      <c r="C3704" t="s">
        <v>205</v>
      </c>
      <c r="D3704" t="s">
        <v>71</v>
      </c>
      <c r="E3704" t="s">
        <v>216</v>
      </c>
      <c r="F3704" t="s">
        <v>71</v>
      </c>
      <c r="H3704" t="s">
        <v>10</v>
      </c>
      <c r="I3704" t="s">
        <v>217</v>
      </c>
      <c r="J3704">
        <v>11</v>
      </c>
      <c r="N3704">
        <f>Таблица1[[#This Row],[Часов на заказчика  в работе]]+Таблица1[[#This Row],[Часов на заказчика  дежурство]]</f>
        <v>0</v>
      </c>
      <c r="O37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4" s="9"/>
      <c r="R3704" s="9"/>
      <c r="S3704" s="5">
        <v>1</v>
      </c>
      <c r="T37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табеле]])*S3704,0)</f>
        <v>0</v>
      </c>
      <c r="U3704" s="5">
        <f>IF(Таблица1[[#This Row],[ТТН]]&gt;0,Таблица1[[#This Row],[Ставка за ТТН]]*Таблица1[[#This Row],[ТТН]],0)</f>
        <v>0</v>
      </c>
    </row>
    <row r="3705" spans="1:21" x14ac:dyDescent="0.25">
      <c r="A3705" t="s">
        <v>84</v>
      </c>
      <c r="B3705" s="24">
        <v>1</v>
      </c>
      <c r="C3705" t="s">
        <v>205</v>
      </c>
      <c r="D3705" t="s">
        <v>28</v>
      </c>
      <c r="E3705" t="s">
        <v>216</v>
      </c>
      <c r="F3705" t="s">
        <v>28</v>
      </c>
      <c r="H3705" t="s">
        <v>81</v>
      </c>
      <c r="I3705" t="s">
        <v>217</v>
      </c>
      <c r="J3705">
        <v>1</v>
      </c>
      <c r="N3705">
        <f>Таблица1[[#This Row],[Часов на заказчика  в работе]]+Таблица1[[#This Row],[Часов на заказчика  дежурство]]</f>
        <v>0</v>
      </c>
      <c r="O37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5" s="9"/>
      <c r="R3705" s="9"/>
      <c r="S3705" s="5">
        <v>1</v>
      </c>
      <c r="T37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табеле]])*S3705,0)</f>
        <v>0</v>
      </c>
      <c r="U3705" s="5">
        <f>IF(Таблица1[[#This Row],[ТТН]]&gt;0,Таблица1[[#This Row],[Ставка за ТТН]]*Таблица1[[#This Row],[ТТН]],0)</f>
        <v>0</v>
      </c>
    </row>
    <row r="3706" spans="1:21" x14ac:dyDescent="0.25">
      <c r="A3706" t="s">
        <v>84</v>
      </c>
      <c r="B3706" s="24">
        <v>2</v>
      </c>
      <c r="C3706" t="s">
        <v>205</v>
      </c>
      <c r="D3706" t="s">
        <v>28</v>
      </c>
      <c r="E3706" t="s">
        <v>216</v>
      </c>
      <c r="F3706" t="s">
        <v>28</v>
      </c>
      <c r="H3706" t="s">
        <v>81</v>
      </c>
      <c r="I3706" t="s">
        <v>217</v>
      </c>
      <c r="J3706">
        <v>1</v>
      </c>
      <c r="N3706">
        <f>Таблица1[[#This Row],[Часов на заказчика  в работе]]+Таблица1[[#This Row],[Часов на заказчика  дежурство]]</f>
        <v>0</v>
      </c>
      <c r="O37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6" s="9"/>
      <c r="R3706" s="9"/>
      <c r="S3706" s="5">
        <v>1</v>
      </c>
      <c r="T37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табеле]])*S3706,0)</f>
        <v>0</v>
      </c>
      <c r="U3706" s="5">
        <f>IF(Таблица1[[#This Row],[ТТН]]&gt;0,Таблица1[[#This Row],[Ставка за ТТН]]*Таблица1[[#This Row],[ТТН]],0)</f>
        <v>0</v>
      </c>
    </row>
    <row r="3707" spans="1:21" x14ac:dyDescent="0.25">
      <c r="A3707" t="s">
        <v>84</v>
      </c>
      <c r="B3707" s="24">
        <v>3</v>
      </c>
      <c r="C3707" t="s">
        <v>205</v>
      </c>
      <c r="D3707" t="s">
        <v>28</v>
      </c>
      <c r="E3707" t="s">
        <v>216</v>
      </c>
      <c r="F3707" t="s">
        <v>28</v>
      </c>
      <c r="H3707" t="s">
        <v>81</v>
      </c>
      <c r="I3707" t="s">
        <v>217</v>
      </c>
      <c r="J3707">
        <v>1</v>
      </c>
      <c r="N3707">
        <f>Таблица1[[#This Row],[Часов на заказчика  в работе]]+Таблица1[[#This Row],[Часов на заказчика  дежурство]]</f>
        <v>0</v>
      </c>
      <c r="O37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7" s="9"/>
      <c r="R3707" s="9"/>
      <c r="S3707" s="5">
        <v>1</v>
      </c>
      <c r="T37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табеле]])*S3707,0)</f>
        <v>0</v>
      </c>
      <c r="U3707" s="5">
        <f>IF(Таблица1[[#This Row],[ТТН]]&gt;0,Таблица1[[#This Row],[Ставка за ТТН]]*Таблица1[[#This Row],[ТТН]],0)</f>
        <v>0</v>
      </c>
    </row>
    <row r="3708" spans="1:21" x14ac:dyDescent="0.25">
      <c r="A3708" t="s">
        <v>84</v>
      </c>
      <c r="B3708" s="24">
        <v>4</v>
      </c>
      <c r="C3708" t="s">
        <v>205</v>
      </c>
      <c r="D3708" t="s">
        <v>28</v>
      </c>
      <c r="E3708" t="s">
        <v>216</v>
      </c>
      <c r="F3708" t="s">
        <v>28</v>
      </c>
      <c r="H3708" t="s">
        <v>81</v>
      </c>
      <c r="I3708" t="s">
        <v>217</v>
      </c>
      <c r="J3708">
        <v>1</v>
      </c>
      <c r="N3708">
        <f>Таблица1[[#This Row],[Часов на заказчика  в работе]]+Таблица1[[#This Row],[Часов на заказчика  дежурство]]</f>
        <v>0</v>
      </c>
      <c r="O37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8" s="9"/>
      <c r="R3708" s="9"/>
      <c r="S3708" s="5">
        <v>1</v>
      </c>
      <c r="T37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табеле]])*S3708,0)</f>
        <v>0</v>
      </c>
      <c r="U3708" s="5">
        <f>IF(Таблица1[[#This Row],[ТТН]]&gt;0,Таблица1[[#This Row],[Ставка за ТТН]]*Таблица1[[#This Row],[ТТН]],0)</f>
        <v>0</v>
      </c>
    </row>
    <row r="3709" spans="1:21" x14ac:dyDescent="0.25">
      <c r="A3709" t="s">
        <v>84</v>
      </c>
      <c r="B3709" s="24">
        <v>5</v>
      </c>
      <c r="C3709" t="s">
        <v>205</v>
      </c>
      <c r="D3709" t="s">
        <v>28</v>
      </c>
      <c r="E3709" t="s">
        <v>216</v>
      </c>
      <c r="F3709" t="s">
        <v>28</v>
      </c>
      <c r="H3709" t="s">
        <v>81</v>
      </c>
      <c r="I3709" t="s">
        <v>217</v>
      </c>
      <c r="J3709">
        <v>1</v>
      </c>
      <c r="N3709">
        <f>Таблица1[[#This Row],[Часов на заказчика  в работе]]+Таблица1[[#This Row],[Часов на заказчика  дежурство]]</f>
        <v>0</v>
      </c>
      <c r="O37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09" s="9"/>
      <c r="R3709" s="9"/>
      <c r="S3709" s="5">
        <v>1</v>
      </c>
      <c r="T37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табеле]])*S3709,0)</f>
        <v>0</v>
      </c>
      <c r="U3709" s="5">
        <f>IF(Таблица1[[#This Row],[ТТН]]&gt;0,Таблица1[[#This Row],[Ставка за ТТН]]*Таблица1[[#This Row],[ТТН]],0)</f>
        <v>0</v>
      </c>
    </row>
    <row r="3710" spans="1:21" x14ac:dyDescent="0.25">
      <c r="A3710" t="s">
        <v>84</v>
      </c>
      <c r="B3710" s="24">
        <v>6</v>
      </c>
      <c r="C3710" t="s">
        <v>205</v>
      </c>
      <c r="D3710" t="s">
        <v>28</v>
      </c>
      <c r="E3710" t="s">
        <v>216</v>
      </c>
      <c r="F3710" t="s">
        <v>28</v>
      </c>
      <c r="H3710" t="s">
        <v>81</v>
      </c>
      <c r="I3710" t="s">
        <v>217</v>
      </c>
      <c r="J3710">
        <v>1</v>
      </c>
      <c r="N3710">
        <f>Таблица1[[#This Row],[Часов на заказчика  в работе]]+Таблица1[[#This Row],[Часов на заказчика  дежурство]]</f>
        <v>0</v>
      </c>
      <c r="O37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0" s="9"/>
      <c r="R3710" s="9"/>
      <c r="S3710" s="5">
        <v>1</v>
      </c>
      <c r="T37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табеле]])*S3710,0)</f>
        <v>0</v>
      </c>
      <c r="U3710" s="5">
        <f>IF(Таблица1[[#This Row],[ТТН]]&gt;0,Таблица1[[#This Row],[Ставка за ТТН]]*Таблица1[[#This Row],[ТТН]],0)</f>
        <v>0</v>
      </c>
    </row>
    <row r="3711" spans="1:21" x14ac:dyDescent="0.25">
      <c r="A3711" t="s">
        <v>84</v>
      </c>
      <c r="B3711" s="24">
        <v>7</v>
      </c>
      <c r="C3711" t="s">
        <v>205</v>
      </c>
      <c r="D3711" t="s">
        <v>28</v>
      </c>
      <c r="E3711" t="s">
        <v>216</v>
      </c>
      <c r="F3711" t="s">
        <v>28</v>
      </c>
      <c r="H3711" t="s">
        <v>81</v>
      </c>
      <c r="I3711" t="s">
        <v>217</v>
      </c>
      <c r="J3711">
        <v>1</v>
      </c>
      <c r="N3711">
        <f>Таблица1[[#This Row],[Часов на заказчика  в работе]]+Таблица1[[#This Row],[Часов на заказчика  дежурство]]</f>
        <v>0</v>
      </c>
      <c r="O37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1" s="9"/>
      <c r="R3711" s="9"/>
      <c r="S3711" s="5">
        <v>1</v>
      </c>
      <c r="T37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табеле]])*S3711,0)</f>
        <v>0</v>
      </c>
      <c r="U3711" s="5">
        <f>IF(Таблица1[[#This Row],[ТТН]]&gt;0,Таблица1[[#This Row],[Ставка за ТТН]]*Таблица1[[#This Row],[ТТН]],0)</f>
        <v>0</v>
      </c>
    </row>
    <row r="3712" spans="1:21" x14ac:dyDescent="0.25">
      <c r="A3712" t="s">
        <v>84</v>
      </c>
      <c r="B3712" s="24">
        <v>8</v>
      </c>
      <c r="C3712" t="s">
        <v>205</v>
      </c>
      <c r="D3712" t="s">
        <v>28</v>
      </c>
      <c r="E3712" t="s">
        <v>216</v>
      </c>
      <c r="F3712" t="s">
        <v>28</v>
      </c>
      <c r="H3712" t="s">
        <v>24</v>
      </c>
      <c r="I3712" t="s">
        <v>217</v>
      </c>
      <c r="J3712">
        <v>8</v>
      </c>
      <c r="N3712">
        <f>Таблица1[[#This Row],[Часов на заказчика  в работе]]+Таблица1[[#This Row],[Часов на заказчика  дежурство]]</f>
        <v>0</v>
      </c>
      <c r="O37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2" s="9"/>
      <c r="R3712" s="9"/>
      <c r="S3712" s="5">
        <v>1</v>
      </c>
      <c r="T37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табеле]])*S3712,0)</f>
        <v>0</v>
      </c>
      <c r="U3712" s="5">
        <f>IF(Таблица1[[#This Row],[ТТН]]&gt;0,Таблица1[[#This Row],[Ставка за ТТН]]*Таблица1[[#This Row],[ТТН]],0)</f>
        <v>0</v>
      </c>
    </row>
    <row r="3713" spans="1:21" x14ac:dyDescent="0.25">
      <c r="A3713" t="s">
        <v>84</v>
      </c>
      <c r="B3713" s="24">
        <v>9</v>
      </c>
      <c r="C3713" t="s">
        <v>205</v>
      </c>
      <c r="D3713" t="s">
        <v>28</v>
      </c>
      <c r="E3713" t="s">
        <v>216</v>
      </c>
      <c r="F3713" t="s">
        <v>28</v>
      </c>
      <c r="H3713" t="s">
        <v>24</v>
      </c>
      <c r="I3713" t="s">
        <v>217</v>
      </c>
      <c r="J3713">
        <v>8</v>
      </c>
      <c r="N3713">
        <f>Таблица1[[#This Row],[Часов на заказчика  в работе]]+Таблица1[[#This Row],[Часов на заказчика  дежурство]]</f>
        <v>0</v>
      </c>
      <c r="O37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3" s="9"/>
      <c r="R3713" s="9"/>
      <c r="S3713" s="5">
        <v>1</v>
      </c>
      <c r="T37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табеле]])*S3713,0)</f>
        <v>0</v>
      </c>
      <c r="U3713" s="5">
        <f>IF(Таблица1[[#This Row],[ТТН]]&gt;0,Таблица1[[#This Row],[Ставка за ТТН]]*Таблица1[[#This Row],[ТТН]],0)</f>
        <v>0</v>
      </c>
    </row>
    <row r="3714" spans="1:21" x14ac:dyDescent="0.25">
      <c r="A3714" t="s">
        <v>84</v>
      </c>
      <c r="B3714" s="24">
        <v>10</v>
      </c>
      <c r="C3714" t="s">
        <v>205</v>
      </c>
      <c r="D3714" t="s">
        <v>28</v>
      </c>
      <c r="E3714" t="s">
        <v>216</v>
      </c>
      <c r="F3714" t="s">
        <v>28</v>
      </c>
      <c r="H3714" t="s">
        <v>24</v>
      </c>
      <c r="I3714" t="s">
        <v>217</v>
      </c>
      <c r="J3714">
        <v>8</v>
      </c>
      <c r="N3714">
        <f>Таблица1[[#This Row],[Часов на заказчика  в работе]]+Таблица1[[#This Row],[Часов на заказчика  дежурство]]</f>
        <v>0</v>
      </c>
      <c r="O37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4" s="9"/>
      <c r="R3714" s="9"/>
      <c r="S3714" s="5">
        <v>1</v>
      </c>
      <c r="T37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табеле]])*S3714,0)</f>
        <v>0</v>
      </c>
      <c r="U3714" s="5">
        <f>IF(Таблица1[[#This Row],[ТТН]]&gt;0,Таблица1[[#This Row],[Ставка за ТТН]]*Таблица1[[#This Row],[ТТН]],0)</f>
        <v>0</v>
      </c>
    </row>
    <row r="3715" spans="1:21" x14ac:dyDescent="0.25">
      <c r="A3715" t="s">
        <v>84</v>
      </c>
      <c r="B3715" s="24">
        <v>11</v>
      </c>
      <c r="C3715" t="s">
        <v>205</v>
      </c>
      <c r="D3715" t="s">
        <v>28</v>
      </c>
      <c r="E3715" t="s">
        <v>216</v>
      </c>
      <c r="F3715" t="s">
        <v>28</v>
      </c>
      <c r="H3715" t="s">
        <v>10</v>
      </c>
      <c r="I3715" t="s">
        <v>220</v>
      </c>
      <c r="J3715">
        <v>11</v>
      </c>
      <c r="L3715">
        <v>11</v>
      </c>
      <c r="N3715">
        <f>Таблица1[[#This Row],[Часов на заказчика  в работе]]+Таблица1[[#This Row],[Часов на заказчика  дежурство]]</f>
        <v>11</v>
      </c>
      <c r="O37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5" s="9"/>
      <c r="R3715" s="9"/>
      <c r="S3715" s="5">
        <v>1</v>
      </c>
      <c r="T37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табеле]])*S3715,0)</f>
        <v>0</v>
      </c>
      <c r="U3715" s="5">
        <f>IF(Таблица1[[#This Row],[ТТН]]&gt;0,Таблица1[[#This Row],[Ставка за ТТН]]*Таблица1[[#This Row],[ТТН]],0)</f>
        <v>0</v>
      </c>
    </row>
    <row r="3716" spans="1:21" x14ac:dyDescent="0.25">
      <c r="A3716" t="s">
        <v>84</v>
      </c>
      <c r="B3716" s="24">
        <v>12</v>
      </c>
      <c r="C3716" t="s">
        <v>205</v>
      </c>
      <c r="D3716" t="s">
        <v>28</v>
      </c>
      <c r="E3716" t="s">
        <v>216</v>
      </c>
      <c r="F3716" t="s">
        <v>28</v>
      </c>
      <c r="H3716" t="s">
        <v>10</v>
      </c>
      <c r="I3716" t="s">
        <v>220</v>
      </c>
      <c r="J3716">
        <v>11</v>
      </c>
      <c r="L3716">
        <v>11</v>
      </c>
      <c r="N3716">
        <f>Таблица1[[#This Row],[Часов на заказчика  в работе]]+Таблица1[[#This Row],[Часов на заказчика  дежурство]]</f>
        <v>11</v>
      </c>
      <c r="O37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6" s="9"/>
      <c r="R3716" s="9"/>
      <c r="S3716" s="5">
        <v>1</v>
      </c>
      <c r="T37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табеле]])*S3716,0)</f>
        <v>0</v>
      </c>
      <c r="U3716" s="5">
        <f>IF(Таблица1[[#This Row],[ТТН]]&gt;0,Таблица1[[#This Row],[Ставка за ТТН]]*Таблица1[[#This Row],[ТТН]],0)</f>
        <v>0</v>
      </c>
    </row>
    <row r="3717" spans="1:21" x14ac:dyDescent="0.25">
      <c r="A3717" t="s">
        <v>84</v>
      </c>
      <c r="B3717" s="24">
        <v>13</v>
      </c>
      <c r="C3717" t="s">
        <v>205</v>
      </c>
      <c r="D3717" t="s">
        <v>28</v>
      </c>
      <c r="E3717" t="s">
        <v>216</v>
      </c>
      <c r="F3717" t="s">
        <v>28</v>
      </c>
      <c r="H3717" t="s">
        <v>10</v>
      </c>
      <c r="I3717" t="s">
        <v>220</v>
      </c>
      <c r="J3717">
        <v>11</v>
      </c>
      <c r="L3717">
        <v>11</v>
      </c>
      <c r="N3717">
        <f>Таблица1[[#This Row],[Часов на заказчика  в работе]]+Таблица1[[#This Row],[Часов на заказчика  дежурство]]</f>
        <v>11</v>
      </c>
      <c r="O37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7" s="9"/>
      <c r="R3717" s="9"/>
      <c r="S3717" s="5">
        <v>1</v>
      </c>
      <c r="T37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табеле]])*S3717,0)</f>
        <v>0</v>
      </c>
      <c r="U3717" s="5">
        <f>IF(Таблица1[[#This Row],[ТТН]]&gt;0,Таблица1[[#This Row],[Ставка за ТТН]]*Таблица1[[#This Row],[ТТН]],0)</f>
        <v>0</v>
      </c>
    </row>
    <row r="3718" spans="1:21" x14ac:dyDescent="0.25">
      <c r="A3718" t="s">
        <v>84</v>
      </c>
      <c r="B3718" s="24">
        <v>14</v>
      </c>
      <c r="C3718" t="s">
        <v>205</v>
      </c>
      <c r="D3718" t="s">
        <v>28</v>
      </c>
      <c r="E3718" t="s">
        <v>216</v>
      </c>
      <c r="F3718" t="s">
        <v>28</v>
      </c>
      <c r="H3718" t="s">
        <v>10</v>
      </c>
      <c r="I3718" t="s">
        <v>220</v>
      </c>
      <c r="J3718">
        <v>11</v>
      </c>
      <c r="L3718">
        <v>11</v>
      </c>
      <c r="N3718">
        <f>Таблица1[[#This Row],[Часов на заказчика  в работе]]+Таблица1[[#This Row],[Часов на заказчика  дежурство]]</f>
        <v>11</v>
      </c>
      <c r="O37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8" s="9"/>
      <c r="R3718" s="9"/>
      <c r="S3718" s="5">
        <v>1</v>
      </c>
      <c r="T37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табеле]])*S3718,0)</f>
        <v>0</v>
      </c>
      <c r="U3718" s="5">
        <f>IF(Таблица1[[#This Row],[ТТН]]&gt;0,Таблица1[[#This Row],[Ставка за ТТН]]*Таблица1[[#This Row],[ТТН]],0)</f>
        <v>0</v>
      </c>
    </row>
    <row r="3719" spans="1:21" x14ac:dyDescent="0.25">
      <c r="A3719" t="s">
        <v>84</v>
      </c>
      <c r="B3719" s="24">
        <v>15</v>
      </c>
      <c r="C3719" t="s">
        <v>205</v>
      </c>
      <c r="D3719" t="s">
        <v>28</v>
      </c>
      <c r="E3719" t="s">
        <v>216</v>
      </c>
      <c r="F3719" t="s">
        <v>28</v>
      </c>
      <c r="H3719" t="s">
        <v>10</v>
      </c>
      <c r="I3719" t="s">
        <v>220</v>
      </c>
      <c r="J3719">
        <v>11</v>
      </c>
      <c r="L3719">
        <v>11</v>
      </c>
      <c r="N3719">
        <f>Таблица1[[#This Row],[Часов на заказчика  в работе]]+Таблица1[[#This Row],[Часов на заказчика  дежурство]]</f>
        <v>11</v>
      </c>
      <c r="O37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19" s="9"/>
      <c r="R3719" s="9"/>
      <c r="S3719" s="5">
        <v>1</v>
      </c>
      <c r="T37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табеле]])*S3719,0)</f>
        <v>0</v>
      </c>
      <c r="U3719" s="5">
        <f>IF(Таблица1[[#This Row],[ТТН]]&gt;0,Таблица1[[#This Row],[Ставка за ТТН]]*Таблица1[[#This Row],[ТТН]],0)</f>
        <v>0</v>
      </c>
    </row>
    <row r="3720" spans="1:21" x14ac:dyDescent="0.25">
      <c r="A3720" t="s">
        <v>84</v>
      </c>
      <c r="B3720" s="24">
        <v>16</v>
      </c>
      <c r="C3720" t="s">
        <v>205</v>
      </c>
      <c r="D3720" t="s">
        <v>28</v>
      </c>
      <c r="E3720" t="s">
        <v>216</v>
      </c>
      <c r="F3720" t="s">
        <v>28</v>
      </c>
      <c r="H3720" t="s">
        <v>10</v>
      </c>
      <c r="I3720" t="s">
        <v>220</v>
      </c>
      <c r="J3720">
        <v>11</v>
      </c>
      <c r="L3720">
        <v>11</v>
      </c>
      <c r="N3720">
        <f>Таблица1[[#This Row],[Часов на заказчика  в работе]]+Таблица1[[#This Row],[Часов на заказчика  дежурство]]</f>
        <v>11</v>
      </c>
      <c r="O37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0" s="9"/>
      <c r="R3720" s="9"/>
      <c r="S3720" s="5">
        <v>1</v>
      </c>
      <c r="T37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табеле]])*S3720,0)</f>
        <v>0</v>
      </c>
      <c r="U3720" s="5">
        <f>IF(Таблица1[[#This Row],[ТТН]]&gt;0,Таблица1[[#This Row],[Ставка за ТТН]]*Таблица1[[#This Row],[ТТН]],0)</f>
        <v>0</v>
      </c>
    </row>
    <row r="3721" spans="1:21" x14ac:dyDescent="0.25">
      <c r="A3721" t="s">
        <v>84</v>
      </c>
      <c r="B3721" s="24">
        <v>17</v>
      </c>
      <c r="C3721" t="s">
        <v>205</v>
      </c>
      <c r="D3721" t="s">
        <v>28</v>
      </c>
      <c r="E3721" t="s">
        <v>216</v>
      </c>
      <c r="F3721" t="s">
        <v>28</v>
      </c>
      <c r="H3721" t="s">
        <v>10</v>
      </c>
      <c r="I3721" t="s">
        <v>220</v>
      </c>
      <c r="J3721">
        <v>11</v>
      </c>
      <c r="L3721">
        <v>11</v>
      </c>
      <c r="N3721">
        <f>Таблица1[[#This Row],[Часов на заказчика  в работе]]+Таблица1[[#This Row],[Часов на заказчика  дежурство]]</f>
        <v>11</v>
      </c>
      <c r="O37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1" s="9"/>
      <c r="R3721" s="9"/>
      <c r="S3721" s="5">
        <v>1</v>
      </c>
      <c r="T37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табеле]])*S3721,0)</f>
        <v>0</v>
      </c>
      <c r="U3721" s="5">
        <f>IF(Таблица1[[#This Row],[ТТН]]&gt;0,Таблица1[[#This Row],[Ставка за ТТН]]*Таблица1[[#This Row],[ТТН]],0)</f>
        <v>0</v>
      </c>
    </row>
    <row r="3722" spans="1:21" x14ac:dyDescent="0.25">
      <c r="A3722" t="s">
        <v>84</v>
      </c>
      <c r="B3722" s="24">
        <v>18</v>
      </c>
      <c r="C3722" t="s">
        <v>205</v>
      </c>
      <c r="D3722" t="s">
        <v>28</v>
      </c>
      <c r="E3722" t="s">
        <v>216</v>
      </c>
      <c r="F3722" t="s">
        <v>28</v>
      </c>
      <c r="H3722" t="s">
        <v>10</v>
      </c>
      <c r="I3722" t="s">
        <v>220</v>
      </c>
      <c r="J3722">
        <v>11</v>
      </c>
      <c r="L3722">
        <v>11</v>
      </c>
      <c r="N3722">
        <f>Таблица1[[#This Row],[Часов на заказчика  в работе]]+Таблица1[[#This Row],[Часов на заказчика  дежурство]]</f>
        <v>11</v>
      </c>
      <c r="O37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2" s="9"/>
      <c r="R3722" s="9"/>
      <c r="S3722" s="5">
        <v>1</v>
      </c>
      <c r="T37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табеле]])*S3722,0)</f>
        <v>0</v>
      </c>
      <c r="U3722" s="5">
        <f>IF(Таблица1[[#This Row],[ТТН]]&gt;0,Таблица1[[#This Row],[Ставка за ТТН]]*Таблица1[[#This Row],[ТТН]],0)</f>
        <v>0</v>
      </c>
    </row>
    <row r="3723" spans="1:21" x14ac:dyDescent="0.25">
      <c r="A3723" t="s">
        <v>84</v>
      </c>
      <c r="B3723" s="24">
        <v>19</v>
      </c>
      <c r="C3723" t="s">
        <v>205</v>
      </c>
      <c r="D3723" t="s">
        <v>28</v>
      </c>
      <c r="E3723" t="s">
        <v>216</v>
      </c>
      <c r="F3723" t="s">
        <v>28</v>
      </c>
      <c r="H3723" t="s">
        <v>10</v>
      </c>
      <c r="I3723" t="s">
        <v>220</v>
      </c>
      <c r="J3723">
        <v>11</v>
      </c>
      <c r="L3723">
        <v>11</v>
      </c>
      <c r="N3723">
        <f>Таблица1[[#This Row],[Часов на заказчика  в работе]]+Таблица1[[#This Row],[Часов на заказчика  дежурство]]</f>
        <v>11</v>
      </c>
      <c r="O37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3" s="9"/>
      <c r="R3723" s="9"/>
      <c r="S3723" s="5">
        <v>1</v>
      </c>
      <c r="T37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табеле]])*S3723,0)</f>
        <v>0</v>
      </c>
      <c r="U3723" s="5">
        <f>IF(Таблица1[[#This Row],[ТТН]]&gt;0,Таблица1[[#This Row],[Ставка за ТТН]]*Таблица1[[#This Row],[ТТН]],0)</f>
        <v>0</v>
      </c>
    </row>
    <row r="3724" spans="1:21" x14ac:dyDescent="0.25">
      <c r="A3724" t="s">
        <v>84</v>
      </c>
      <c r="B3724" s="24">
        <v>20</v>
      </c>
      <c r="C3724" t="s">
        <v>205</v>
      </c>
      <c r="D3724" t="s">
        <v>28</v>
      </c>
      <c r="E3724" t="s">
        <v>216</v>
      </c>
      <c r="F3724" t="s">
        <v>28</v>
      </c>
      <c r="H3724" t="s">
        <v>10</v>
      </c>
      <c r="I3724" t="s">
        <v>220</v>
      </c>
      <c r="J3724">
        <v>11</v>
      </c>
      <c r="L3724">
        <v>11</v>
      </c>
      <c r="N3724">
        <f>Таблица1[[#This Row],[Часов на заказчика  в работе]]+Таблица1[[#This Row],[Часов на заказчика  дежурство]]</f>
        <v>11</v>
      </c>
      <c r="O37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4" s="9"/>
      <c r="R3724" s="9"/>
      <c r="S3724" s="5">
        <v>1</v>
      </c>
      <c r="T37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табеле]])*S3724,0)</f>
        <v>0</v>
      </c>
      <c r="U3724" s="5">
        <f>IF(Таблица1[[#This Row],[ТТН]]&gt;0,Таблица1[[#This Row],[Ставка за ТТН]]*Таблица1[[#This Row],[ТТН]],0)</f>
        <v>0</v>
      </c>
    </row>
    <row r="3725" spans="1:21" x14ac:dyDescent="0.25">
      <c r="A3725" t="s">
        <v>84</v>
      </c>
      <c r="B3725" s="24">
        <v>21</v>
      </c>
      <c r="C3725" t="s">
        <v>205</v>
      </c>
      <c r="D3725" t="s">
        <v>28</v>
      </c>
      <c r="E3725" t="s">
        <v>216</v>
      </c>
      <c r="F3725" t="s">
        <v>28</v>
      </c>
      <c r="H3725" t="s">
        <v>10</v>
      </c>
      <c r="I3725" t="s">
        <v>220</v>
      </c>
      <c r="J3725">
        <v>11</v>
      </c>
      <c r="L3725">
        <v>11</v>
      </c>
      <c r="N3725">
        <f>Таблица1[[#This Row],[Часов на заказчика  в работе]]+Таблица1[[#This Row],[Часов на заказчика  дежурство]]</f>
        <v>11</v>
      </c>
      <c r="O37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5" s="9"/>
      <c r="R3725" s="9"/>
      <c r="S3725" s="5">
        <v>1</v>
      </c>
      <c r="T37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табеле]])*S3725,0)</f>
        <v>0</v>
      </c>
      <c r="U3725" s="5">
        <f>IF(Таблица1[[#This Row],[ТТН]]&gt;0,Таблица1[[#This Row],[Ставка за ТТН]]*Таблица1[[#This Row],[ТТН]],0)</f>
        <v>0</v>
      </c>
    </row>
    <row r="3726" spans="1:21" x14ac:dyDescent="0.25">
      <c r="A3726" t="s">
        <v>84</v>
      </c>
      <c r="B3726" s="24">
        <v>22</v>
      </c>
      <c r="C3726" t="s">
        <v>205</v>
      </c>
      <c r="D3726" t="s">
        <v>28</v>
      </c>
      <c r="E3726" t="s">
        <v>216</v>
      </c>
      <c r="F3726" t="s">
        <v>28</v>
      </c>
      <c r="H3726" t="s">
        <v>10</v>
      </c>
      <c r="I3726" t="s">
        <v>220</v>
      </c>
      <c r="J3726">
        <v>11</v>
      </c>
      <c r="L3726">
        <v>11</v>
      </c>
      <c r="N3726">
        <f>Таблица1[[#This Row],[Часов на заказчика  в работе]]+Таблица1[[#This Row],[Часов на заказчика  дежурство]]</f>
        <v>11</v>
      </c>
      <c r="O37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6" s="9"/>
      <c r="R3726" s="9"/>
      <c r="S3726" s="5">
        <v>1</v>
      </c>
      <c r="T37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табеле]])*S3726,0)</f>
        <v>0</v>
      </c>
      <c r="U3726" s="5">
        <f>IF(Таблица1[[#This Row],[ТТН]]&gt;0,Таблица1[[#This Row],[Ставка за ТТН]]*Таблица1[[#This Row],[ТТН]],0)</f>
        <v>0</v>
      </c>
    </row>
    <row r="3727" spans="1:21" x14ac:dyDescent="0.25">
      <c r="A3727" t="s">
        <v>84</v>
      </c>
      <c r="B3727" s="24">
        <v>23</v>
      </c>
      <c r="C3727" t="s">
        <v>205</v>
      </c>
      <c r="D3727" t="s">
        <v>28</v>
      </c>
      <c r="E3727" t="s">
        <v>216</v>
      </c>
      <c r="F3727" t="s">
        <v>28</v>
      </c>
      <c r="H3727" t="s">
        <v>10</v>
      </c>
      <c r="I3727" t="s">
        <v>220</v>
      </c>
      <c r="J3727">
        <v>11</v>
      </c>
      <c r="L3727">
        <v>11</v>
      </c>
      <c r="N3727">
        <f>Таблица1[[#This Row],[Часов на заказчика  в работе]]+Таблица1[[#This Row],[Часов на заказчика  дежурство]]</f>
        <v>11</v>
      </c>
      <c r="O37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7" s="9"/>
      <c r="R3727" s="9"/>
      <c r="S3727" s="5">
        <v>1</v>
      </c>
      <c r="T37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табеле]])*S3727,0)</f>
        <v>0</v>
      </c>
      <c r="U3727" s="5">
        <f>IF(Таблица1[[#This Row],[ТТН]]&gt;0,Таблица1[[#This Row],[Ставка за ТТН]]*Таблица1[[#This Row],[ТТН]],0)</f>
        <v>0</v>
      </c>
    </row>
    <row r="3728" spans="1:21" x14ac:dyDescent="0.25">
      <c r="A3728" t="s">
        <v>84</v>
      </c>
      <c r="B3728" s="24">
        <v>24</v>
      </c>
      <c r="C3728" t="s">
        <v>205</v>
      </c>
      <c r="D3728" t="s">
        <v>28</v>
      </c>
      <c r="E3728" t="s">
        <v>216</v>
      </c>
      <c r="F3728" t="s">
        <v>28</v>
      </c>
      <c r="H3728" t="s">
        <v>10</v>
      </c>
      <c r="I3728" t="s">
        <v>220</v>
      </c>
      <c r="J3728">
        <v>11</v>
      </c>
      <c r="L3728">
        <v>11</v>
      </c>
      <c r="N3728">
        <f>Таблица1[[#This Row],[Часов на заказчика  в работе]]+Таблица1[[#This Row],[Часов на заказчика  дежурство]]</f>
        <v>11</v>
      </c>
      <c r="O37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8" s="9"/>
      <c r="R3728" s="9"/>
      <c r="S3728" s="5">
        <v>1</v>
      </c>
      <c r="T37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табеле]])*S3728,0)</f>
        <v>0</v>
      </c>
      <c r="U3728" s="5">
        <f>IF(Таблица1[[#This Row],[ТТН]]&gt;0,Таблица1[[#This Row],[Ставка за ТТН]]*Таблица1[[#This Row],[ТТН]],0)</f>
        <v>0</v>
      </c>
    </row>
    <row r="3729" spans="1:21" x14ac:dyDescent="0.25">
      <c r="A3729" t="s">
        <v>84</v>
      </c>
      <c r="B3729" s="24">
        <v>25</v>
      </c>
      <c r="C3729" t="s">
        <v>205</v>
      </c>
      <c r="D3729" t="s">
        <v>28</v>
      </c>
      <c r="E3729" t="s">
        <v>216</v>
      </c>
      <c r="F3729" t="s">
        <v>28</v>
      </c>
      <c r="H3729" t="s">
        <v>10</v>
      </c>
      <c r="I3729" t="s">
        <v>220</v>
      </c>
      <c r="J3729">
        <v>11</v>
      </c>
      <c r="L3729">
        <v>11</v>
      </c>
      <c r="N3729">
        <f>Таблица1[[#This Row],[Часов на заказчика  в работе]]+Таблица1[[#This Row],[Часов на заказчика  дежурство]]</f>
        <v>11</v>
      </c>
      <c r="O37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29" s="9"/>
      <c r="R3729" s="9"/>
      <c r="S3729" s="5">
        <v>1</v>
      </c>
      <c r="T37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табеле]])*S3729,0)</f>
        <v>0</v>
      </c>
      <c r="U3729" s="5">
        <f>IF(Таблица1[[#This Row],[ТТН]]&gt;0,Таблица1[[#This Row],[Ставка за ТТН]]*Таблица1[[#This Row],[ТТН]],0)</f>
        <v>0</v>
      </c>
    </row>
    <row r="3730" spans="1:21" x14ac:dyDescent="0.25">
      <c r="A3730" t="s">
        <v>84</v>
      </c>
      <c r="B3730" s="24">
        <v>26</v>
      </c>
      <c r="C3730" t="s">
        <v>205</v>
      </c>
      <c r="D3730" t="s">
        <v>28</v>
      </c>
      <c r="E3730" t="s">
        <v>216</v>
      </c>
      <c r="F3730" t="s">
        <v>28</v>
      </c>
      <c r="H3730" t="s">
        <v>10</v>
      </c>
      <c r="I3730" t="s">
        <v>220</v>
      </c>
      <c r="J3730">
        <v>11</v>
      </c>
      <c r="L3730">
        <v>11</v>
      </c>
      <c r="N3730">
        <f>Таблица1[[#This Row],[Часов на заказчика  в работе]]+Таблица1[[#This Row],[Часов на заказчика  дежурство]]</f>
        <v>11</v>
      </c>
      <c r="O37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0" s="9"/>
      <c r="R3730" s="9"/>
      <c r="S3730" s="5">
        <v>1</v>
      </c>
      <c r="T37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табеле]])*S3730,0)</f>
        <v>0</v>
      </c>
      <c r="U3730" s="5">
        <f>IF(Таблица1[[#This Row],[ТТН]]&gt;0,Таблица1[[#This Row],[Ставка за ТТН]]*Таблица1[[#This Row],[ТТН]],0)</f>
        <v>0</v>
      </c>
    </row>
    <row r="3731" spans="1:21" x14ac:dyDescent="0.25">
      <c r="A3731" t="s">
        <v>84</v>
      </c>
      <c r="B3731" s="24">
        <v>27</v>
      </c>
      <c r="C3731" t="s">
        <v>205</v>
      </c>
      <c r="D3731" t="s">
        <v>28</v>
      </c>
      <c r="E3731" t="s">
        <v>216</v>
      </c>
      <c r="F3731" t="s">
        <v>28</v>
      </c>
      <c r="H3731" t="s">
        <v>10</v>
      </c>
      <c r="I3731" t="s">
        <v>220</v>
      </c>
      <c r="J3731">
        <v>11</v>
      </c>
      <c r="L3731">
        <v>11</v>
      </c>
      <c r="N3731">
        <f>Таблица1[[#This Row],[Часов на заказчика  в работе]]+Таблица1[[#This Row],[Часов на заказчика  дежурство]]</f>
        <v>11</v>
      </c>
      <c r="O37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1" s="9"/>
      <c r="R3731" s="9"/>
      <c r="S3731" s="5">
        <v>1</v>
      </c>
      <c r="T37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табеле]])*S3731,0)</f>
        <v>0</v>
      </c>
      <c r="U3731" s="5">
        <f>IF(Таблица1[[#This Row],[ТТН]]&gt;0,Таблица1[[#This Row],[Ставка за ТТН]]*Таблица1[[#This Row],[ТТН]],0)</f>
        <v>0</v>
      </c>
    </row>
    <row r="3732" spans="1:21" x14ac:dyDescent="0.25">
      <c r="A3732" t="s">
        <v>84</v>
      </c>
      <c r="B3732" s="24">
        <v>28</v>
      </c>
      <c r="C3732" t="s">
        <v>205</v>
      </c>
      <c r="D3732" t="s">
        <v>28</v>
      </c>
      <c r="E3732" t="s">
        <v>216</v>
      </c>
      <c r="F3732" t="s">
        <v>28</v>
      </c>
      <c r="H3732" t="s">
        <v>10</v>
      </c>
      <c r="I3732" t="s">
        <v>220</v>
      </c>
      <c r="J3732">
        <v>11</v>
      </c>
      <c r="L3732">
        <v>11</v>
      </c>
      <c r="N3732">
        <f>Таблица1[[#This Row],[Часов на заказчика  в работе]]+Таблица1[[#This Row],[Часов на заказчика  дежурство]]</f>
        <v>11</v>
      </c>
      <c r="O37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2" s="9"/>
      <c r="R3732" s="9"/>
      <c r="S3732" s="5">
        <v>1</v>
      </c>
      <c r="T37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табеле]])*S3732,0)</f>
        <v>0</v>
      </c>
      <c r="U3732" s="5">
        <f>IF(Таблица1[[#This Row],[ТТН]]&gt;0,Таблица1[[#This Row],[Ставка за ТТН]]*Таблица1[[#This Row],[ТТН]],0)</f>
        <v>0</v>
      </c>
    </row>
    <row r="3733" spans="1:21" x14ac:dyDescent="0.25">
      <c r="A3733" t="s">
        <v>84</v>
      </c>
      <c r="B3733" s="24">
        <v>29</v>
      </c>
      <c r="C3733" t="s">
        <v>205</v>
      </c>
      <c r="D3733" t="s">
        <v>28</v>
      </c>
      <c r="E3733" t="s">
        <v>216</v>
      </c>
      <c r="F3733" t="s">
        <v>28</v>
      </c>
      <c r="H3733" t="s">
        <v>10</v>
      </c>
      <c r="I3733" t="s">
        <v>220</v>
      </c>
      <c r="J3733">
        <v>11</v>
      </c>
      <c r="L3733">
        <v>11</v>
      </c>
      <c r="N3733">
        <f>Таблица1[[#This Row],[Часов на заказчика  в работе]]+Таблица1[[#This Row],[Часов на заказчика  дежурство]]</f>
        <v>11</v>
      </c>
      <c r="O37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3" s="9"/>
      <c r="R3733" s="9"/>
      <c r="S3733" s="5">
        <v>1</v>
      </c>
      <c r="T37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табеле]])*S3733,0)</f>
        <v>0</v>
      </c>
      <c r="U3733" s="5">
        <f>IF(Таблица1[[#This Row],[ТТН]]&gt;0,Таблица1[[#This Row],[Ставка за ТТН]]*Таблица1[[#This Row],[ТТН]],0)</f>
        <v>0</v>
      </c>
    </row>
    <row r="3734" spans="1:21" x14ac:dyDescent="0.25">
      <c r="A3734" t="s">
        <v>84</v>
      </c>
      <c r="B3734" s="24">
        <v>30</v>
      </c>
      <c r="C3734" t="s">
        <v>206</v>
      </c>
      <c r="D3734" t="s">
        <v>28</v>
      </c>
      <c r="E3734" t="s">
        <v>216</v>
      </c>
      <c r="F3734" t="s">
        <v>28</v>
      </c>
      <c r="H3734" t="s">
        <v>10</v>
      </c>
      <c r="I3734" t="s">
        <v>220</v>
      </c>
      <c r="J3734">
        <v>11</v>
      </c>
      <c r="L3734">
        <v>11</v>
      </c>
      <c r="N3734">
        <f>Таблица1[[#This Row],[Часов на заказчика  в работе]]+Таблица1[[#This Row],[Часов на заказчика  дежурство]]</f>
        <v>11</v>
      </c>
      <c r="O37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4" s="9"/>
      <c r="R3734" s="9"/>
      <c r="S3734" s="5">
        <v>1</v>
      </c>
      <c r="T37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табеле]])*S3734,0)</f>
        <v>0</v>
      </c>
      <c r="U3734" s="5">
        <f>IF(Таблица1[[#This Row],[ТТН]]&gt;0,Таблица1[[#This Row],[Ставка за ТТН]]*Таблица1[[#This Row],[ТТН]],0)</f>
        <v>0</v>
      </c>
    </row>
    <row r="3735" spans="1:21" x14ac:dyDescent="0.25">
      <c r="A3735" t="s">
        <v>84</v>
      </c>
      <c r="B3735" s="24">
        <v>1</v>
      </c>
      <c r="C3735" t="s">
        <v>206</v>
      </c>
      <c r="D3735" t="s">
        <v>9</v>
      </c>
      <c r="E3735" t="s">
        <v>216</v>
      </c>
      <c r="F3735" t="s">
        <v>9</v>
      </c>
      <c r="H3735" t="s">
        <v>10</v>
      </c>
      <c r="I3735" t="s">
        <v>217</v>
      </c>
      <c r="J3735">
        <v>11</v>
      </c>
      <c r="N3735">
        <f>Таблица1[[#This Row],[Часов на заказчика  в работе]]+Таблица1[[#This Row],[Часов на заказчика  дежурство]]</f>
        <v>0</v>
      </c>
      <c r="O37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5" s="9"/>
      <c r="R3735" s="9"/>
      <c r="S3735" s="5">
        <v>1</v>
      </c>
      <c r="T37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табеле]])*S3735,0)</f>
        <v>0</v>
      </c>
      <c r="U3735" s="5">
        <f>IF(Таблица1[[#This Row],[ТТН]]&gt;0,Таблица1[[#This Row],[Ставка за ТТН]]*Таблица1[[#This Row],[ТТН]],0)</f>
        <v>0</v>
      </c>
    </row>
    <row r="3736" spans="1:21" x14ac:dyDescent="0.25">
      <c r="A3736" t="s">
        <v>84</v>
      </c>
      <c r="B3736" s="24">
        <v>2</v>
      </c>
      <c r="C3736" t="s">
        <v>206</v>
      </c>
      <c r="D3736" t="s">
        <v>9</v>
      </c>
      <c r="E3736" t="s">
        <v>216</v>
      </c>
      <c r="F3736" t="s">
        <v>9</v>
      </c>
      <c r="H3736" t="s">
        <v>10</v>
      </c>
      <c r="I3736" t="s">
        <v>217</v>
      </c>
      <c r="J3736">
        <v>11</v>
      </c>
      <c r="N3736">
        <f>Таблица1[[#This Row],[Часов на заказчика  в работе]]+Таблица1[[#This Row],[Часов на заказчика  дежурство]]</f>
        <v>0</v>
      </c>
      <c r="O37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6" s="9"/>
      <c r="R3736" s="9"/>
      <c r="S3736" s="5">
        <v>1</v>
      </c>
      <c r="T37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табеле]])*S3736,0)</f>
        <v>0</v>
      </c>
      <c r="U3736" s="5">
        <f>IF(Таблица1[[#This Row],[ТТН]]&gt;0,Таблица1[[#This Row],[Ставка за ТТН]]*Таблица1[[#This Row],[ТТН]],0)</f>
        <v>0</v>
      </c>
    </row>
    <row r="3737" spans="1:21" x14ac:dyDescent="0.25">
      <c r="A3737" t="s">
        <v>84</v>
      </c>
      <c r="B3737" s="24">
        <v>3</v>
      </c>
      <c r="C3737" t="s">
        <v>206</v>
      </c>
      <c r="D3737" t="s">
        <v>9</v>
      </c>
      <c r="E3737" t="s">
        <v>216</v>
      </c>
      <c r="F3737" t="s">
        <v>9</v>
      </c>
      <c r="H3737" t="s">
        <v>10</v>
      </c>
      <c r="I3737" t="s">
        <v>217</v>
      </c>
      <c r="J3737">
        <v>11</v>
      </c>
      <c r="N3737">
        <f>Таблица1[[#This Row],[Часов на заказчика  в работе]]+Таблица1[[#This Row],[Часов на заказчика  дежурство]]</f>
        <v>0</v>
      </c>
      <c r="O37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7" s="9"/>
      <c r="R3737" s="9"/>
      <c r="S3737" s="5">
        <v>1</v>
      </c>
      <c r="T37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табеле]])*S3737,0)</f>
        <v>0</v>
      </c>
      <c r="U3737" s="5">
        <f>IF(Таблица1[[#This Row],[ТТН]]&gt;0,Таблица1[[#This Row],[Ставка за ТТН]]*Таблица1[[#This Row],[ТТН]],0)</f>
        <v>0</v>
      </c>
    </row>
    <row r="3738" spans="1:21" x14ac:dyDescent="0.25">
      <c r="A3738" t="s">
        <v>84</v>
      </c>
      <c r="B3738" s="24">
        <v>4</v>
      </c>
      <c r="C3738" t="s">
        <v>206</v>
      </c>
      <c r="D3738" t="s">
        <v>9</v>
      </c>
      <c r="E3738" t="s">
        <v>216</v>
      </c>
      <c r="F3738" t="s">
        <v>9</v>
      </c>
      <c r="H3738" t="s">
        <v>10</v>
      </c>
      <c r="I3738" t="s">
        <v>217</v>
      </c>
      <c r="J3738">
        <v>11</v>
      </c>
      <c r="N3738">
        <f>Таблица1[[#This Row],[Часов на заказчика  в работе]]+Таблица1[[#This Row],[Часов на заказчика  дежурство]]</f>
        <v>0</v>
      </c>
      <c r="O37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8" s="9"/>
      <c r="R3738" s="9"/>
      <c r="S3738" s="5">
        <v>1</v>
      </c>
      <c r="T37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табеле]])*S3738,0)</f>
        <v>0</v>
      </c>
      <c r="U3738" s="5">
        <f>IF(Таблица1[[#This Row],[ТТН]]&gt;0,Таблица1[[#This Row],[Ставка за ТТН]]*Таблица1[[#This Row],[ТТН]],0)</f>
        <v>0</v>
      </c>
    </row>
    <row r="3739" spans="1:21" x14ac:dyDescent="0.25">
      <c r="A3739" t="s">
        <v>84</v>
      </c>
      <c r="B3739" s="24">
        <v>5</v>
      </c>
      <c r="C3739" t="s">
        <v>206</v>
      </c>
      <c r="D3739" t="s">
        <v>9</v>
      </c>
      <c r="E3739" t="s">
        <v>216</v>
      </c>
      <c r="F3739" t="s">
        <v>9</v>
      </c>
      <c r="H3739" t="s">
        <v>10</v>
      </c>
      <c r="I3739" t="s">
        <v>217</v>
      </c>
      <c r="J3739">
        <v>11</v>
      </c>
      <c r="N3739">
        <f>Таблица1[[#This Row],[Часов на заказчика  в работе]]+Таблица1[[#This Row],[Часов на заказчика  дежурство]]</f>
        <v>0</v>
      </c>
      <c r="O37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39" s="9"/>
      <c r="R3739" s="9"/>
      <c r="S3739" s="5">
        <v>1</v>
      </c>
      <c r="T37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табеле]])*S3739,0)</f>
        <v>0</v>
      </c>
      <c r="U3739" s="5">
        <f>IF(Таблица1[[#This Row],[ТТН]]&gt;0,Таблица1[[#This Row],[Ставка за ТТН]]*Таблица1[[#This Row],[ТТН]],0)</f>
        <v>0</v>
      </c>
    </row>
    <row r="3740" spans="1:21" x14ac:dyDescent="0.25">
      <c r="A3740" t="s">
        <v>84</v>
      </c>
      <c r="B3740" s="24">
        <v>6</v>
      </c>
      <c r="C3740" t="s">
        <v>206</v>
      </c>
      <c r="D3740" t="s">
        <v>9</v>
      </c>
      <c r="E3740" t="s">
        <v>216</v>
      </c>
      <c r="F3740" t="s">
        <v>9</v>
      </c>
      <c r="H3740" t="s">
        <v>10</v>
      </c>
      <c r="I3740" t="s">
        <v>217</v>
      </c>
      <c r="J3740">
        <v>11</v>
      </c>
      <c r="N3740">
        <f>Таблица1[[#This Row],[Часов на заказчика  в работе]]+Таблица1[[#This Row],[Часов на заказчика  дежурство]]</f>
        <v>0</v>
      </c>
      <c r="O37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0" s="9"/>
      <c r="R3740" s="9"/>
      <c r="S3740" s="5">
        <v>1</v>
      </c>
      <c r="T37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табеле]])*S3740,0)</f>
        <v>0</v>
      </c>
      <c r="U3740" s="5">
        <f>IF(Таблица1[[#This Row],[ТТН]]&gt;0,Таблица1[[#This Row],[Ставка за ТТН]]*Таблица1[[#This Row],[ТТН]],0)</f>
        <v>0</v>
      </c>
    </row>
    <row r="3741" spans="1:21" x14ac:dyDescent="0.25">
      <c r="A3741" t="s">
        <v>84</v>
      </c>
      <c r="B3741" s="24">
        <v>7</v>
      </c>
      <c r="C3741" t="s">
        <v>206</v>
      </c>
      <c r="D3741" t="s">
        <v>9</v>
      </c>
      <c r="E3741" t="s">
        <v>216</v>
      </c>
      <c r="F3741" t="s">
        <v>9</v>
      </c>
      <c r="H3741" t="s">
        <v>10</v>
      </c>
      <c r="I3741" t="s">
        <v>217</v>
      </c>
      <c r="J3741">
        <v>11</v>
      </c>
      <c r="N3741">
        <f>Таблица1[[#This Row],[Часов на заказчика  в работе]]+Таблица1[[#This Row],[Часов на заказчика  дежурство]]</f>
        <v>0</v>
      </c>
      <c r="O37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1" s="9"/>
      <c r="R3741" s="9"/>
      <c r="S3741" s="5">
        <v>1</v>
      </c>
      <c r="T37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табеле]])*S3741,0)</f>
        <v>0</v>
      </c>
      <c r="U3741" s="5">
        <f>IF(Таблица1[[#This Row],[ТТН]]&gt;0,Таблица1[[#This Row],[Ставка за ТТН]]*Таблица1[[#This Row],[ТТН]],0)</f>
        <v>0</v>
      </c>
    </row>
    <row r="3742" spans="1:21" x14ac:dyDescent="0.25">
      <c r="A3742" t="s">
        <v>84</v>
      </c>
      <c r="B3742" s="24">
        <v>8</v>
      </c>
      <c r="C3742" t="s">
        <v>206</v>
      </c>
      <c r="D3742" t="s">
        <v>9</v>
      </c>
      <c r="E3742" t="s">
        <v>216</v>
      </c>
      <c r="F3742" t="s">
        <v>9</v>
      </c>
      <c r="H3742" t="s">
        <v>10</v>
      </c>
      <c r="I3742" t="s">
        <v>217</v>
      </c>
      <c r="J3742">
        <v>11</v>
      </c>
      <c r="N3742">
        <f>Таблица1[[#This Row],[Часов на заказчика  в работе]]+Таблица1[[#This Row],[Часов на заказчика  дежурство]]</f>
        <v>0</v>
      </c>
      <c r="O37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2" s="9"/>
      <c r="R3742" s="9"/>
      <c r="S3742" s="5">
        <v>1</v>
      </c>
      <c r="T37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табеле]])*S3742,0)</f>
        <v>0</v>
      </c>
      <c r="U3742" s="5">
        <f>IF(Таблица1[[#This Row],[ТТН]]&gt;0,Таблица1[[#This Row],[Ставка за ТТН]]*Таблица1[[#This Row],[ТТН]],0)</f>
        <v>0</v>
      </c>
    </row>
    <row r="3743" spans="1:21" x14ac:dyDescent="0.25">
      <c r="A3743" t="s">
        <v>84</v>
      </c>
      <c r="B3743" s="24">
        <v>9</v>
      </c>
      <c r="C3743" t="s">
        <v>206</v>
      </c>
      <c r="D3743" t="s">
        <v>9</v>
      </c>
      <c r="E3743" t="s">
        <v>216</v>
      </c>
      <c r="F3743" t="s">
        <v>9</v>
      </c>
      <c r="H3743" t="s">
        <v>10</v>
      </c>
      <c r="I3743" t="s">
        <v>217</v>
      </c>
      <c r="J3743">
        <v>11</v>
      </c>
      <c r="N3743">
        <f>Таблица1[[#This Row],[Часов на заказчика  в работе]]+Таблица1[[#This Row],[Часов на заказчика  дежурство]]</f>
        <v>0</v>
      </c>
      <c r="O37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3" s="9"/>
      <c r="R3743" s="9"/>
      <c r="S3743" s="5">
        <v>1</v>
      </c>
      <c r="T37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табеле]])*S3743,0)</f>
        <v>0</v>
      </c>
      <c r="U3743" s="5">
        <f>IF(Таблица1[[#This Row],[ТТН]]&gt;0,Таблица1[[#This Row],[Ставка за ТТН]]*Таблица1[[#This Row],[ТТН]],0)</f>
        <v>0</v>
      </c>
    </row>
    <row r="3744" spans="1:21" x14ac:dyDescent="0.25">
      <c r="A3744" t="s">
        <v>84</v>
      </c>
      <c r="B3744" s="24">
        <v>10</v>
      </c>
      <c r="C3744" t="s">
        <v>206</v>
      </c>
      <c r="D3744" t="s">
        <v>9</v>
      </c>
      <c r="E3744" t="s">
        <v>216</v>
      </c>
      <c r="F3744" t="s">
        <v>9</v>
      </c>
      <c r="H3744" t="s">
        <v>10</v>
      </c>
      <c r="I3744" t="s">
        <v>217</v>
      </c>
      <c r="J3744">
        <v>11</v>
      </c>
      <c r="N3744">
        <f>Таблица1[[#This Row],[Часов на заказчика  в работе]]+Таблица1[[#This Row],[Часов на заказчика  дежурство]]</f>
        <v>0</v>
      </c>
      <c r="O37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4" s="9"/>
      <c r="R3744" s="9"/>
      <c r="S3744" s="5">
        <v>1</v>
      </c>
      <c r="T37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табеле]])*S3744,0)</f>
        <v>0</v>
      </c>
      <c r="U3744" s="5">
        <f>IF(Таблица1[[#This Row],[ТТН]]&gt;0,Таблица1[[#This Row],[Ставка за ТТН]]*Таблица1[[#This Row],[ТТН]],0)</f>
        <v>0</v>
      </c>
    </row>
    <row r="3745" spans="1:21" x14ac:dyDescent="0.25">
      <c r="A3745" t="s">
        <v>84</v>
      </c>
      <c r="B3745" s="24">
        <v>11</v>
      </c>
      <c r="C3745" t="s">
        <v>206</v>
      </c>
      <c r="D3745" t="s">
        <v>9</v>
      </c>
      <c r="E3745" t="s">
        <v>216</v>
      </c>
      <c r="F3745" t="s">
        <v>9</v>
      </c>
      <c r="H3745" t="s">
        <v>10</v>
      </c>
      <c r="I3745" t="s">
        <v>217</v>
      </c>
      <c r="J3745">
        <v>11</v>
      </c>
      <c r="N3745">
        <f>Таблица1[[#This Row],[Часов на заказчика  в работе]]+Таблица1[[#This Row],[Часов на заказчика  дежурство]]</f>
        <v>0</v>
      </c>
      <c r="O37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5" s="9"/>
      <c r="R3745" s="9"/>
      <c r="S3745" s="5">
        <v>1</v>
      </c>
      <c r="T37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табеле]])*S3745,0)</f>
        <v>0</v>
      </c>
      <c r="U3745" s="5">
        <f>IF(Таблица1[[#This Row],[ТТН]]&gt;0,Таблица1[[#This Row],[Ставка за ТТН]]*Таблица1[[#This Row],[ТТН]],0)</f>
        <v>0</v>
      </c>
    </row>
    <row r="3746" spans="1:21" x14ac:dyDescent="0.25">
      <c r="A3746" t="s">
        <v>84</v>
      </c>
      <c r="B3746" s="24">
        <v>12</v>
      </c>
      <c r="C3746" t="s">
        <v>206</v>
      </c>
      <c r="D3746" t="s">
        <v>9</v>
      </c>
      <c r="E3746" t="s">
        <v>216</v>
      </c>
      <c r="F3746" t="s">
        <v>9</v>
      </c>
      <c r="H3746" t="s">
        <v>10</v>
      </c>
      <c r="I3746" t="s">
        <v>217</v>
      </c>
      <c r="J3746">
        <v>11</v>
      </c>
      <c r="N3746">
        <f>Таблица1[[#This Row],[Часов на заказчика  в работе]]+Таблица1[[#This Row],[Часов на заказчика  дежурство]]</f>
        <v>0</v>
      </c>
      <c r="O37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6" s="9"/>
      <c r="R3746" s="9"/>
      <c r="S3746" s="5">
        <v>1</v>
      </c>
      <c r="T37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табеле]])*S3746,0)</f>
        <v>0</v>
      </c>
      <c r="U3746" s="5">
        <f>IF(Таблица1[[#This Row],[ТТН]]&gt;0,Таблица1[[#This Row],[Ставка за ТТН]]*Таблица1[[#This Row],[ТТН]],0)</f>
        <v>0</v>
      </c>
    </row>
    <row r="3747" spans="1:21" x14ac:dyDescent="0.25">
      <c r="A3747" t="s">
        <v>84</v>
      </c>
      <c r="B3747" s="24">
        <v>13</v>
      </c>
      <c r="C3747" t="s">
        <v>206</v>
      </c>
      <c r="D3747" t="s">
        <v>9</v>
      </c>
      <c r="E3747" t="s">
        <v>216</v>
      </c>
      <c r="F3747" t="s">
        <v>9</v>
      </c>
      <c r="H3747" t="s">
        <v>10</v>
      </c>
      <c r="I3747" t="s">
        <v>217</v>
      </c>
      <c r="J3747">
        <v>11</v>
      </c>
      <c r="N3747">
        <f>Таблица1[[#This Row],[Часов на заказчика  в работе]]+Таблица1[[#This Row],[Часов на заказчика  дежурство]]</f>
        <v>0</v>
      </c>
      <c r="O37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7" s="9"/>
      <c r="R3747" s="9"/>
      <c r="S3747" s="5">
        <v>1</v>
      </c>
      <c r="T37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табеле]])*S3747,0)</f>
        <v>0</v>
      </c>
      <c r="U3747" s="5">
        <f>IF(Таблица1[[#This Row],[ТТН]]&gt;0,Таблица1[[#This Row],[Ставка за ТТН]]*Таблица1[[#This Row],[ТТН]],0)</f>
        <v>0</v>
      </c>
    </row>
    <row r="3748" spans="1:21" x14ac:dyDescent="0.25">
      <c r="A3748" t="s">
        <v>84</v>
      </c>
      <c r="B3748" s="24">
        <v>14</v>
      </c>
      <c r="C3748" t="s">
        <v>206</v>
      </c>
      <c r="D3748" t="s">
        <v>9</v>
      </c>
      <c r="E3748" t="s">
        <v>216</v>
      </c>
      <c r="F3748" t="s">
        <v>9</v>
      </c>
      <c r="H3748" t="s">
        <v>10</v>
      </c>
      <c r="I3748" t="s">
        <v>217</v>
      </c>
      <c r="J3748">
        <v>11</v>
      </c>
      <c r="N3748">
        <f>Таблица1[[#This Row],[Часов на заказчика  в работе]]+Таблица1[[#This Row],[Часов на заказчика  дежурство]]</f>
        <v>0</v>
      </c>
      <c r="O37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8" s="9"/>
      <c r="R3748" s="9"/>
      <c r="S3748" s="5">
        <v>1</v>
      </c>
      <c r="T37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табеле]])*S3748,0)</f>
        <v>0</v>
      </c>
      <c r="U3748" s="5">
        <f>IF(Таблица1[[#This Row],[ТТН]]&gt;0,Таблица1[[#This Row],[Ставка за ТТН]]*Таблица1[[#This Row],[ТТН]],0)</f>
        <v>0</v>
      </c>
    </row>
    <row r="3749" spans="1:21" x14ac:dyDescent="0.25">
      <c r="A3749" t="s">
        <v>84</v>
      </c>
      <c r="B3749" s="24">
        <v>15</v>
      </c>
      <c r="C3749" t="s">
        <v>206</v>
      </c>
      <c r="D3749" t="s">
        <v>9</v>
      </c>
      <c r="E3749" t="s">
        <v>216</v>
      </c>
      <c r="F3749" t="s">
        <v>9</v>
      </c>
      <c r="H3749" t="s">
        <v>10</v>
      </c>
      <c r="I3749" t="s">
        <v>217</v>
      </c>
      <c r="J3749">
        <v>11</v>
      </c>
      <c r="N3749">
        <f>Таблица1[[#This Row],[Часов на заказчика  в работе]]+Таблица1[[#This Row],[Часов на заказчика  дежурство]]</f>
        <v>0</v>
      </c>
      <c r="O37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49" s="9"/>
      <c r="R3749" s="9"/>
      <c r="S3749" s="5">
        <v>1</v>
      </c>
      <c r="T37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табеле]])*S3749,0)</f>
        <v>0</v>
      </c>
      <c r="U3749" s="5">
        <f>IF(Таблица1[[#This Row],[ТТН]]&gt;0,Таблица1[[#This Row],[Ставка за ТТН]]*Таблица1[[#This Row],[ТТН]],0)</f>
        <v>0</v>
      </c>
    </row>
    <row r="3750" spans="1:21" x14ac:dyDescent="0.25">
      <c r="A3750" t="s">
        <v>84</v>
      </c>
      <c r="B3750" s="24">
        <v>16</v>
      </c>
      <c r="C3750" t="s">
        <v>206</v>
      </c>
      <c r="D3750" t="s">
        <v>9</v>
      </c>
      <c r="E3750" t="s">
        <v>216</v>
      </c>
      <c r="F3750" t="s">
        <v>9</v>
      </c>
      <c r="H3750" t="s">
        <v>10</v>
      </c>
      <c r="I3750" t="s">
        <v>217</v>
      </c>
      <c r="J3750">
        <v>11</v>
      </c>
      <c r="N3750">
        <f>Таблица1[[#This Row],[Часов на заказчика  в работе]]+Таблица1[[#This Row],[Часов на заказчика  дежурство]]</f>
        <v>0</v>
      </c>
      <c r="O37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0" s="9"/>
      <c r="R3750" s="9"/>
      <c r="S3750" s="5">
        <v>1</v>
      </c>
      <c r="T37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табеле]])*S3750,0)</f>
        <v>0</v>
      </c>
      <c r="U3750" s="5">
        <f>IF(Таблица1[[#This Row],[ТТН]]&gt;0,Таблица1[[#This Row],[Ставка за ТТН]]*Таблица1[[#This Row],[ТТН]],0)</f>
        <v>0</v>
      </c>
    </row>
    <row r="3751" spans="1:21" x14ac:dyDescent="0.25">
      <c r="A3751" t="s">
        <v>84</v>
      </c>
      <c r="B3751" s="24">
        <v>17</v>
      </c>
      <c r="C3751" t="s">
        <v>206</v>
      </c>
      <c r="D3751" t="s">
        <v>9</v>
      </c>
      <c r="E3751" t="s">
        <v>216</v>
      </c>
      <c r="F3751" t="s">
        <v>9</v>
      </c>
      <c r="H3751" t="s">
        <v>10</v>
      </c>
      <c r="I3751" t="s">
        <v>217</v>
      </c>
      <c r="J3751">
        <v>11</v>
      </c>
      <c r="N3751">
        <f>Таблица1[[#This Row],[Часов на заказчика  в работе]]+Таблица1[[#This Row],[Часов на заказчика  дежурство]]</f>
        <v>0</v>
      </c>
      <c r="O37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1" s="9"/>
      <c r="R3751" s="9"/>
      <c r="S3751" s="5">
        <v>1</v>
      </c>
      <c r="T37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табеле]])*S3751,0)</f>
        <v>0</v>
      </c>
      <c r="U3751" s="5">
        <f>IF(Таблица1[[#This Row],[ТТН]]&gt;0,Таблица1[[#This Row],[Ставка за ТТН]]*Таблица1[[#This Row],[ТТН]],0)</f>
        <v>0</v>
      </c>
    </row>
    <row r="3752" spans="1:21" x14ac:dyDescent="0.25">
      <c r="A3752" t="s">
        <v>84</v>
      </c>
      <c r="B3752" s="24">
        <v>18</v>
      </c>
      <c r="C3752" t="s">
        <v>206</v>
      </c>
      <c r="D3752" t="s">
        <v>9</v>
      </c>
      <c r="E3752" t="s">
        <v>216</v>
      </c>
      <c r="F3752" t="s">
        <v>9</v>
      </c>
      <c r="H3752" t="s">
        <v>10</v>
      </c>
      <c r="I3752" t="s">
        <v>217</v>
      </c>
      <c r="J3752">
        <v>11</v>
      </c>
      <c r="N3752">
        <f>Таблица1[[#This Row],[Часов на заказчика  в работе]]+Таблица1[[#This Row],[Часов на заказчика  дежурство]]</f>
        <v>0</v>
      </c>
      <c r="O37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2" s="9"/>
      <c r="R3752" s="9"/>
      <c r="S3752" s="5">
        <v>1</v>
      </c>
      <c r="T37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табеле]])*S3752,0)</f>
        <v>0</v>
      </c>
      <c r="U3752" s="5">
        <f>IF(Таблица1[[#This Row],[ТТН]]&gt;0,Таблица1[[#This Row],[Ставка за ТТН]]*Таблица1[[#This Row],[ТТН]],0)</f>
        <v>0</v>
      </c>
    </row>
    <row r="3753" spans="1:21" x14ac:dyDescent="0.25">
      <c r="A3753" t="s">
        <v>84</v>
      </c>
      <c r="B3753" s="24">
        <v>19</v>
      </c>
      <c r="C3753" t="s">
        <v>206</v>
      </c>
      <c r="D3753" t="s">
        <v>9</v>
      </c>
      <c r="E3753" t="s">
        <v>216</v>
      </c>
      <c r="F3753" t="s">
        <v>9</v>
      </c>
      <c r="H3753" t="s">
        <v>10</v>
      </c>
      <c r="I3753" t="s">
        <v>217</v>
      </c>
      <c r="J3753">
        <v>11</v>
      </c>
      <c r="N3753">
        <f>Таблица1[[#This Row],[Часов на заказчика  в работе]]+Таблица1[[#This Row],[Часов на заказчика  дежурство]]</f>
        <v>0</v>
      </c>
      <c r="O37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3" s="9"/>
      <c r="R3753" s="9"/>
      <c r="S3753" s="5">
        <v>1</v>
      </c>
      <c r="T37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табеле]])*S3753,0)</f>
        <v>0</v>
      </c>
      <c r="U3753" s="5">
        <f>IF(Таблица1[[#This Row],[ТТН]]&gt;0,Таблица1[[#This Row],[Ставка за ТТН]]*Таблица1[[#This Row],[ТТН]],0)</f>
        <v>0</v>
      </c>
    </row>
    <row r="3754" spans="1:21" s="20" customFormat="1" x14ac:dyDescent="0.25">
      <c r="A3754" t="s">
        <v>84</v>
      </c>
      <c r="B3754" s="24">
        <v>20</v>
      </c>
      <c r="C3754" t="s">
        <v>206</v>
      </c>
      <c r="D3754" t="s">
        <v>9</v>
      </c>
      <c r="E3754" t="s">
        <v>216</v>
      </c>
      <c r="F3754" t="s">
        <v>9</v>
      </c>
      <c r="H3754" t="s">
        <v>10</v>
      </c>
      <c r="I3754" t="s">
        <v>217</v>
      </c>
      <c r="J3754">
        <v>11</v>
      </c>
      <c r="N3754" s="20">
        <f>Таблица1[[#This Row],[Часов на заказчика  в работе]]+Таблица1[[#This Row],[Часов на заказчика  дежурство]]</f>
        <v>0</v>
      </c>
      <c r="O3754" s="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4" s="22"/>
      <c r="R3754" s="22"/>
      <c r="S3754" s="5">
        <v>1</v>
      </c>
      <c r="T3754" s="23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табеле]])*S3754,0)</f>
        <v>0</v>
      </c>
      <c r="U3754" s="21">
        <f>IF(Таблица1[[#This Row],[ТТН]]&gt;0,Таблица1[[#This Row],[Ставка за ТТН]]*Таблица1[[#This Row],[ТТН]],0)</f>
        <v>0</v>
      </c>
    </row>
    <row r="3755" spans="1:21" x14ac:dyDescent="0.25">
      <c r="A3755" t="s">
        <v>84</v>
      </c>
      <c r="B3755" s="24">
        <v>21</v>
      </c>
      <c r="C3755" t="s">
        <v>206</v>
      </c>
      <c r="D3755" t="s">
        <v>9</v>
      </c>
      <c r="E3755" t="s">
        <v>216</v>
      </c>
      <c r="F3755" t="s">
        <v>9</v>
      </c>
      <c r="H3755" t="s">
        <v>10</v>
      </c>
      <c r="I3755" t="s">
        <v>217</v>
      </c>
      <c r="J3755">
        <v>11</v>
      </c>
      <c r="N3755">
        <f>Таблица1[[#This Row],[Часов на заказчика  в работе]]+Таблица1[[#This Row],[Часов на заказчика  дежурство]]</f>
        <v>0</v>
      </c>
      <c r="O37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5" s="9"/>
      <c r="R3755" s="9"/>
      <c r="S3755" s="5">
        <v>1</v>
      </c>
      <c r="T37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табеле]])*S3755,0)</f>
        <v>0</v>
      </c>
      <c r="U3755" s="5">
        <f>IF(Таблица1[[#This Row],[ТТН]]&gt;0,Таблица1[[#This Row],[Ставка за ТТН]]*Таблица1[[#This Row],[ТТН]],0)</f>
        <v>0</v>
      </c>
    </row>
    <row r="3756" spans="1:21" x14ac:dyDescent="0.25">
      <c r="A3756" t="s">
        <v>84</v>
      </c>
      <c r="B3756" s="24">
        <v>22</v>
      </c>
      <c r="C3756" t="s">
        <v>206</v>
      </c>
      <c r="D3756" t="s">
        <v>9</v>
      </c>
      <c r="E3756" t="s">
        <v>216</v>
      </c>
      <c r="F3756" t="s">
        <v>9</v>
      </c>
      <c r="H3756" t="s">
        <v>10</v>
      </c>
      <c r="I3756" t="s">
        <v>217</v>
      </c>
      <c r="J3756">
        <v>11</v>
      </c>
      <c r="N3756">
        <f>Таблица1[[#This Row],[Часов на заказчика  в работе]]+Таблица1[[#This Row],[Часов на заказчика  дежурство]]</f>
        <v>0</v>
      </c>
      <c r="O37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6" s="9"/>
      <c r="R3756" s="9"/>
      <c r="S3756" s="5">
        <v>1</v>
      </c>
      <c r="T37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табеле]])*S3756,0)</f>
        <v>0</v>
      </c>
      <c r="U3756" s="5">
        <f>IF(Таблица1[[#This Row],[ТТН]]&gt;0,Таблица1[[#This Row],[Ставка за ТТН]]*Таблица1[[#This Row],[ТТН]],0)</f>
        <v>0</v>
      </c>
    </row>
    <row r="3757" spans="1:21" x14ac:dyDescent="0.25">
      <c r="A3757" t="s">
        <v>84</v>
      </c>
      <c r="B3757" s="24">
        <v>23</v>
      </c>
      <c r="C3757" t="s">
        <v>206</v>
      </c>
      <c r="D3757" t="s">
        <v>9</v>
      </c>
      <c r="E3757" t="s">
        <v>216</v>
      </c>
      <c r="F3757" t="s">
        <v>9</v>
      </c>
      <c r="H3757" t="s">
        <v>10</v>
      </c>
      <c r="I3757" t="s">
        <v>217</v>
      </c>
      <c r="J3757">
        <v>11</v>
      </c>
      <c r="N3757">
        <f>Таблица1[[#This Row],[Часов на заказчика  в работе]]+Таблица1[[#This Row],[Часов на заказчика  дежурство]]</f>
        <v>0</v>
      </c>
      <c r="O37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7" s="9"/>
      <c r="R3757" s="9"/>
      <c r="S3757" s="5">
        <v>1</v>
      </c>
      <c r="T37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табеле]])*S3757,0)</f>
        <v>0</v>
      </c>
      <c r="U3757" s="5">
        <f>IF(Таблица1[[#This Row],[ТТН]]&gt;0,Таблица1[[#This Row],[Ставка за ТТН]]*Таблица1[[#This Row],[ТТН]],0)</f>
        <v>0</v>
      </c>
    </row>
    <row r="3758" spans="1:21" x14ac:dyDescent="0.25">
      <c r="A3758" t="s">
        <v>84</v>
      </c>
      <c r="B3758" s="24">
        <v>24</v>
      </c>
      <c r="C3758" t="s">
        <v>206</v>
      </c>
      <c r="D3758" t="s">
        <v>9</v>
      </c>
      <c r="E3758" t="s">
        <v>216</v>
      </c>
      <c r="F3758" t="s">
        <v>9</v>
      </c>
      <c r="H3758" t="s">
        <v>10</v>
      </c>
      <c r="I3758" t="s">
        <v>217</v>
      </c>
      <c r="J3758">
        <v>11</v>
      </c>
      <c r="N3758">
        <f>Таблица1[[#This Row],[Часов на заказчика  в работе]]+Таблица1[[#This Row],[Часов на заказчика  дежурство]]</f>
        <v>0</v>
      </c>
      <c r="O37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8" s="9"/>
      <c r="R3758" s="9"/>
      <c r="S3758" s="5">
        <v>1</v>
      </c>
      <c r="T37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табеле]])*S3758,0)</f>
        <v>0</v>
      </c>
      <c r="U3758" s="5">
        <f>IF(Таблица1[[#This Row],[ТТН]]&gt;0,Таблица1[[#This Row],[Ставка за ТТН]]*Таблица1[[#This Row],[ТТН]],0)</f>
        <v>0</v>
      </c>
    </row>
    <row r="3759" spans="1:21" x14ac:dyDescent="0.25">
      <c r="A3759" t="s">
        <v>84</v>
      </c>
      <c r="B3759" s="24">
        <v>25</v>
      </c>
      <c r="C3759" t="s">
        <v>206</v>
      </c>
      <c r="D3759" t="s">
        <v>9</v>
      </c>
      <c r="E3759" t="s">
        <v>216</v>
      </c>
      <c r="F3759" t="s">
        <v>9</v>
      </c>
      <c r="H3759" t="s">
        <v>10</v>
      </c>
      <c r="I3759" t="s">
        <v>217</v>
      </c>
      <c r="J3759">
        <v>11</v>
      </c>
      <c r="N3759">
        <f>Таблица1[[#This Row],[Часов на заказчика  в работе]]+Таблица1[[#This Row],[Часов на заказчика  дежурство]]</f>
        <v>0</v>
      </c>
      <c r="O37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59" s="9"/>
      <c r="R3759" s="9"/>
      <c r="S3759" s="5">
        <v>1</v>
      </c>
      <c r="T37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табеле]])*S3759,0)</f>
        <v>0</v>
      </c>
      <c r="U3759" s="5">
        <f>IF(Таблица1[[#This Row],[ТТН]]&gt;0,Таблица1[[#This Row],[Ставка за ТТН]]*Таблица1[[#This Row],[ТТН]],0)</f>
        <v>0</v>
      </c>
    </row>
    <row r="3760" spans="1:21" x14ac:dyDescent="0.25">
      <c r="A3760" t="s">
        <v>84</v>
      </c>
      <c r="B3760" s="24">
        <v>26</v>
      </c>
      <c r="C3760" t="s">
        <v>206</v>
      </c>
      <c r="D3760" t="s">
        <v>9</v>
      </c>
      <c r="E3760" t="s">
        <v>216</v>
      </c>
      <c r="F3760" t="s">
        <v>9</v>
      </c>
      <c r="H3760" t="s">
        <v>10</v>
      </c>
      <c r="I3760" t="s">
        <v>217</v>
      </c>
      <c r="J3760">
        <v>11</v>
      </c>
      <c r="N3760">
        <f>Таблица1[[#This Row],[Часов на заказчика  в работе]]+Таблица1[[#This Row],[Часов на заказчика  дежурство]]</f>
        <v>0</v>
      </c>
      <c r="O37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0" s="9"/>
      <c r="R3760" s="9"/>
      <c r="S3760" s="5">
        <v>1</v>
      </c>
      <c r="T37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табеле]])*S3760,0)</f>
        <v>0</v>
      </c>
      <c r="U3760" s="5">
        <f>IF(Таблица1[[#This Row],[ТТН]]&gt;0,Таблица1[[#This Row],[Ставка за ТТН]]*Таблица1[[#This Row],[ТТН]],0)</f>
        <v>0</v>
      </c>
    </row>
    <row r="3761" spans="1:21" x14ac:dyDescent="0.25">
      <c r="A3761" t="s">
        <v>84</v>
      </c>
      <c r="B3761" s="24">
        <v>27</v>
      </c>
      <c r="C3761" t="s">
        <v>206</v>
      </c>
      <c r="D3761" t="s">
        <v>9</v>
      </c>
      <c r="E3761" t="s">
        <v>216</v>
      </c>
      <c r="F3761" t="s">
        <v>9</v>
      </c>
      <c r="H3761" t="s">
        <v>10</v>
      </c>
      <c r="I3761" t="s">
        <v>217</v>
      </c>
      <c r="J3761">
        <v>11</v>
      </c>
      <c r="N3761">
        <f>Таблица1[[#This Row],[Часов на заказчика  в работе]]+Таблица1[[#This Row],[Часов на заказчика  дежурство]]</f>
        <v>0</v>
      </c>
      <c r="O37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1" s="9"/>
      <c r="R3761" s="9"/>
      <c r="S3761" s="5">
        <v>1</v>
      </c>
      <c r="T37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табеле]])*S3761,0)</f>
        <v>0</v>
      </c>
      <c r="U3761" s="5">
        <f>IF(Таблица1[[#This Row],[ТТН]]&gt;0,Таблица1[[#This Row],[Ставка за ТТН]]*Таблица1[[#This Row],[ТТН]],0)</f>
        <v>0</v>
      </c>
    </row>
    <row r="3762" spans="1:21" x14ac:dyDescent="0.25">
      <c r="A3762" t="s">
        <v>84</v>
      </c>
      <c r="B3762" s="24">
        <v>28</v>
      </c>
      <c r="C3762" t="s">
        <v>206</v>
      </c>
      <c r="D3762" t="s">
        <v>9</v>
      </c>
      <c r="E3762" t="s">
        <v>216</v>
      </c>
      <c r="F3762" t="s">
        <v>9</v>
      </c>
      <c r="H3762" t="s">
        <v>10</v>
      </c>
      <c r="I3762" t="s">
        <v>217</v>
      </c>
      <c r="J3762">
        <v>11</v>
      </c>
      <c r="N3762">
        <f>Таблица1[[#This Row],[Часов на заказчика  в работе]]+Таблица1[[#This Row],[Часов на заказчика  дежурство]]</f>
        <v>0</v>
      </c>
      <c r="O37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2" s="9"/>
      <c r="R3762" s="9"/>
      <c r="S3762" s="5">
        <v>1</v>
      </c>
      <c r="T37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табеле]])*S3762,0)</f>
        <v>0</v>
      </c>
      <c r="U3762" s="5">
        <f>IF(Таблица1[[#This Row],[ТТН]]&gt;0,Таблица1[[#This Row],[Ставка за ТТН]]*Таблица1[[#This Row],[ТТН]],0)</f>
        <v>0</v>
      </c>
    </row>
    <row r="3763" spans="1:21" x14ac:dyDescent="0.25">
      <c r="A3763" t="s">
        <v>84</v>
      </c>
      <c r="B3763" s="24">
        <v>29</v>
      </c>
      <c r="C3763" t="s">
        <v>206</v>
      </c>
      <c r="D3763" t="s">
        <v>9</v>
      </c>
      <c r="E3763" t="s">
        <v>216</v>
      </c>
      <c r="F3763" t="s">
        <v>9</v>
      </c>
      <c r="H3763" t="s">
        <v>10</v>
      </c>
      <c r="I3763" t="s">
        <v>217</v>
      </c>
      <c r="J3763">
        <v>11</v>
      </c>
      <c r="N3763">
        <f>Таблица1[[#This Row],[Часов на заказчика  в работе]]+Таблица1[[#This Row],[Часов на заказчика  дежурство]]</f>
        <v>0</v>
      </c>
      <c r="O37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3" s="9"/>
      <c r="R3763" s="9"/>
      <c r="S3763" s="5">
        <v>1</v>
      </c>
      <c r="T37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табеле]])*S3763,0)</f>
        <v>0</v>
      </c>
      <c r="U3763" s="5">
        <f>IF(Таблица1[[#This Row],[ТТН]]&gt;0,Таблица1[[#This Row],[Ставка за ТТН]]*Таблица1[[#This Row],[ТТН]],0)</f>
        <v>0</v>
      </c>
    </row>
    <row r="3764" spans="1:21" x14ac:dyDescent="0.25">
      <c r="A3764" t="s">
        <v>84</v>
      </c>
      <c r="B3764" s="24">
        <v>30</v>
      </c>
      <c r="C3764" t="s">
        <v>207</v>
      </c>
      <c r="D3764" t="s">
        <v>9</v>
      </c>
      <c r="E3764" t="s">
        <v>216</v>
      </c>
      <c r="F3764" t="s">
        <v>9</v>
      </c>
      <c r="H3764" t="s">
        <v>10</v>
      </c>
      <c r="I3764" t="s">
        <v>217</v>
      </c>
      <c r="J3764">
        <v>11</v>
      </c>
      <c r="N3764">
        <f>Таблица1[[#This Row],[Часов на заказчика  в работе]]+Таблица1[[#This Row],[Часов на заказчика  дежурство]]</f>
        <v>0</v>
      </c>
      <c r="O37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4" s="9"/>
      <c r="R3764" s="9"/>
      <c r="S3764" s="5">
        <v>1</v>
      </c>
      <c r="T37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табеле]])*S3764,0)</f>
        <v>0</v>
      </c>
      <c r="U3764" s="5">
        <f>IF(Таблица1[[#This Row],[ТТН]]&gt;0,Таблица1[[#This Row],[Ставка за ТТН]]*Таблица1[[#This Row],[ТТН]],0)</f>
        <v>0</v>
      </c>
    </row>
    <row r="3765" spans="1:21" x14ac:dyDescent="0.25">
      <c r="A3765" t="s">
        <v>84</v>
      </c>
      <c r="B3765" s="24">
        <v>1</v>
      </c>
      <c r="C3765" t="s">
        <v>207</v>
      </c>
      <c r="D3765" t="s">
        <v>28</v>
      </c>
      <c r="E3765" t="s">
        <v>216</v>
      </c>
      <c r="F3765" t="s">
        <v>28</v>
      </c>
      <c r="H3765" t="s">
        <v>29</v>
      </c>
      <c r="I3765" t="s">
        <v>217</v>
      </c>
      <c r="J3765">
        <v>8</v>
      </c>
      <c r="N3765">
        <f>Таблица1[[#This Row],[Часов на заказчика  в работе]]+Таблица1[[#This Row],[Часов на заказчика  дежурство]]</f>
        <v>0</v>
      </c>
      <c r="O37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5" s="9"/>
      <c r="R3765" s="9"/>
      <c r="S3765" s="5">
        <v>1</v>
      </c>
      <c r="T37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табеле]])*S3765,0)</f>
        <v>0</v>
      </c>
      <c r="U3765" s="5">
        <f>IF(Таблица1[[#This Row],[ТТН]]&gt;0,Таблица1[[#This Row],[Ставка за ТТН]]*Таблица1[[#This Row],[ТТН]],0)</f>
        <v>0</v>
      </c>
    </row>
    <row r="3766" spans="1:21" x14ac:dyDescent="0.25">
      <c r="A3766" t="s">
        <v>84</v>
      </c>
      <c r="B3766" s="24">
        <v>2</v>
      </c>
      <c r="C3766" t="s">
        <v>207</v>
      </c>
      <c r="D3766" t="s">
        <v>28</v>
      </c>
      <c r="E3766" t="s">
        <v>216</v>
      </c>
      <c r="F3766" t="s">
        <v>28</v>
      </c>
      <c r="H3766" t="s">
        <v>29</v>
      </c>
      <c r="I3766" t="s">
        <v>217</v>
      </c>
      <c r="J3766">
        <v>8</v>
      </c>
      <c r="N3766">
        <f>Таблица1[[#This Row],[Часов на заказчика  в работе]]+Таблица1[[#This Row],[Часов на заказчика  дежурство]]</f>
        <v>0</v>
      </c>
      <c r="O37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6" s="9"/>
      <c r="R3766" s="9"/>
      <c r="S3766" s="5">
        <v>1</v>
      </c>
      <c r="T37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табеле]])*S3766,0)</f>
        <v>0</v>
      </c>
      <c r="U3766" s="5">
        <f>IF(Таблица1[[#This Row],[ТТН]]&gt;0,Таблица1[[#This Row],[Ставка за ТТН]]*Таблица1[[#This Row],[ТТН]],0)</f>
        <v>0</v>
      </c>
    </row>
    <row r="3767" spans="1:21" x14ac:dyDescent="0.25">
      <c r="A3767" t="s">
        <v>84</v>
      </c>
      <c r="B3767" s="24">
        <v>3</v>
      </c>
      <c r="C3767" t="s">
        <v>207</v>
      </c>
      <c r="D3767" t="s">
        <v>28</v>
      </c>
      <c r="E3767" t="s">
        <v>216</v>
      </c>
      <c r="F3767" t="s">
        <v>28</v>
      </c>
      <c r="H3767" t="s">
        <v>29</v>
      </c>
      <c r="I3767" t="s">
        <v>217</v>
      </c>
      <c r="J3767">
        <v>8</v>
      </c>
      <c r="N3767">
        <f>Таблица1[[#This Row],[Часов на заказчика  в работе]]+Таблица1[[#This Row],[Часов на заказчика  дежурство]]</f>
        <v>0</v>
      </c>
      <c r="O37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7" s="9"/>
      <c r="R3767" s="9"/>
      <c r="S3767" s="5">
        <v>1</v>
      </c>
      <c r="T37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табеле]])*S3767,0)</f>
        <v>0</v>
      </c>
      <c r="U3767" s="5">
        <f>IF(Таблица1[[#This Row],[ТТН]]&gt;0,Таблица1[[#This Row],[Ставка за ТТН]]*Таблица1[[#This Row],[ТТН]],0)</f>
        <v>0</v>
      </c>
    </row>
    <row r="3768" spans="1:21" x14ac:dyDescent="0.25">
      <c r="A3768" t="s">
        <v>84</v>
      </c>
      <c r="B3768" s="24">
        <v>4</v>
      </c>
      <c r="C3768" t="s">
        <v>207</v>
      </c>
      <c r="D3768" t="s">
        <v>28</v>
      </c>
      <c r="E3768" t="s">
        <v>216</v>
      </c>
      <c r="F3768" t="s">
        <v>28</v>
      </c>
      <c r="H3768" t="s">
        <v>29</v>
      </c>
      <c r="I3768" t="s">
        <v>217</v>
      </c>
      <c r="J3768">
        <v>8</v>
      </c>
      <c r="N3768">
        <f>Таблица1[[#This Row],[Часов на заказчика  в работе]]+Таблица1[[#This Row],[Часов на заказчика  дежурство]]</f>
        <v>0</v>
      </c>
      <c r="O37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8" s="9"/>
      <c r="R3768" s="9"/>
      <c r="S3768" s="5">
        <v>1</v>
      </c>
      <c r="T37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табеле]])*S3768,0)</f>
        <v>0</v>
      </c>
      <c r="U3768" s="5">
        <f>IF(Таблица1[[#This Row],[ТТН]]&gt;0,Таблица1[[#This Row],[Ставка за ТТН]]*Таблица1[[#This Row],[ТТН]],0)</f>
        <v>0</v>
      </c>
    </row>
    <row r="3769" spans="1:21" x14ac:dyDescent="0.25">
      <c r="A3769" t="s">
        <v>84</v>
      </c>
      <c r="B3769" s="24">
        <v>5</v>
      </c>
      <c r="C3769" t="s">
        <v>207</v>
      </c>
      <c r="D3769" t="s">
        <v>28</v>
      </c>
      <c r="E3769" t="s">
        <v>216</v>
      </c>
      <c r="F3769" t="s">
        <v>28</v>
      </c>
      <c r="H3769" t="s">
        <v>29</v>
      </c>
      <c r="I3769" t="s">
        <v>217</v>
      </c>
      <c r="J3769">
        <v>8</v>
      </c>
      <c r="N3769">
        <f>Таблица1[[#This Row],[Часов на заказчика  в работе]]+Таблица1[[#This Row],[Часов на заказчика  дежурство]]</f>
        <v>0</v>
      </c>
      <c r="O37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69" s="9"/>
      <c r="R3769" s="9"/>
      <c r="S3769" s="5">
        <v>1</v>
      </c>
      <c r="T37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табеле]])*S3769,0)</f>
        <v>0</v>
      </c>
      <c r="U3769" s="5">
        <f>IF(Таблица1[[#This Row],[ТТН]]&gt;0,Таблица1[[#This Row],[Ставка за ТТН]]*Таблица1[[#This Row],[ТТН]],0)</f>
        <v>0</v>
      </c>
    </row>
    <row r="3770" spans="1:21" x14ac:dyDescent="0.25">
      <c r="A3770" t="s">
        <v>84</v>
      </c>
      <c r="B3770" s="24">
        <v>6</v>
      </c>
      <c r="C3770" t="s">
        <v>207</v>
      </c>
      <c r="D3770" t="s">
        <v>28</v>
      </c>
      <c r="E3770" t="s">
        <v>216</v>
      </c>
      <c r="F3770" t="s">
        <v>28</v>
      </c>
      <c r="H3770" t="s">
        <v>30</v>
      </c>
      <c r="I3770" t="s">
        <v>217</v>
      </c>
      <c r="J3770">
        <v>1</v>
      </c>
      <c r="N3770">
        <f>Таблица1[[#This Row],[Часов на заказчика  в работе]]+Таблица1[[#This Row],[Часов на заказчика  дежурство]]</f>
        <v>0</v>
      </c>
      <c r="O37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0" s="9"/>
      <c r="R3770" s="9"/>
      <c r="S3770" s="5">
        <v>1</v>
      </c>
      <c r="T37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табеле]])*S3770,0)</f>
        <v>0</v>
      </c>
      <c r="U3770" s="5">
        <f>IF(Таблица1[[#This Row],[ТТН]]&gt;0,Таблица1[[#This Row],[Ставка за ТТН]]*Таблица1[[#This Row],[ТТН]],0)</f>
        <v>0</v>
      </c>
    </row>
    <row r="3771" spans="1:21" x14ac:dyDescent="0.25">
      <c r="A3771" t="s">
        <v>84</v>
      </c>
      <c r="B3771" s="24">
        <v>7</v>
      </c>
      <c r="C3771" t="s">
        <v>207</v>
      </c>
      <c r="D3771" t="s">
        <v>28</v>
      </c>
      <c r="E3771" t="s">
        <v>216</v>
      </c>
      <c r="F3771" t="s">
        <v>28</v>
      </c>
      <c r="H3771" t="s">
        <v>24</v>
      </c>
      <c r="I3771" t="s">
        <v>217</v>
      </c>
      <c r="J3771">
        <v>8</v>
      </c>
      <c r="N3771">
        <f>Таблица1[[#This Row],[Часов на заказчика  в работе]]+Таблица1[[#This Row],[Часов на заказчика  дежурство]]</f>
        <v>0</v>
      </c>
      <c r="O37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1" s="9"/>
      <c r="R3771" s="9"/>
      <c r="S3771" s="5">
        <v>1</v>
      </c>
      <c r="T37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табеле]])*S3771,0)</f>
        <v>0</v>
      </c>
      <c r="U3771" s="5">
        <f>IF(Таблица1[[#This Row],[ТТН]]&gt;0,Таблица1[[#This Row],[Ставка за ТТН]]*Таблица1[[#This Row],[ТТН]],0)</f>
        <v>0</v>
      </c>
    </row>
    <row r="3772" spans="1:21" x14ac:dyDescent="0.25">
      <c r="A3772" t="s">
        <v>84</v>
      </c>
      <c r="B3772" s="24">
        <v>8</v>
      </c>
      <c r="C3772" t="s">
        <v>207</v>
      </c>
      <c r="D3772" t="s">
        <v>28</v>
      </c>
      <c r="E3772" t="s">
        <v>216</v>
      </c>
      <c r="F3772" t="s">
        <v>28</v>
      </c>
      <c r="H3772" t="s">
        <v>24</v>
      </c>
      <c r="I3772" t="s">
        <v>217</v>
      </c>
      <c r="J3772">
        <v>8</v>
      </c>
      <c r="N3772">
        <f>Таблица1[[#This Row],[Часов на заказчика  в работе]]+Таблица1[[#This Row],[Часов на заказчика  дежурство]]</f>
        <v>0</v>
      </c>
      <c r="O37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2" s="9"/>
      <c r="R3772" s="9"/>
      <c r="S3772" s="5">
        <v>1</v>
      </c>
      <c r="T37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табеле]])*S3772,0)</f>
        <v>0</v>
      </c>
      <c r="U3772" s="5">
        <f>IF(Таблица1[[#This Row],[ТТН]]&gt;0,Таблица1[[#This Row],[Ставка за ТТН]]*Таблица1[[#This Row],[ТТН]],0)</f>
        <v>0</v>
      </c>
    </row>
    <row r="3773" spans="1:21" x14ac:dyDescent="0.25">
      <c r="A3773" t="s">
        <v>84</v>
      </c>
      <c r="B3773" s="24">
        <v>9</v>
      </c>
      <c r="C3773" t="s">
        <v>207</v>
      </c>
      <c r="D3773" t="s">
        <v>28</v>
      </c>
      <c r="E3773" t="s">
        <v>216</v>
      </c>
      <c r="F3773" t="s">
        <v>28</v>
      </c>
      <c r="H3773" t="s">
        <v>24</v>
      </c>
      <c r="I3773" t="s">
        <v>217</v>
      </c>
      <c r="J3773">
        <v>8</v>
      </c>
      <c r="N3773">
        <f>Таблица1[[#This Row],[Часов на заказчика  в работе]]+Таблица1[[#This Row],[Часов на заказчика  дежурство]]</f>
        <v>0</v>
      </c>
      <c r="O37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3" s="9"/>
      <c r="R3773" s="9"/>
      <c r="S3773" s="5">
        <v>1</v>
      </c>
      <c r="T37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табеле]])*S3773,0)</f>
        <v>0</v>
      </c>
      <c r="U3773" s="5">
        <f>IF(Таблица1[[#This Row],[ТТН]]&gt;0,Таблица1[[#This Row],[Ставка за ТТН]]*Таблица1[[#This Row],[ТТН]],0)</f>
        <v>0</v>
      </c>
    </row>
    <row r="3774" spans="1:21" x14ac:dyDescent="0.25">
      <c r="A3774" t="s">
        <v>84</v>
      </c>
      <c r="B3774" s="24">
        <v>10</v>
      </c>
      <c r="C3774" t="s">
        <v>207</v>
      </c>
      <c r="D3774" t="s">
        <v>28</v>
      </c>
      <c r="E3774" t="s">
        <v>216</v>
      </c>
      <c r="F3774" t="s">
        <v>28</v>
      </c>
      <c r="H3774" t="s">
        <v>24</v>
      </c>
      <c r="I3774" t="s">
        <v>217</v>
      </c>
      <c r="J3774">
        <v>8</v>
      </c>
      <c r="N3774">
        <f>Таблица1[[#This Row],[Часов на заказчика  в работе]]+Таблица1[[#This Row],[Часов на заказчика  дежурство]]</f>
        <v>0</v>
      </c>
      <c r="O37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4" s="9"/>
      <c r="R3774" s="9"/>
      <c r="S3774" s="5">
        <v>1</v>
      </c>
      <c r="T37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табеле]])*S3774,0)</f>
        <v>0</v>
      </c>
      <c r="U3774" s="5">
        <f>IF(Таблица1[[#This Row],[ТТН]]&gt;0,Таблица1[[#This Row],[Ставка за ТТН]]*Таблица1[[#This Row],[ТТН]],0)</f>
        <v>0</v>
      </c>
    </row>
    <row r="3775" spans="1:21" x14ac:dyDescent="0.25">
      <c r="A3775" t="s">
        <v>84</v>
      </c>
      <c r="B3775" s="24">
        <v>11</v>
      </c>
      <c r="C3775" t="s">
        <v>207</v>
      </c>
      <c r="D3775" t="s">
        <v>28</v>
      </c>
      <c r="E3775" t="s">
        <v>216</v>
      </c>
      <c r="F3775" t="s">
        <v>28</v>
      </c>
      <c r="H3775" t="s">
        <v>10</v>
      </c>
      <c r="I3775" t="s">
        <v>220</v>
      </c>
      <c r="J3775">
        <v>11</v>
      </c>
      <c r="L3775">
        <v>11</v>
      </c>
      <c r="N3775">
        <f>Таблица1[[#This Row],[Часов на заказчика  в работе]]+Таблица1[[#This Row],[Часов на заказчика  дежурство]]</f>
        <v>11</v>
      </c>
      <c r="O37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5" s="9"/>
      <c r="R3775" s="9"/>
      <c r="S3775" s="5">
        <v>1</v>
      </c>
      <c r="T37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табеле]])*S3775,0)</f>
        <v>0</v>
      </c>
      <c r="U3775" s="5">
        <f>IF(Таблица1[[#This Row],[ТТН]]&gt;0,Таблица1[[#This Row],[Ставка за ТТН]]*Таблица1[[#This Row],[ТТН]],0)</f>
        <v>0</v>
      </c>
    </row>
    <row r="3776" spans="1:21" x14ac:dyDescent="0.25">
      <c r="A3776" t="s">
        <v>84</v>
      </c>
      <c r="B3776" s="24">
        <v>12</v>
      </c>
      <c r="C3776" t="s">
        <v>207</v>
      </c>
      <c r="D3776" t="s">
        <v>28</v>
      </c>
      <c r="E3776" t="s">
        <v>216</v>
      </c>
      <c r="F3776" t="s">
        <v>28</v>
      </c>
      <c r="H3776" t="s">
        <v>10</v>
      </c>
      <c r="I3776" t="s">
        <v>220</v>
      </c>
      <c r="J3776">
        <v>11</v>
      </c>
      <c r="L3776">
        <v>11</v>
      </c>
      <c r="N3776">
        <f>Таблица1[[#This Row],[Часов на заказчика  в работе]]+Таблица1[[#This Row],[Часов на заказчика  дежурство]]</f>
        <v>11</v>
      </c>
      <c r="O37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6" s="9"/>
      <c r="R3776" s="9"/>
      <c r="S3776" s="5">
        <v>1</v>
      </c>
      <c r="T37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табеле]])*S3776,0)</f>
        <v>0</v>
      </c>
      <c r="U3776" s="5">
        <f>IF(Таблица1[[#This Row],[ТТН]]&gt;0,Таблица1[[#This Row],[Ставка за ТТН]]*Таблица1[[#This Row],[ТТН]],0)</f>
        <v>0</v>
      </c>
    </row>
    <row r="3777" spans="1:21" x14ac:dyDescent="0.25">
      <c r="A3777" t="s">
        <v>84</v>
      </c>
      <c r="B3777" s="24">
        <v>13</v>
      </c>
      <c r="C3777" t="s">
        <v>207</v>
      </c>
      <c r="D3777" t="s">
        <v>28</v>
      </c>
      <c r="E3777" t="s">
        <v>216</v>
      </c>
      <c r="F3777" t="s">
        <v>28</v>
      </c>
      <c r="H3777" t="s">
        <v>10</v>
      </c>
      <c r="I3777" t="s">
        <v>220</v>
      </c>
      <c r="J3777">
        <v>11</v>
      </c>
      <c r="L3777">
        <v>11</v>
      </c>
      <c r="N3777">
        <f>Таблица1[[#This Row],[Часов на заказчика  в работе]]+Таблица1[[#This Row],[Часов на заказчика  дежурство]]</f>
        <v>11</v>
      </c>
      <c r="O37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7" s="9"/>
      <c r="R3777" s="9"/>
      <c r="S3777" s="5">
        <v>1</v>
      </c>
      <c r="T37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табеле]])*S3777,0)</f>
        <v>0</v>
      </c>
      <c r="U3777" s="5">
        <f>IF(Таблица1[[#This Row],[ТТН]]&gt;0,Таблица1[[#This Row],[Ставка за ТТН]]*Таблица1[[#This Row],[ТТН]],0)</f>
        <v>0</v>
      </c>
    </row>
    <row r="3778" spans="1:21" x14ac:dyDescent="0.25">
      <c r="A3778" t="s">
        <v>84</v>
      </c>
      <c r="B3778" s="24">
        <v>14</v>
      </c>
      <c r="C3778" t="s">
        <v>207</v>
      </c>
      <c r="D3778" t="s">
        <v>28</v>
      </c>
      <c r="E3778" t="s">
        <v>216</v>
      </c>
      <c r="F3778" t="s">
        <v>28</v>
      </c>
      <c r="H3778" t="s">
        <v>10</v>
      </c>
      <c r="I3778" t="s">
        <v>220</v>
      </c>
      <c r="J3778">
        <v>11</v>
      </c>
      <c r="L3778">
        <v>11</v>
      </c>
      <c r="N3778">
        <f>Таблица1[[#This Row],[Часов на заказчика  в работе]]+Таблица1[[#This Row],[Часов на заказчика  дежурство]]</f>
        <v>11</v>
      </c>
      <c r="O37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8" s="9"/>
      <c r="R3778" s="9"/>
      <c r="S3778" s="5">
        <v>1</v>
      </c>
      <c r="T37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табеле]])*S3778,0)</f>
        <v>0</v>
      </c>
      <c r="U3778" s="5">
        <f>IF(Таблица1[[#This Row],[ТТН]]&gt;0,Таблица1[[#This Row],[Ставка за ТТН]]*Таблица1[[#This Row],[ТТН]],0)</f>
        <v>0</v>
      </c>
    </row>
    <row r="3779" spans="1:21" x14ac:dyDescent="0.25">
      <c r="A3779" t="s">
        <v>84</v>
      </c>
      <c r="B3779" s="24">
        <v>15</v>
      </c>
      <c r="C3779" t="s">
        <v>207</v>
      </c>
      <c r="D3779" t="s">
        <v>28</v>
      </c>
      <c r="E3779" t="s">
        <v>216</v>
      </c>
      <c r="F3779" t="s">
        <v>28</v>
      </c>
      <c r="H3779" t="s">
        <v>10</v>
      </c>
      <c r="I3779" t="s">
        <v>220</v>
      </c>
      <c r="J3779">
        <v>11</v>
      </c>
      <c r="L3779">
        <v>11</v>
      </c>
      <c r="N3779">
        <f>Таблица1[[#This Row],[Часов на заказчика  в работе]]+Таблица1[[#This Row],[Часов на заказчика  дежурство]]</f>
        <v>11</v>
      </c>
      <c r="O37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79" s="9"/>
      <c r="R3779" s="9"/>
      <c r="S3779" s="5">
        <v>1</v>
      </c>
      <c r="T37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табеле]])*S3779,0)</f>
        <v>0</v>
      </c>
      <c r="U3779" s="5">
        <f>IF(Таблица1[[#This Row],[ТТН]]&gt;0,Таблица1[[#This Row],[Ставка за ТТН]]*Таблица1[[#This Row],[ТТН]],0)</f>
        <v>0</v>
      </c>
    </row>
    <row r="3780" spans="1:21" x14ac:dyDescent="0.25">
      <c r="A3780" t="s">
        <v>84</v>
      </c>
      <c r="B3780" s="24">
        <v>16</v>
      </c>
      <c r="C3780" t="s">
        <v>207</v>
      </c>
      <c r="D3780" t="s">
        <v>28</v>
      </c>
      <c r="E3780" t="s">
        <v>216</v>
      </c>
      <c r="F3780" t="s">
        <v>28</v>
      </c>
      <c r="H3780" t="s">
        <v>10</v>
      </c>
      <c r="I3780" t="s">
        <v>220</v>
      </c>
      <c r="J3780">
        <v>11</v>
      </c>
      <c r="L3780">
        <v>11</v>
      </c>
      <c r="N3780">
        <f>Таблица1[[#This Row],[Часов на заказчика  в работе]]+Таблица1[[#This Row],[Часов на заказчика  дежурство]]</f>
        <v>11</v>
      </c>
      <c r="O37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0" s="9"/>
      <c r="R3780" s="9"/>
      <c r="S3780" s="5">
        <v>1</v>
      </c>
      <c r="T37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табеле]])*S3780,0)</f>
        <v>0</v>
      </c>
      <c r="U3780" s="5">
        <f>IF(Таблица1[[#This Row],[ТТН]]&gt;0,Таблица1[[#This Row],[Ставка за ТТН]]*Таблица1[[#This Row],[ТТН]],0)</f>
        <v>0</v>
      </c>
    </row>
    <row r="3781" spans="1:21" x14ac:dyDescent="0.25">
      <c r="A3781" t="s">
        <v>84</v>
      </c>
      <c r="B3781" s="24">
        <v>17</v>
      </c>
      <c r="C3781" t="s">
        <v>207</v>
      </c>
      <c r="D3781" t="s">
        <v>28</v>
      </c>
      <c r="E3781" t="s">
        <v>216</v>
      </c>
      <c r="F3781" t="s">
        <v>28</v>
      </c>
      <c r="H3781" t="s">
        <v>10</v>
      </c>
      <c r="I3781" t="s">
        <v>220</v>
      </c>
      <c r="J3781">
        <v>11</v>
      </c>
      <c r="L3781">
        <v>11</v>
      </c>
      <c r="N3781">
        <f>Таблица1[[#This Row],[Часов на заказчика  в работе]]+Таблица1[[#This Row],[Часов на заказчика  дежурство]]</f>
        <v>11</v>
      </c>
      <c r="O37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1" s="9"/>
      <c r="R3781" s="9"/>
      <c r="S3781" s="5">
        <v>1</v>
      </c>
      <c r="T37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табеле]])*S3781,0)</f>
        <v>0</v>
      </c>
      <c r="U3781" s="5">
        <f>IF(Таблица1[[#This Row],[ТТН]]&gt;0,Таблица1[[#This Row],[Ставка за ТТН]]*Таблица1[[#This Row],[ТТН]],0)</f>
        <v>0</v>
      </c>
    </row>
    <row r="3782" spans="1:21" x14ac:dyDescent="0.25">
      <c r="A3782" t="s">
        <v>84</v>
      </c>
      <c r="B3782" s="24">
        <v>18</v>
      </c>
      <c r="C3782" t="s">
        <v>207</v>
      </c>
      <c r="D3782" t="s">
        <v>28</v>
      </c>
      <c r="E3782" t="s">
        <v>216</v>
      </c>
      <c r="F3782" t="s">
        <v>28</v>
      </c>
      <c r="H3782" t="s">
        <v>10</v>
      </c>
      <c r="I3782" t="s">
        <v>220</v>
      </c>
      <c r="J3782">
        <v>11</v>
      </c>
      <c r="L3782">
        <v>11</v>
      </c>
      <c r="N3782">
        <f>Таблица1[[#This Row],[Часов на заказчика  в работе]]+Таблица1[[#This Row],[Часов на заказчика  дежурство]]</f>
        <v>11</v>
      </c>
      <c r="O37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2" s="9"/>
      <c r="R3782" s="9"/>
      <c r="S3782" s="5">
        <v>1</v>
      </c>
      <c r="T37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табеле]])*S3782,0)</f>
        <v>0</v>
      </c>
      <c r="U3782" s="5">
        <f>IF(Таблица1[[#This Row],[ТТН]]&gt;0,Таблица1[[#This Row],[Ставка за ТТН]]*Таблица1[[#This Row],[ТТН]],0)</f>
        <v>0</v>
      </c>
    </row>
    <row r="3783" spans="1:21" x14ac:dyDescent="0.25">
      <c r="A3783" t="s">
        <v>84</v>
      </c>
      <c r="B3783" s="24">
        <v>19</v>
      </c>
      <c r="C3783" t="s">
        <v>207</v>
      </c>
      <c r="D3783" t="s">
        <v>28</v>
      </c>
      <c r="E3783" t="s">
        <v>216</v>
      </c>
      <c r="F3783" t="s">
        <v>28</v>
      </c>
      <c r="H3783" t="s">
        <v>10</v>
      </c>
      <c r="I3783" t="s">
        <v>220</v>
      </c>
      <c r="J3783">
        <v>11</v>
      </c>
      <c r="L3783">
        <v>11</v>
      </c>
      <c r="N3783">
        <f>Таблица1[[#This Row],[Часов на заказчика  в работе]]+Таблица1[[#This Row],[Часов на заказчика  дежурство]]</f>
        <v>11</v>
      </c>
      <c r="O37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3" s="9"/>
      <c r="R3783" s="9"/>
      <c r="S3783" s="5">
        <v>1</v>
      </c>
      <c r="T37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табеле]])*S3783,0)</f>
        <v>0</v>
      </c>
      <c r="U3783" s="5">
        <f>IF(Таблица1[[#This Row],[ТТН]]&gt;0,Таблица1[[#This Row],[Ставка за ТТН]]*Таблица1[[#This Row],[ТТН]],0)</f>
        <v>0</v>
      </c>
    </row>
    <row r="3784" spans="1:21" x14ac:dyDescent="0.25">
      <c r="A3784" t="s">
        <v>84</v>
      </c>
      <c r="B3784" s="24">
        <v>20</v>
      </c>
      <c r="C3784" t="s">
        <v>207</v>
      </c>
      <c r="D3784" t="s">
        <v>28</v>
      </c>
      <c r="E3784" t="s">
        <v>216</v>
      </c>
      <c r="F3784" t="s">
        <v>28</v>
      </c>
      <c r="H3784" t="s">
        <v>10</v>
      </c>
      <c r="I3784" t="s">
        <v>220</v>
      </c>
      <c r="J3784">
        <v>11</v>
      </c>
      <c r="L3784">
        <v>11</v>
      </c>
      <c r="N3784">
        <f>Таблица1[[#This Row],[Часов на заказчика  в работе]]+Таблица1[[#This Row],[Часов на заказчика  дежурство]]</f>
        <v>11</v>
      </c>
      <c r="O37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4" s="9"/>
      <c r="R3784" s="9"/>
      <c r="S3784" s="5">
        <v>1</v>
      </c>
      <c r="T37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табеле]])*S3784,0)</f>
        <v>0</v>
      </c>
      <c r="U3784" s="5">
        <f>IF(Таблица1[[#This Row],[ТТН]]&gt;0,Таблица1[[#This Row],[Ставка за ТТН]]*Таблица1[[#This Row],[ТТН]],0)</f>
        <v>0</v>
      </c>
    </row>
    <row r="3785" spans="1:21" x14ac:dyDescent="0.25">
      <c r="A3785" t="s">
        <v>84</v>
      </c>
      <c r="B3785" s="24">
        <v>21</v>
      </c>
      <c r="C3785" t="s">
        <v>207</v>
      </c>
      <c r="D3785" t="s">
        <v>28</v>
      </c>
      <c r="E3785" t="s">
        <v>216</v>
      </c>
      <c r="F3785" t="s">
        <v>28</v>
      </c>
      <c r="H3785" t="s">
        <v>10</v>
      </c>
      <c r="I3785" t="s">
        <v>220</v>
      </c>
      <c r="J3785">
        <v>11</v>
      </c>
      <c r="L3785">
        <v>11</v>
      </c>
      <c r="N3785">
        <f>Таблица1[[#This Row],[Часов на заказчика  в работе]]+Таблица1[[#This Row],[Часов на заказчика  дежурство]]</f>
        <v>11</v>
      </c>
      <c r="O37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5" s="9"/>
      <c r="R3785" s="9"/>
      <c r="S3785" s="5">
        <v>1</v>
      </c>
      <c r="T37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табеле]])*S3785,0)</f>
        <v>0</v>
      </c>
      <c r="U3785" s="5">
        <f>IF(Таблица1[[#This Row],[ТТН]]&gt;0,Таблица1[[#This Row],[Ставка за ТТН]]*Таблица1[[#This Row],[ТТН]],0)</f>
        <v>0</v>
      </c>
    </row>
    <row r="3786" spans="1:21" x14ac:dyDescent="0.25">
      <c r="A3786" t="s">
        <v>84</v>
      </c>
      <c r="B3786" s="24">
        <v>22</v>
      </c>
      <c r="C3786" t="s">
        <v>207</v>
      </c>
      <c r="D3786" t="s">
        <v>28</v>
      </c>
      <c r="E3786" t="s">
        <v>216</v>
      </c>
      <c r="F3786" t="s">
        <v>28</v>
      </c>
      <c r="H3786" t="s">
        <v>10</v>
      </c>
      <c r="I3786" t="s">
        <v>220</v>
      </c>
      <c r="J3786">
        <v>11</v>
      </c>
      <c r="L3786">
        <v>11</v>
      </c>
      <c r="N3786">
        <f>Таблица1[[#This Row],[Часов на заказчика  в работе]]+Таблица1[[#This Row],[Часов на заказчика  дежурство]]</f>
        <v>11</v>
      </c>
      <c r="O37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6" s="9"/>
      <c r="R3786" s="9"/>
      <c r="S3786" s="5">
        <v>1</v>
      </c>
      <c r="T37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табеле]])*S3786,0)</f>
        <v>0</v>
      </c>
      <c r="U3786" s="5">
        <f>IF(Таблица1[[#This Row],[ТТН]]&gt;0,Таблица1[[#This Row],[Ставка за ТТН]]*Таблица1[[#This Row],[ТТН]],0)</f>
        <v>0</v>
      </c>
    </row>
    <row r="3787" spans="1:21" x14ac:dyDescent="0.25">
      <c r="A3787" t="s">
        <v>84</v>
      </c>
      <c r="B3787" s="24">
        <v>23</v>
      </c>
      <c r="C3787" t="s">
        <v>207</v>
      </c>
      <c r="D3787" t="s">
        <v>28</v>
      </c>
      <c r="E3787" t="s">
        <v>216</v>
      </c>
      <c r="F3787" t="s">
        <v>28</v>
      </c>
      <c r="H3787" t="s">
        <v>10</v>
      </c>
      <c r="I3787" t="s">
        <v>220</v>
      </c>
      <c r="J3787">
        <v>11</v>
      </c>
      <c r="L3787">
        <v>11</v>
      </c>
      <c r="N3787">
        <f>Таблица1[[#This Row],[Часов на заказчика  в работе]]+Таблица1[[#This Row],[Часов на заказчика  дежурство]]</f>
        <v>11</v>
      </c>
      <c r="O37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7" s="9"/>
      <c r="R3787" s="9"/>
      <c r="S3787" s="5">
        <v>1</v>
      </c>
      <c r="T37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табеле]])*S3787,0)</f>
        <v>0</v>
      </c>
      <c r="U3787" s="5">
        <f>IF(Таблица1[[#This Row],[ТТН]]&gt;0,Таблица1[[#This Row],[Ставка за ТТН]]*Таблица1[[#This Row],[ТТН]],0)</f>
        <v>0</v>
      </c>
    </row>
    <row r="3788" spans="1:21" x14ac:dyDescent="0.25">
      <c r="A3788" t="s">
        <v>84</v>
      </c>
      <c r="B3788" s="24">
        <v>24</v>
      </c>
      <c r="C3788" t="s">
        <v>207</v>
      </c>
      <c r="D3788" t="s">
        <v>28</v>
      </c>
      <c r="E3788" t="s">
        <v>216</v>
      </c>
      <c r="F3788" t="s">
        <v>28</v>
      </c>
      <c r="H3788" t="s">
        <v>10</v>
      </c>
      <c r="I3788" t="s">
        <v>220</v>
      </c>
      <c r="J3788">
        <v>11</v>
      </c>
      <c r="L3788">
        <v>11</v>
      </c>
      <c r="N3788">
        <f>Таблица1[[#This Row],[Часов на заказчика  в работе]]+Таблица1[[#This Row],[Часов на заказчика  дежурство]]</f>
        <v>11</v>
      </c>
      <c r="O37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8" s="9"/>
      <c r="R3788" s="9"/>
      <c r="S3788" s="5">
        <v>1</v>
      </c>
      <c r="T37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табеле]])*S3788,0)</f>
        <v>0</v>
      </c>
      <c r="U3788" s="5">
        <f>IF(Таблица1[[#This Row],[ТТН]]&gt;0,Таблица1[[#This Row],[Ставка за ТТН]]*Таблица1[[#This Row],[ТТН]],0)</f>
        <v>0</v>
      </c>
    </row>
    <row r="3789" spans="1:21" x14ac:dyDescent="0.25">
      <c r="A3789" t="s">
        <v>84</v>
      </c>
      <c r="B3789" s="24">
        <v>25</v>
      </c>
      <c r="C3789" t="s">
        <v>207</v>
      </c>
      <c r="D3789" t="s">
        <v>28</v>
      </c>
      <c r="E3789" t="s">
        <v>216</v>
      </c>
      <c r="F3789" t="s">
        <v>28</v>
      </c>
      <c r="H3789" t="s">
        <v>10</v>
      </c>
      <c r="I3789" t="s">
        <v>220</v>
      </c>
      <c r="J3789">
        <v>11</v>
      </c>
      <c r="L3789">
        <v>11</v>
      </c>
      <c r="N3789">
        <f>Таблица1[[#This Row],[Часов на заказчика  в работе]]+Таблица1[[#This Row],[Часов на заказчика  дежурство]]</f>
        <v>11</v>
      </c>
      <c r="O37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89" s="9"/>
      <c r="R3789" s="9"/>
      <c r="S3789" s="5">
        <v>1</v>
      </c>
      <c r="T37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табеле]])*S3789,0)</f>
        <v>0</v>
      </c>
      <c r="U3789" s="5">
        <f>IF(Таблица1[[#This Row],[ТТН]]&gt;0,Таблица1[[#This Row],[Ставка за ТТН]]*Таблица1[[#This Row],[ТТН]],0)</f>
        <v>0</v>
      </c>
    </row>
    <row r="3790" spans="1:21" x14ac:dyDescent="0.25">
      <c r="A3790" t="s">
        <v>84</v>
      </c>
      <c r="B3790" s="24">
        <v>26</v>
      </c>
      <c r="C3790" t="s">
        <v>207</v>
      </c>
      <c r="D3790" t="s">
        <v>28</v>
      </c>
      <c r="E3790" t="s">
        <v>216</v>
      </c>
      <c r="F3790" t="s">
        <v>28</v>
      </c>
      <c r="H3790" t="s">
        <v>10</v>
      </c>
      <c r="I3790" t="s">
        <v>220</v>
      </c>
      <c r="J3790">
        <v>11</v>
      </c>
      <c r="L3790">
        <v>11</v>
      </c>
      <c r="N3790">
        <f>Таблица1[[#This Row],[Часов на заказчика  в работе]]+Таблица1[[#This Row],[Часов на заказчика  дежурство]]</f>
        <v>11</v>
      </c>
      <c r="O37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0" s="9"/>
      <c r="R3790" s="9"/>
      <c r="S3790" s="5">
        <v>1</v>
      </c>
      <c r="T37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табеле]])*S3790,0)</f>
        <v>0</v>
      </c>
      <c r="U3790" s="5">
        <f>IF(Таблица1[[#This Row],[ТТН]]&gt;0,Таблица1[[#This Row],[Ставка за ТТН]]*Таблица1[[#This Row],[ТТН]],0)</f>
        <v>0</v>
      </c>
    </row>
    <row r="3791" spans="1:21" x14ac:dyDescent="0.25">
      <c r="A3791" t="s">
        <v>84</v>
      </c>
      <c r="B3791" s="24">
        <v>27</v>
      </c>
      <c r="C3791" t="s">
        <v>207</v>
      </c>
      <c r="D3791" t="s">
        <v>28</v>
      </c>
      <c r="E3791" t="s">
        <v>216</v>
      </c>
      <c r="F3791" t="s">
        <v>28</v>
      </c>
      <c r="H3791" t="s">
        <v>10</v>
      </c>
      <c r="I3791" t="s">
        <v>220</v>
      </c>
      <c r="J3791">
        <v>11</v>
      </c>
      <c r="L3791">
        <v>11</v>
      </c>
      <c r="N3791">
        <f>Таблица1[[#This Row],[Часов на заказчика  в работе]]+Таблица1[[#This Row],[Часов на заказчика  дежурство]]</f>
        <v>11</v>
      </c>
      <c r="O37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1" s="9"/>
      <c r="R3791" s="9"/>
      <c r="S3791" s="5">
        <v>1</v>
      </c>
      <c r="T37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табеле]])*S3791,0)</f>
        <v>0</v>
      </c>
      <c r="U3791" s="5">
        <f>IF(Таблица1[[#This Row],[ТТН]]&gt;0,Таблица1[[#This Row],[Ставка за ТТН]]*Таблица1[[#This Row],[ТТН]],0)</f>
        <v>0</v>
      </c>
    </row>
    <row r="3792" spans="1:21" x14ac:dyDescent="0.25">
      <c r="A3792" t="s">
        <v>84</v>
      </c>
      <c r="B3792" s="24">
        <v>28</v>
      </c>
      <c r="C3792" t="s">
        <v>207</v>
      </c>
      <c r="D3792" t="s">
        <v>28</v>
      </c>
      <c r="E3792" t="s">
        <v>216</v>
      </c>
      <c r="F3792" t="s">
        <v>28</v>
      </c>
      <c r="H3792" t="s">
        <v>10</v>
      </c>
      <c r="I3792" t="s">
        <v>220</v>
      </c>
      <c r="J3792">
        <v>11</v>
      </c>
      <c r="L3792">
        <v>11</v>
      </c>
      <c r="N3792">
        <f>Таблица1[[#This Row],[Часов на заказчика  в работе]]+Таблица1[[#This Row],[Часов на заказчика  дежурство]]</f>
        <v>11</v>
      </c>
      <c r="O37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2" s="9"/>
      <c r="R3792" s="9"/>
      <c r="S3792" s="5">
        <v>1</v>
      </c>
      <c r="T37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табеле]])*S3792,0)</f>
        <v>0</v>
      </c>
      <c r="U3792" s="5">
        <f>IF(Таблица1[[#This Row],[ТТН]]&gt;0,Таблица1[[#This Row],[Ставка за ТТН]]*Таблица1[[#This Row],[ТТН]],0)</f>
        <v>0</v>
      </c>
    </row>
    <row r="3793" spans="1:21" x14ac:dyDescent="0.25">
      <c r="A3793" t="s">
        <v>84</v>
      </c>
      <c r="B3793" s="24">
        <v>29</v>
      </c>
      <c r="C3793" t="s">
        <v>207</v>
      </c>
      <c r="D3793" t="s">
        <v>28</v>
      </c>
      <c r="E3793" t="s">
        <v>216</v>
      </c>
      <c r="F3793" t="s">
        <v>28</v>
      </c>
      <c r="H3793" t="s">
        <v>10</v>
      </c>
      <c r="I3793" t="s">
        <v>220</v>
      </c>
      <c r="J3793">
        <v>11</v>
      </c>
      <c r="L3793">
        <v>11</v>
      </c>
      <c r="N3793">
        <f>Таблица1[[#This Row],[Часов на заказчика  в работе]]+Таблица1[[#This Row],[Часов на заказчика  дежурство]]</f>
        <v>11</v>
      </c>
      <c r="O37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3" s="9"/>
      <c r="R3793" s="9"/>
      <c r="S3793" s="5">
        <v>1</v>
      </c>
      <c r="T37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табеле]])*S3793,0)</f>
        <v>0</v>
      </c>
      <c r="U3793" s="5">
        <f>IF(Таблица1[[#This Row],[ТТН]]&gt;0,Таблица1[[#This Row],[Ставка за ТТН]]*Таблица1[[#This Row],[ТТН]],0)</f>
        <v>0</v>
      </c>
    </row>
    <row r="3794" spans="1:21" x14ac:dyDescent="0.25">
      <c r="A3794" t="s">
        <v>84</v>
      </c>
      <c r="B3794" s="24">
        <v>30</v>
      </c>
      <c r="C3794" t="s">
        <v>208</v>
      </c>
      <c r="D3794" t="s">
        <v>28</v>
      </c>
      <c r="E3794" t="s">
        <v>216</v>
      </c>
      <c r="F3794" t="s">
        <v>28</v>
      </c>
      <c r="H3794" t="s">
        <v>10</v>
      </c>
      <c r="I3794" t="s">
        <v>220</v>
      </c>
      <c r="J3794">
        <v>11</v>
      </c>
      <c r="L3794">
        <v>11</v>
      </c>
      <c r="N3794">
        <f>Таблица1[[#This Row],[Часов на заказчика  в работе]]+Таблица1[[#This Row],[Часов на заказчика  дежурство]]</f>
        <v>11</v>
      </c>
      <c r="O37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4" s="9"/>
      <c r="R3794" s="9"/>
      <c r="S3794" s="5">
        <v>1</v>
      </c>
      <c r="T37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табеле]])*S3794,0)</f>
        <v>0</v>
      </c>
      <c r="U3794" s="5">
        <f>IF(Таблица1[[#This Row],[ТТН]]&gt;0,Таблица1[[#This Row],[Ставка за ТТН]]*Таблица1[[#This Row],[ТТН]],0)</f>
        <v>0</v>
      </c>
    </row>
    <row r="3795" spans="1:21" x14ac:dyDescent="0.25">
      <c r="A3795" t="s">
        <v>84</v>
      </c>
      <c r="B3795" s="24">
        <v>1</v>
      </c>
      <c r="C3795" t="s">
        <v>208</v>
      </c>
      <c r="D3795" t="s">
        <v>28</v>
      </c>
      <c r="E3795" t="s">
        <v>216</v>
      </c>
      <c r="F3795" t="s">
        <v>28</v>
      </c>
      <c r="H3795" t="s">
        <v>29</v>
      </c>
      <c r="I3795" t="s">
        <v>217</v>
      </c>
      <c r="J3795">
        <v>8</v>
      </c>
      <c r="N3795">
        <f>Таблица1[[#This Row],[Часов на заказчика  в работе]]+Таблица1[[#This Row],[Часов на заказчика  дежурство]]</f>
        <v>0</v>
      </c>
      <c r="O37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5" s="9"/>
      <c r="R3795" s="9"/>
      <c r="S3795" s="5">
        <v>1</v>
      </c>
      <c r="T37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табеле]])*S3795,0)</f>
        <v>0</v>
      </c>
      <c r="U3795" s="5">
        <f>IF(Таблица1[[#This Row],[ТТН]]&gt;0,Таблица1[[#This Row],[Ставка за ТТН]]*Таблица1[[#This Row],[ТТН]],0)</f>
        <v>0</v>
      </c>
    </row>
    <row r="3796" spans="1:21" x14ac:dyDescent="0.25">
      <c r="A3796" t="s">
        <v>84</v>
      </c>
      <c r="B3796" s="24">
        <v>2</v>
      </c>
      <c r="C3796" t="s">
        <v>208</v>
      </c>
      <c r="D3796" t="s">
        <v>28</v>
      </c>
      <c r="E3796" t="s">
        <v>216</v>
      </c>
      <c r="F3796" t="s">
        <v>28</v>
      </c>
      <c r="H3796" t="s">
        <v>29</v>
      </c>
      <c r="I3796" t="s">
        <v>217</v>
      </c>
      <c r="J3796">
        <v>8</v>
      </c>
      <c r="N3796">
        <f>Таблица1[[#This Row],[Часов на заказчика  в работе]]+Таблица1[[#This Row],[Часов на заказчика  дежурство]]</f>
        <v>0</v>
      </c>
      <c r="O37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6" s="9"/>
      <c r="R3796" s="9"/>
      <c r="S3796" s="5">
        <v>1</v>
      </c>
      <c r="T37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табеле]])*S3796,0)</f>
        <v>0</v>
      </c>
      <c r="U3796" s="5">
        <f>IF(Таблица1[[#This Row],[ТТН]]&gt;0,Таблица1[[#This Row],[Ставка за ТТН]]*Таблица1[[#This Row],[ТТН]],0)</f>
        <v>0</v>
      </c>
    </row>
    <row r="3797" spans="1:21" x14ac:dyDescent="0.25">
      <c r="A3797" t="s">
        <v>84</v>
      </c>
      <c r="B3797" s="24">
        <v>3</v>
      </c>
      <c r="C3797" t="s">
        <v>208</v>
      </c>
      <c r="D3797" t="s">
        <v>28</v>
      </c>
      <c r="E3797" t="s">
        <v>216</v>
      </c>
      <c r="F3797" t="s">
        <v>28</v>
      </c>
      <c r="H3797" t="s">
        <v>81</v>
      </c>
      <c r="I3797" t="s">
        <v>217</v>
      </c>
      <c r="J3797">
        <v>1</v>
      </c>
      <c r="N3797">
        <f>Таблица1[[#This Row],[Часов на заказчика  в работе]]+Таблица1[[#This Row],[Часов на заказчика  дежурство]]</f>
        <v>0</v>
      </c>
      <c r="O37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7" s="9"/>
      <c r="R3797" s="9"/>
      <c r="S3797" s="5">
        <v>1</v>
      </c>
      <c r="T37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табеле]])*S3797,0)</f>
        <v>0</v>
      </c>
      <c r="U3797" s="5">
        <f>IF(Таблица1[[#This Row],[ТТН]]&gt;0,Таблица1[[#This Row],[Ставка за ТТН]]*Таблица1[[#This Row],[ТТН]],0)</f>
        <v>0</v>
      </c>
    </row>
    <row r="3798" spans="1:21" x14ac:dyDescent="0.25">
      <c r="A3798" t="s">
        <v>84</v>
      </c>
      <c r="B3798" s="24">
        <v>4</v>
      </c>
      <c r="C3798" t="s">
        <v>208</v>
      </c>
      <c r="D3798" t="s">
        <v>28</v>
      </c>
      <c r="E3798" t="s">
        <v>216</v>
      </c>
      <c r="F3798" t="s">
        <v>28</v>
      </c>
      <c r="H3798" t="s">
        <v>81</v>
      </c>
      <c r="I3798" t="s">
        <v>217</v>
      </c>
      <c r="J3798">
        <v>1</v>
      </c>
      <c r="N3798">
        <f>Таблица1[[#This Row],[Часов на заказчика  в работе]]+Таблица1[[#This Row],[Часов на заказчика  дежурство]]</f>
        <v>0</v>
      </c>
      <c r="O37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8" s="9"/>
      <c r="R3798" s="9"/>
      <c r="S3798" s="5">
        <v>1</v>
      </c>
      <c r="T37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табеле]])*S3798,0)</f>
        <v>0</v>
      </c>
      <c r="U3798" s="5">
        <f>IF(Таблица1[[#This Row],[ТТН]]&gt;0,Таблица1[[#This Row],[Ставка за ТТН]]*Таблица1[[#This Row],[ТТН]],0)</f>
        <v>0</v>
      </c>
    </row>
    <row r="3799" spans="1:21" x14ac:dyDescent="0.25">
      <c r="A3799" t="s">
        <v>84</v>
      </c>
      <c r="B3799" s="24">
        <v>5</v>
      </c>
      <c r="C3799" t="s">
        <v>208</v>
      </c>
      <c r="D3799" t="s">
        <v>28</v>
      </c>
      <c r="E3799" t="s">
        <v>216</v>
      </c>
      <c r="F3799" t="s">
        <v>28</v>
      </c>
      <c r="H3799" t="s">
        <v>81</v>
      </c>
      <c r="I3799" t="s">
        <v>217</v>
      </c>
      <c r="J3799">
        <v>1</v>
      </c>
      <c r="N3799">
        <f>Таблица1[[#This Row],[Часов на заказчика  в работе]]+Таблица1[[#This Row],[Часов на заказчика  дежурство]]</f>
        <v>0</v>
      </c>
      <c r="O37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799" s="9"/>
      <c r="R3799" s="9"/>
      <c r="S3799" s="5">
        <v>1</v>
      </c>
      <c r="T37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табеле]])*S3799,0)</f>
        <v>0</v>
      </c>
      <c r="U3799" s="5">
        <f>IF(Таблица1[[#This Row],[ТТН]]&gt;0,Таблица1[[#This Row],[Ставка за ТТН]]*Таблица1[[#This Row],[ТТН]],0)</f>
        <v>0</v>
      </c>
    </row>
    <row r="3800" spans="1:21" x14ac:dyDescent="0.25">
      <c r="A3800" t="s">
        <v>84</v>
      </c>
      <c r="B3800" s="24">
        <v>6</v>
      </c>
      <c r="C3800" t="s">
        <v>208</v>
      </c>
      <c r="D3800" t="s">
        <v>28</v>
      </c>
      <c r="E3800" t="s">
        <v>216</v>
      </c>
      <c r="F3800" t="s">
        <v>28</v>
      </c>
      <c r="H3800" t="s">
        <v>81</v>
      </c>
      <c r="I3800" t="s">
        <v>217</v>
      </c>
      <c r="J3800">
        <v>1</v>
      </c>
      <c r="N3800">
        <f>Таблица1[[#This Row],[Часов на заказчика  в работе]]+Таблица1[[#This Row],[Часов на заказчика  дежурство]]</f>
        <v>0</v>
      </c>
      <c r="O38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0" s="9"/>
      <c r="R3800" s="9"/>
      <c r="S3800" s="5">
        <v>1</v>
      </c>
      <c r="T38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табеле]])*S3800,0)</f>
        <v>0</v>
      </c>
      <c r="U3800" s="5">
        <f>IF(Таблица1[[#This Row],[ТТН]]&gt;0,Таблица1[[#This Row],[Ставка за ТТН]]*Таблица1[[#This Row],[ТТН]],0)</f>
        <v>0</v>
      </c>
    </row>
    <row r="3801" spans="1:21" x14ac:dyDescent="0.25">
      <c r="A3801" t="s">
        <v>84</v>
      </c>
      <c r="B3801" s="24">
        <v>7</v>
      </c>
      <c r="C3801" t="s">
        <v>208</v>
      </c>
      <c r="D3801" t="s">
        <v>28</v>
      </c>
      <c r="E3801" t="s">
        <v>216</v>
      </c>
      <c r="F3801" t="s">
        <v>28</v>
      </c>
      <c r="H3801" t="s">
        <v>81</v>
      </c>
      <c r="I3801" t="s">
        <v>217</v>
      </c>
      <c r="J3801">
        <v>1</v>
      </c>
      <c r="N3801">
        <f>Таблица1[[#This Row],[Часов на заказчика  в работе]]+Таблица1[[#This Row],[Часов на заказчика  дежурство]]</f>
        <v>0</v>
      </c>
      <c r="O38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1" s="9"/>
      <c r="R3801" s="9"/>
      <c r="S3801" s="5">
        <v>1</v>
      </c>
      <c r="T38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табеле]])*S3801,0)</f>
        <v>0</v>
      </c>
      <c r="U3801" s="5">
        <f>IF(Таблица1[[#This Row],[ТТН]]&gt;0,Таблица1[[#This Row],[Ставка за ТТН]]*Таблица1[[#This Row],[ТТН]],0)</f>
        <v>0</v>
      </c>
    </row>
    <row r="3802" spans="1:21" x14ac:dyDescent="0.25">
      <c r="A3802" t="s">
        <v>84</v>
      </c>
      <c r="B3802" s="24">
        <v>8</v>
      </c>
      <c r="C3802" t="s">
        <v>208</v>
      </c>
      <c r="D3802" t="s">
        <v>28</v>
      </c>
      <c r="E3802" t="s">
        <v>216</v>
      </c>
      <c r="F3802" t="s">
        <v>28</v>
      </c>
      <c r="H3802" t="s">
        <v>81</v>
      </c>
      <c r="I3802" t="s">
        <v>217</v>
      </c>
      <c r="J3802">
        <v>1</v>
      </c>
      <c r="N3802">
        <f>Таблица1[[#This Row],[Часов на заказчика  в работе]]+Таблица1[[#This Row],[Часов на заказчика  дежурство]]</f>
        <v>0</v>
      </c>
      <c r="O38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2" s="9"/>
      <c r="R3802" s="9"/>
      <c r="S3802" s="5">
        <v>1</v>
      </c>
      <c r="T38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табеле]])*S3802,0)</f>
        <v>0</v>
      </c>
      <c r="U3802" s="5">
        <f>IF(Таблица1[[#This Row],[ТТН]]&gt;0,Таблица1[[#This Row],[Ставка за ТТН]]*Таблица1[[#This Row],[ТТН]],0)</f>
        <v>0</v>
      </c>
    </row>
    <row r="3803" spans="1:21" x14ac:dyDescent="0.25">
      <c r="A3803" t="s">
        <v>84</v>
      </c>
      <c r="B3803" s="24">
        <v>9</v>
      </c>
      <c r="C3803" t="s">
        <v>208</v>
      </c>
      <c r="D3803" t="s">
        <v>28</v>
      </c>
      <c r="E3803" t="s">
        <v>216</v>
      </c>
      <c r="F3803" t="s">
        <v>28</v>
      </c>
      <c r="H3803" t="s">
        <v>81</v>
      </c>
      <c r="I3803" t="s">
        <v>217</v>
      </c>
      <c r="J3803">
        <v>1</v>
      </c>
      <c r="N3803">
        <f>Таблица1[[#This Row],[Часов на заказчика  в работе]]+Таблица1[[#This Row],[Часов на заказчика  дежурство]]</f>
        <v>0</v>
      </c>
      <c r="O38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3" s="9"/>
      <c r="R3803" s="9"/>
      <c r="S3803" s="5">
        <v>1</v>
      </c>
      <c r="T38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табеле]])*S3803,0)</f>
        <v>0</v>
      </c>
      <c r="U3803" s="5">
        <f>IF(Таблица1[[#This Row],[ТТН]]&gt;0,Таблица1[[#This Row],[Ставка за ТТН]]*Таблица1[[#This Row],[ТТН]],0)</f>
        <v>0</v>
      </c>
    </row>
    <row r="3804" spans="1:21" x14ac:dyDescent="0.25">
      <c r="A3804" t="s">
        <v>84</v>
      </c>
      <c r="B3804" s="24">
        <v>10</v>
      </c>
      <c r="C3804" t="s">
        <v>208</v>
      </c>
      <c r="D3804" t="s">
        <v>28</v>
      </c>
      <c r="E3804" t="s">
        <v>216</v>
      </c>
      <c r="F3804" t="s">
        <v>28</v>
      </c>
      <c r="H3804" t="s">
        <v>81</v>
      </c>
      <c r="I3804" t="s">
        <v>217</v>
      </c>
      <c r="J3804">
        <v>1</v>
      </c>
      <c r="N3804">
        <f>Таблица1[[#This Row],[Часов на заказчика  в работе]]+Таблица1[[#This Row],[Часов на заказчика  дежурство]]</f>
        <v>0</v>
      </c>
      <c r="O38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4" s="9"/>
      <c r="R3804" s="9"/>
      <c r="S3804" s="5">
        <v>1</v>
      </c>
      <c r="T38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табеле]])*S3804,0)</f>
        <v>0</v>
      </c>
      <c r="U3804" s="5">
        <f>IF(Таблица1[[#This Row],[ТТН]]&gt;0,Таблица1[[#This Row],[Ставка за ТТН]]*Таблица1[[#This Row],[ТТН]],0)</f>
        <v>0</v>
      </c>
    </row>
    <row r="3805" spans="1:21" x14ac:dyDescent="0.25">
      <c r="A3805" t="s">
        <v>84</v>
      </c>
      <c r="B3805" s="24">
        <v>11</v>
      </c>
      <c r="C3805" t="s">
        <v>208</v>
      </c>
      <c r="D3805" t="s">
        <v>28</v>
      </c>
      <c r="E3805" t="s">
        <v>216</v>
      </c>
      <c r="F3805" t="s">
        <v>28</v>
      </c>
      <c r="H3805" t="s">
        <v>81</v>
      </c>
      <c r="I3805" t="s">
        <v>217</v>
      </c>
      <c r="J3805">
        <v>1</v>
      </c>
      <c r="N3805">
        <f>Таблица1[[#This Row],[Часов на заказчика  в работе]]+Таблица1[[#This Row],[Часов на заказчика  дежурство]]</f>
        <v>0</v>
      </c>
      <c r="O38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5" s="9"/>
      <c r="R3805" s="9"/>
      <c r="S3805" s="5">
        <v>1</v>
      </c>
      <c r="T38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табеле]])*S3805,0)</f>
        <v>0</v>
      </c>
      <c r="U3805" s="5">
        <f>IF(Таблица1[[#This Row],[ТТН]]&gt;0,Таблица1[[#This Row],[Ставка за ТТН]]*Таблица1[[#This Row],[ТТН]],0)</f>
        <v>0</v>
      </c>
    </row>
    <row r="3806" spans="1:21" x14ac:dyDescent="0.25">
      <c r="A3806" t="s">
        <v>84</v>
      </c>
      <c r="B3806" s="24">
        <v>12</v>
      </c>
      <c r="C3806" t="s">
        <v>208</v>
      </c>
      <c r="D3806" t="s">
        <v>28</v>
      </c>
      <c r="E3806" t="s">
        <v>216</v>
      </c>
      <c r="F3806" t="s">
        <v>28</v>
      </c>
      <c r="H3806" t="s">
        <v>81</v>
      </c>
      <c r="I3806" t="s">
        <v>217</v>
      </c>
      <c r="J3806">
        <v>1</v>
      </c>
      <c r="N3806">
        <f>Таблица1[[#This Row],[Часов на заказчика  в работе]]+Таблица1[[#This Row],[Часов на заказчика  дежурство]]</f>
        <v>0</v>
      </c>
      <c r="O38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6" s="9"/>
      <c r="R3806" s="9"/>
      <c r="S3806" s="5">
        <v>1</v>
      </c>
      <c r="T38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табеле]])*S3806,0)</f>
        <v>0</v>
      </c>
      <c r="U3806" s="5">
        <f>IF(Таблица1[[#This Row],[ТТН]]&gt;0,Таблица1[[#This Row],[Ставка за ТТН]]*Таблица1[[#This Row],[ТТН]],0)</f>
        <v>0</v>
      </c>
    </row>
    <row r="3807" spans="1:21" x14ac:dyDescent="0.25">
      <c r="A3807" t="s">
        <v>84</v>
      </c>
      <c r="B3807" s="24">
        <v>13</v>
      </c>
      <c r="C3807" t="s">
        <v>208</v>
      </c>
      <c r="D3807" t="s">
        <v>28</v>
      </c>
      <c r="E3807" t="s">
        <v>216</v>
      </c>
      <c r="F3807" t="s">
        <v>28</v>
      </c>
      <c r="H3807" t="s">
        <v>81</v>
      </c>
      <c r="I3807" t="s">
        <v>217</v>
      </c>
      <c r="J3807">
        <v>1</v>
      </c>
      <c r="N3807">
        <f>Таблица1[[#This Row],[Часов на заказчика  в работе]]+Таблица1[[#This Row],[Часов на заказчика  дежурство]]</f>
        <v>0</v>
      </c>
      <c r="O38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7" s="9"/>
      <c r="R3807" s="9"/>
      <c r="S3807" s="5">
        <v>1</v>
      </c>
      <c r="T38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табеле]])*S3807,0)</f>
        <v>0</v>
      </c>
      <c r="U3807" s="5">
        <f>IF(Таблица1[[#This Row],[ТТН]]&gt;0,Таблица1[[#This Row],[Ставка за ТТН]]*Таблица1[[#This Row],[ТТН]],0)</f>
        <v>0</v>
      </c>
    </row>
    <row r="3808" spans="1:21" x14ac:dyDescent="0.25">
      <c r="A3808" t="s">
        <v>84</v>
      </c>
      <c r="B3808" s="24">
        <v>14</v>
      </c>
      <c r="C3808" t="s">
        <v>208</v>
      </c>
      <c r="D3808" t="s">
        <v>28</v>
      </c>
      <c r="E3808" t="s">
        <v>216</v>
      </c>
      <c r="F3808" t="s">
        <v>28</v>
      </c>
      <c r="H3808" t="s">
        <v>81</v>
      </c>
      <c r="I3808" t="s">
        <v>217</v>
      </c>
      <c r="J3808">
        <v>1</v>
      </c>
      <c r="N3808">
        <f>Таблица1[[#This Row],[Часов на заказчика  в работе]]+Таблица1[[#This Row],[Часов на заказчика  дежурство]]</f>
        <v>0</v>
      </c>
      <c r="O38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8" s="9"/>
      <c r="R3808" s="9"/>
      <c r="S3808" s="5">
        <v>1</v>
      </c>
      <c r="T38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табеле]])*S3808,0)</f>
        <v>0</v>
      </c>
      <c r="U3808" s="5">
        <f>IF(Таблица1[[#This Row],[ТТН]]&gt;0,Таблица1[[#This Row],[Ставка за ТТН]]*Таблица1[[#This Row],[ТТН]],0)</f>
        <v>0</v>
      </c>
    </row>
    <row r="3809" spans="1:21" x14ac:dyDescent="0.25">
      <c r="A3809" t="s">
        <v>84</v>
      </c>
      <c r="B3809" s="24">
        <v>15</v>
      </c>
      <c r="C3809" t="s">
        <v>208</v>
      </c>
      <c r="D3809" t="s">
        <v>28</v>
      </c>
      <c r="E3809" t="s">
        <v>216</v>
      </c>
      <c r="F3809" t="s">
        <v>28</v>
      </c>
      <c r="H3809" t="s">
        <v>81</v>
      </c>
      <c r="I3809" t="s">
        <v>217</v>
      </c>
      <c r="J3809">
        <v>1</v>
      </c>
      <c r="N3809">
        <f>Таблица1[[#This Row],[Часов на заказчика  в работе]]+Таблица1[[#This Row],[Часов на заказчика  дежурство]]</f>
        <v>0</v>
      </c>
      <c r="O38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09" s="9"/>
      <c r="R3809" s="9"/>
      <c r="S3809" s="5">
        <v>1</v>
      </c>
      <c r="T38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табеле]])*S3809,0)</f>
        <v>0</v>
      </c>
      <c r="U3809" s="5">
        <f>IF(Таблица1[[#This Row],[ТТН]]&gt;0,Таблица1[[#This Row],[Ставка за ТТН]]*Таблица1[[#This Row],[ТТН]],0)</f>
        <v>0</v>
      </c>
    </row>
    <row r="3810" spans="1:21" x14ac:dyDescent="0.25">
      <c r="A3810" t="s">
        <v>84</v>
      </c>
      <c r="B3810" s="24">
        <v>16</v>
      </c>
      <c r="C3810" t="s">
        <v>208</v>
      </c>
      <c r="D3810" t="s">
        <v>28</v>
      </c>
      <c r="E3810" t="s">
        <v>216</v>
      </c>
      <c r="F3810" t="s">
        <v>28</v>
      </c>
      <c r="H3810" t="s">
        <v>81</v>
      </c>
      <c r="I3810" t="s">
        <v>217</v>
      </c>
      <c r="J3810">
        <v>1</v>
      </c>
      <c r="N3810">
        <f>Таблица1[[#This Row],[Часов на заказчика  в работе]]+Таблица1[[#This Row],[Часов на заказчика  дежурство]]</f>
        <v>0</v>
      </c>
      <c r="O38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0" s="9"/>
      <c r="R3810" s="9"/>
      <c r="S3810" s="5">
        <v>1</v>
      </c>
      <c r="T38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табеле]])*S3810,0)</f>
        <v>0</v>
      </c>
      <c r="U3810" s="5">
        <f>IF(Таблица1[[#This Row],[ТТН]]&gt;0,Таблица1[[#This Row],[Ставка за ТТН]]*Таблица1[[#This Row],[ТТН]],0)</f>
        <v>0</v>
      </c>
    </row>
    <row r="3811" spans="1:21" x14ac:dyDescent="0.25">
      <c r="A3811" t="s">
        <v>84</v>
      </c>
      <c r="B3811" s="24">
        <v>17</v>
      </c>
      <c r="C3811" t="s">
        <v>208</v>
      </c>
      <c r="D3811" t="s">
        <v>28</v>
      </c>
      <c r="E3811" t="s">
        <v>216</v>
      </c>
      <c r="F3811" t="s">
        <v>28</v>
      </c>
      <c r="H3811" t="s">
        <v>81</v>
      </c>
      <c r="I3811" t="s">
        <v>217</v>
      </c>
      <c r="J3811">
        <v>1</v>
      </c>
      <c r="N3811">
        <f>Таблица1[[#This Row],[Часов на заказчика  в работе]]+Таблица1[[#This Row],[Часов на заказчика  дежурство]]</f>
        <v>0</v>
      </c>
      <c r="O38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1" s="9"/>
      <c r="R3811" s="9"/>
      <c r="S3811" s="5">
        <v>1</v>
      </c>
      <c r="T38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табеле]])*S3811,0)</f>
        <v>0</v>
      </c>
      <c r="U3811" s="5">
        <f>IF(Таблица1[[#This Row],[ТТН]]&gt;0,Таблица1[[#This Row],[Ставка за ТТН]]*Таблица1[[#This Row],[ТТН]],0)</f>
        <v>0</v>
      </c>
    </row>
    <row r="3812" spans="1:21" x14ac:dyDescent="0.25">
      <c r="A3812" t="s">
        <v>84</v>
      </c>
      <c r="B3812" s="24">
        <v>18</v>
      </c>
      <c r="C3812" t="s">
        <v>208</v>
      </c>
      <c r="D3812" t="s">
        <v>28</v>
      </c>
      <c r="E3812" t="s">
        <v>216</v>
      </c>
      <c r="F3812" t="s">
        <v>28</v>
      </c>
      <c r="H3812" t="s">
        <v>81</v>
      </c>
      <c r="I3812" t="s">
        <v>217</v>
      </c>
      <c r="J3812">
        <v>1</v>
      </c>
      <c r="N3812">
        <f>Таблица1[[#This Row],[Часов на заказчика  в работе]]+Таблица1[[#This Row],[Часов на заказчика  дежурство]]</f>
        <v>0</v>
      </c>
      <c r="O38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2" s="9"/>
      <c r="R3812" s="9"/>
      <c r="S3812" s="5">
        <v>1</v>
      </c>
      <c r="T38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табеле]])*S3812,0)</f>
        <v>0</v>
      </c>
      <c r="U3812" s="5">
        <f>IF(Таблица1[[#This Row],[ТТН]]&gt;0,Таблица1[[#This Row],[Ставка за ТТН]]*Таблица1[[#This Row],[ТТН]],0)</f>
        <v>0</v>
      </c>
    </row>
    <row r="3813" spans="1:21" x14ac:dyDescent="0.25">
      <c r="A3813" t="s">
        <v>84</v>
      </c>
      <c r="B3813" s="24">
        <v>19</v>
      </c>
      <c r="C3813" t="s">
        <v>208</v>
      </c>
      <c r="D3813" t="s">
        <v>28</v>
      </c>
      <c r="E3813" t="s">
        <v>216</v>
      </c>
      <c r="F3813" t="s">
        <v>28</v>
      </c>
      <c r="H3813" t="s">
        <v>81</v>
      </c>
      <c r="I3813" t="s">
        <v>217</v>
      </c>
      <c r="J3813">
        <v>1</v>
      </c>
      <c r="N3813">
        <f>Таблица1[[#This Row],[Часов на заказчика  в работе]]+Таблица1[[#This Row],[Часов на заказчика  дежурство]]</f>
        <v>0</v>
      </c>
      <c r="O38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3" s="9"/>
      <c r="R3813" s="9"/>
      <c r="S3813" s="5">
        <v>1</v>
      </c>
      <c r="T38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табеле]])*S3813,0)</f>
        <v>0</v>
      </c>
      <c r="U3813" s="5">
        <f>IF(Таблица1[[#This Row],[ТТН]]&gt;0,Таблица1[[#This Row],[Ставка за ТТН]]*Таблица1[[#This Row],[ТТН]],0)</f>
        <v>0</v>
      </c>
    </row>
    <row r="3814" spans="1:21" x14ac:dyDescent="0.25">
      <c r="A3814" t="s">
        <v>84</v>
      </c>
      <c r="B3814" s="24">
        <v>20</v>
      </c>
      <c r="C3814" t="s">
        <v>208</v>
      </c>
      <c r="D3814" t="s">
        <v>28</v>
      </c>
      <c r="E3814" t="s">
        <v>216</v>
      </c>
      <c r="F3814" t="s">
        <v>28</v>
      </c>
      <c r="H3814" t="s">
        <v>81</v>
      </c>
      <c r="I3814" t="s">
        <v>217</v>
      </c>
      <c r="J3814">
        <v>1</v>
      </c>
      <c r="N3814">
        <f>Таблица1[[#This Row],[Часов на заказчика  в работе]]+Таблица1[[#This Row],[Часов на заказчика  дежурство]]</f>
        <v>0</v>
      </c>
      <c r="O38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4" s="9"/>
      <c r="R3814" s="9"/>
      <c r="S3814" s="5">
        <v>1</v>
      </c>
      <c r="T38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табеле]])*S3814,0)</f>
        <v>0</v>
      </c>
      <c r="U3814" s="5">
        <f>IF(Таблица1[[#This Row],[ТТН]]&gt;0,Таблица1[[#This Row],[Ставка за ТТН]]*Таблица1[[#This Row],[ТТН]],0)</f>
        <v>0</v>
      </c>
    </row>
    <row r="3815" spans="1:21" x14ac:dyDescent="0.25">
      <c r="A3815" t="s">
        <v>84</v>
      </c>
      <c r="B3815" s="24">
        <v>21</v>
      </c>
      <c r="C3815" t="s">
        <v>208</v>
      </c>
      <c r="D3815" t="s">
        <v>28</v>
      </c>
      <c r="E3815" t="s">
        <v>216</v>
      </c>
      <c r="F3815" t="s">
        <v>28</v>
      </c>
      <c r="H3815" t="s">
        <v>81</v>
      </c>
      <c r="I3815" t="s">
        <v>217</v>
      </c>
      <c r="J3815">
        <v>1</v>
      </c>
      <c r="N3815">
        <f>Таблица1[[#This Row],[Часов на заказчика  в работе]]+Таблица1[[#This Row],[Часов на заказчика  дежурство]]</f>
        <v>0</v>
      </c>
      <c r="O38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5" s="9"/>
      <c r="R3815" s="9"/>
      <c r="S3815" s="5">
        <v>1</v>
      </c>
      <c r="T38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табеле]])*S3815,0)</f>
        <v>0</v>
      </c>
      <c r="U3815" s="5">
        <f>IF(Таблица1[[#This Row],[ТТН]]&gt;0,Таблица1[[#This Row],[Ставка за ТТН]]*Таблица1[[#This Row],[ТТН]],0)</f>
        <v>0</v>
      </c>
    </row>
    <row r="3816" spans="1:21" x14ac:dyDescent="0.25">
      <c r="A3816" t="s">
        <v>84</v>
      </c>
      <c r="B3816" s="24">
        <v>22</v>
      </c>
      <c r="C3816" t="s">
        <v>208</v>
      </c>
      <c r="D3816" t="s">
        <v>28</v>
      </c>
      <c r="E3816" t="s">
        <v>216</v>
      </c>
      <c r="F3816" t="s">
        <v>28</v>
      </c>
      <c r="H3816" t="s">
        <v>81</v>
      </c>
      <c r="I3816" t="s">
        <v>217</v>
      </c>
      <c r="J3816">
        <v>1</v>
      </c>
      <c r="N3816">
        <f>Таблица1[[#This Row],[Часов на заказчика  в работе]]+Таблица1[[#This Row],[Часов на заказчика  дежурство]]</f>
        <v>0</v>
      </c>
      <c r="O38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6" s="9"/>
      <c r="R3816" s="9"/>
      <c r="S3816" s="5">
        <v>1</v>
      </c>
      <c r="T38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табеле]])*S3816,0)</f>
        <v>0</v>
      </c>
      <c r="U3816" s="5">
        <f>IF(Таблица1[[#This Row],[ТТН]]&gt;0,Таблица1[[#This Row],[Ставка за ТТН]]*Таблица1[[#This Row],[ТТН]],0)</f>
        <v>0</v>
      </c>
    </row>
    <row r="3817" spans="1:21" x14ac:dyDescent="0.25">
      <c r="A3817" t="s">
        <v>84</v>
      </c>
      <c r="B3817" s="24">
        <v>23</v>
      </c>
      <c r="C3817" t="s">
        <v>208</v>
      </c>
      <c r="D3817" t="s">
        <v>28</v>
      </c>
      <c r="E3817" t="s">
        <v>216</v>
      </c>
      <c r="F3817" t="s">
        <v>28</v>
      </c>
      <c r="H3817" t="s">
        <v>81</v>
      </c>
      <c r="I3817" t="s">
        <v>217</v>
      </c>
      <c r="J3817">
        <v>1</v>
      </c>
      <c r="N3817">
        <f>Таблица1[[#This Row],[Часов на заказчика  в работе]]+Таблица1[[#This Row],[Часов на заказчика  дежурство]]</f>
        <v>0</v>
      </c>
      <c r="O38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7" s="9"/>
      <c r="R3817" s="9"/>
      <c r="S3817" s="5">
        <v>1</v>
      </c>
      <c r="T38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табеле]])*S3817,0)</f>
        <v>0</v>
      </c>
      <c r="U3817" s="5">
        <f>IF(Таблица1[[#This Row],[ТТН]]&gt;0,Таблица1[[#This Row],[Ставка за ТТН]]*Таблица1[[#This Row],[ТТН]],0)</f>
        <v>0</v>
      </c>
    </row>
    <row r="3818" spans="1:21" x14ac:dyDescent="0.25">
      <c r="A3818" t="s">
        <v>84</v>
      </c>
      <c r="B3818" s="24">
        <v>24</v>
      </c>
      <c r="C3818" t="s">
        <v>208</v>
      </c>
      <c r="D3818" t="s">
        <v>28</v>
      </c>
      <c r="E3818" t="s">
        <v>216</v>
      </c>
      <c r="F3818" t="s">
        <v>28</v>
      </c>
      <c r="H3818" t="s">
        <v>81</v>
      </c>
      <c r="I3818" t="s">
        <v>217</v>
      </c>
      <c r="J3818">
        <v>1</v>
      </c>
      <c r="N3818">
        <f>Таблица1[[#This Row],[Часов на заказчика  в работе]]+Таблица1[[#This Row],[Часов на заказчика  дежурство]]</f>
        <v>0</v>
      </c>
      <c r="O38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8" s="9"/>
      <c r="R3818" s="9"/>
      <c r="S3818" s="5">
        <v>1</v>
      </c>
      <c r="T38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табеле]])*S3818,0)</f>
        <v>0</v>
      </c>
      <c r="U3818" s="5">
        <f>IF(Таблица1[[#This Row],[ТТН]]&gt;0,Таблица1[[#This Row],[Ставка за ТТН]]*Таблица1[[#This Row],[ТТН]],0)</f>
        <v>0</v>
      </c>
    </row>
    <row r="3819" spans="1:21" x14ac:dyDescent="0.25">
      <c r="A3819" t="s">
        <v>84</v>
      </c>
      <c r="B3819" s="24">
        <v>25</v>
      </c>
      <c r="C3819" t="s">
        <v>208</v>
      </c>
      <c r="D3819" t="s">
        <v>28</v>
      </c>
      <c r="E3819" t="s">
        <v>216</v>
      </c>
      <c r="F3819" t="s">
        <v>28</v>
      </c>
      <c r="H3819" t="s">
        <v>81</v>
      </c>
      <c r="I3819" t="s">
        <v>217</v>
      </c>
      <c r="J3819">
        <v>1</v>
      </c>
      <c r="N3819">
        <f>Таблица1[[#This Row],[Часов на заказчика  в работе]]+Таблица1[[#This Row],[Часов на заказчика  дежурство]]</f>
        <v>0</v>
      </c>
      <c r="O38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19" s="9"/>
      <c r="R3819" s="9"/>
      <c r="S3819" s="5">
        <v>1</v>
      </c>
      <c r="T38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табеле]])*S3819,0)</f>
        <v>0</v>
      </c>
      <c r="U3819" s="5">
        <f>IF(Таблица1[[#This Row],[ТТН]]&gt;0,Таблица1[[#This Row],[Ставка за ТТН]]*Таблица1[[#This Row],[ТТН]],0)</f>
        <v>0</v>
      </c>
    </row>
    <row r="3820" spans="1:21" x14ac:dyDescent="0.25">
      <c r="A3820" t="s">
        <v>84</v>
      </c>
      <c r="B3820" s="24">
        <v>26</v>
      </c>
      <c r="C3820" t="s">
        <v>208</v>
      </c>
      <c r="D3820" t="s">
        <v>28</v>
      </c>
      <c r="E3820" t="s">
        <v>216</v>
      </c>
      <c r="F3820" t="s">
        <v>28</v>
      </c>
      <c r="H3820" t="s">
        <v>81</v>
      </c>
      <c r="I3820" t="s">
        <v>217</v>
      </c>
      <c r="J3820">
        <v>1</v>
      </c>
      <c r="N3820">
        <f>Таблица1[[#This Row],[Часов на заказчика  в работе]]+Таблица1[[#This Row],[Часов на заказчика  дежурство]]</f>
        <v>0</v>
      </c>
      <c r="O38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0" s="9"/>
      <c r="R3820" s="9"/>
      <c r="S3820" s="5">
        <v>1</v>
      </c>
      <c r="T38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табеле]])*S3820,0)</f>
        <v>0</v>
      </c>
      <c r="U3820" s="5">
        <f>IF(Таблица1[[#This Row],[ТТН]]&gt;0,Таблица1[[#This Row],[Ставка за ТТН]]*Таблица1[[#This Row],[ТТН]],0)</f>
        <v>0</v>
      </c>
    </row>
    <row r="3821" spans="1:21" x14ac:dyDescent="0.25">
      <c r="A3821" t="s">
        <v>84</v>
      </c>
      <c r="B3821" s="24">
        <v>27</v>
      </c>
      <c r="C3821" t="s">
        <v>208</v>
      </c>
      <c r="D3821" t="s">
        <v>28</v>
      </c>
      <c r="E3821" t="s">
        <v>216</v>
      </c>
      <c r="F3821" t="s">
        <v>28</v>
      </c>
      <c r="H3821" t="s">
        <v>81</v>
      </c>
      <c r="I3821" t="s">
        <v>217</v>
      </c>
      <c r="J3821">
        <v>1</v>
      </c>
      <c r="N3821">
        <f>Таблица1[[#This Row],[Часов на заказчика  в работе]]+Таблица1[[#This Row],[Часов на заказчика  дежурство]]</f>
        <v>0</v>
      </c>
      <c r="O38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1" s="9"/>
      <c r="R3821" s="9"/>
      <c r="S3821" s="5">
        <v>1</v>
      </c>
      <c r="T38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табеле]])*S3821,0)</f>
        <v>0</v>
      </c>
      <c r="U3821" s="5">
        <f>IF(Таблица1[[#This Row],[ТТН]]&gt;0,Таблица1[[#This Row],[Ставка за ТТН]]*Таблица1[[#This Row],[ТТН]],0)</f>
        <v>0</v>
      </c>
    </row>
    <row r="3822" spans="1:21" x14ac:dyDescent="0.25">
      <c r="A3822" t="s">
        <v>84</v>
      </c>
      <c r="B3822" s="24">
        <v>28</v>
      </c>
      <c r="C3822" t="s">
        <v>208</v>
      </c>
      <c r="D3822" t="s">
        <v>28</v>
      </c>
      <c r="E3822" t="s">
        <v>216</v>
      </c>
      <c r="F3822" t="s">
        <v>28</v>
      </c>
      <c r="H3822" t="s">
        <v>81</v>
      </c>
      <c r="I3822" t="s">
        <v>217</v>
      </c>
      <c r="J3822">
        <v>1</v>
      </c>
      <c r="N3822">
        <f>Таблица1[[#This Row],[Часов на заказчика  в работе]]+Таблица1[[#This Row],[Часов на заказчика  дежурство]]</f>
        <v>0</v>
      </c>
      <c r="O38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2" s="9"/>
      <c r="R3822" s="9"/>
      <c r="S3822" s="5">
        <v>1</v>
      </c>
      <c r="T38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табеле]])*S3822,0)</f>
        <v>0</v>
      </c>
      <c r="U3822" s="5">
        <f>IF(Таблица1[[#This Row],[ТТН]]&gt;0,Таблица1[[#This Row],[Ставка за ТТН]]*Таблица1[[#This Row],[ТТН]],0)</f>
        <v>0</v>
      </c>
    </row>
    <row r="3823" spans="1:21" x14ac:dyDescent="0.25">
      <c r="A3823" t="s">
        <v>84</v>
      </c>
      <c r="B3823" s="24">
        <v>29</v>
      </c>
      <c r="C3823" t="s">
        <v>208</v>
      </c>
      <c r="D3823" t="s">
        <v>28</v>
      </c>
      <c r="E3823" t="s">
        <v>216</v>
      </c>
      <c r="F3823" t="s">
        <v>28</v>
      </c>
      <c r="H3823" t="s">
        <v>81</v>
      </c>
      <c r="I3823" t="s">
        <v>217</v>
      </c>
      <c r="J3823">
        <v>1</v>
      </c>
      <c r="N3823">
        <f>Таблица1[[#This Row],[Часов на заказчика  в работе]]+Таблица1[[#This Row],[Часов на заказчика  дежурство]]</f>
        <v>0</v>
      </c>
      <c r="O38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3" s="9"/>
      <c r="R3823" s="9"/>
      <c r="S3823" s="5">
        <v>1</v>
      </c>
      <c r="T38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табеле]])*S3823,0)</f>
        <v>0</v>
      </c>
      <c r="U3823" s="5">
        <f>IF(Таблица1[[#This Row],[ТТН]]&gt;0,Таблица1[[#This Row],[Ставка за ТТН]]*Таблица1[[#This Row],[ТТН]],0)</f>
        <v>0</v>
      </c>
    </row>
    <row r="3824" spans="1:21" x14ac:dyDescent="0.25">
      <c r="A3824" t="s">
        <v>84</v>
      </c>
      <c r="B3824" s="24">
        <v>30</v>
      </c>
      <c r="C3824" t="s">
        <v>209</v>
      </c>
      <c r="D3824" t="s">
        <v>28</v>
      </c>
      <c r="E3824" t="s">
        <v>216</v>
      </c>
      <c r="F3824" t="s">
        <v>28</v>
      </c>
      <c r="H3824" t="s">
        <v>81</v>
      </c>
      <c r="I3824" t="s">
        <v>217</v>
      </c>
      <c r="J3824">
        <v>1</v>
      </c>
      <c r="N3824">
        <f>Таблица1[[#This Row],[Часов на заказчика  в работе]]+Таблица1[[#This Row],[Часов на заказчика  дежурство]]</f>
        <v>0</v>
      </c>
      <c r="O38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4" s="9"/>
      <c r="R3824" s="9"/>
      <c r="S3824" s="5">
        <v>1</v>
      </c>
      <c r="T38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табеле]])*S3824,0)</f>
        <v>0</v>
      </c>
      <c r="U3824" s="5">
        <f>IF(Таблица1[[#This Row],[ТТН]]&gt;0,Таблица1[[#This Row],[Ставка за ТТН]]*Таблица1[[#This Row],[ТТН]],0)</f>
        <v>0</v>
      </c>
    </row>
    <row r="3825" spans="1:21" x14ac:dyDescent="0.25">
      <c r="A3825" t="s">
        <v>84</v>
      </c>
      <c r="B3825" s="24">
        <v>1</v>
      </c>
      <c r="C3825" t="s">
        <v>209</v>
      </c>
      <c r="D3825" t="s">
        <v>32</v>
      </c>
      <c r="E3825" t="s">
        <v>216</v>
      </c>
      <c r="F3825" t="s">
        <v>31</v>
      </c>
      <c r="H3825" t="s">
        <v>29</v>
      </c>
      <c r="I3825" t="s">
        <v>217</v>
      </c>
      <c r="J3825">
        <v>8</v>
      </c>
      <c r="N3825">
        <f>Таблица1[[#This Row],[Часов на заказчика  в работе]]+Таблица1[[#This Row],[Часов на заказчика  дежурство]]</f>
        <v>0</v>
      </c>
      <c r="O38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5" s="9">
        <v>160000</v>
      </c>
      <c r="R3825" s="9"/>
      <c r="S3825" s="5">
        <v>1</v>
      </c>
      <c r="T38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табеле]])*S3825,0)</f>
        <v>0</v>
      </c>
      <c r="U3825" s="5">
        <f>IF(Таблица1[[#This Row],[ТТН]]&gt;0,Таблица1[[#This Row],[Ставка за ТТН]]*Таблица1[[#This Row],[ТТН]],0)</f>
        <v>0</v>
      </c>
    </row>
    <row r="3826" spans="1:21" x14ac:dyDescent="0.25">
      <c r="A3826" t="s">
        <v>84</v>
      </c>
      <c r="B3826" s="24">
        <v>2</v>
      </c>
      <c r="C3826" t="s">
        <v>209</v>
      </c>
      <c r="D3826" t="s">
        <v>32</v>
      </c>
      <c r="E3826" t="s">
        <v>216</v>
      </c>
      <c r="F3826" t="s">
        <v>31</v>
      </c>
      <c r="H3826" t="s">
        <v>29</v>
      </c>
      <c r="I3826" t="s">
        <v>217</v>
      </c>
      <c r="J3826">
        <v>8</v>
      </c>
      <c r="N3826">
        <f>Таблица1[[#This Row],[Часов на заказчика  в работе]]+Таблица1[[#This Row],[Часов на заказчика  дежурство]]</f>
        <v>0</v>
      </c>
      <c r="O38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6" s="9">
        <v>160000</v>
      </c>
      <c r="R3826" s="9"/>
      <c r="S3826" s="5">
        <v>1</v>
      </c>
      <c r="T38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табеле]])*S3826,0)</f>
        <v>0</v>
      </c>
      <c r="U3826" s="5">
        <f>IF(Таблица1[[#This Row],[ТТН]]&gt;0,Таблица1[[#This Row],[Ставка за ТТН]]*Таблица1[[#This Row],[ТТН]],0)</f>
        <v>0</v>
      </c>
    </row>
    <row r="3827" spans="1:21" x14ac:dyDescent="0.25">
      <c r="A3827" t="s">
        <v>84</v>
      </c>
      <c r="B3827" s="24">
        <v>3</v>
      </c>
      <c r="C3827" t="s">
        <v>209</v>
      </c>
      <c r="D3827" t="s">
        <v>32</v>
      </c>
      <c r="E3827" t="s">
        <v>216</v>
      </c>
      <c r="F3827" t="s">
        <v>31</v>
      </c>
      <c r="H3827" t="s">
        <v>29</v>
      </c>
      <c r="I3827" t="s">
        <v>217</v>
      </c>
      <c r="J3827">
        <v>8</v>
      </c>
      <c r="N3827">
        <f>Таблица1[[#This Row],[Часов на заказчика  в работе]]+Таблица1[[#This Row],[Часов на заказчика  дежурство]]</f>
        <v>0</v>
      </c>
      <c r="O38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7" s="9">
        <v>160000</v>
      </c>
      <c r="R3827" s="9"/>
      <c r="S3827" s="5">
        <v>1</v>
      </c>
      <c r="T38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табеле]])*S3827,0)</f>
        <v>0</v>
      </c>
      <c r="U3827" s="5">
        <f>IF(Таблица1[[#This Row],[ТТН]]&gt;0,Таблица1[[#This Row],[Ставка за ТТН]]*Таблица1[[#This Row],[ТТН]],0)</f>
        <v>0</v>
      </c>
    </row>
    <row r="3828" spans="1:21" x14ac:dyDescent="0.25">
      <c r="A3828" t="s">
        <v>84</v>
      </c>
      <c r="B3828" s="24">
        <v>4</v>
      </c>
      <c r="C3828" t="s">
        <v>209</v>
      </c>
      <c r="D3828" t="s">
        <v>32</v>
      </c>
      <c r="E3828" t="s">
        <v>216</v>
      </c>
      <c r="F3828" t="s">
        <v>31</v>
      </c>
      <c r="H3828" t="s">
        <v>29</v>
      </c>
      <c r="I3828" t="s">
        <v>217</v>
      </c>
      <c r="J3828">
        <v>8</v>
      </c>
      <c r="N3828">
        <f>Таблица1[[#This Row],[Часов на заказчика  в работе]]+Таблица1[[#This Row],[Часов на заказчика  дежурство]]</f>
        <v>0</v>
      </c>
      <c r="O38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8" s="9">
        <v>160000</v>
      </c>
      <c r="R3828" s="9"/>
      <c r="S3828" s="5">
        <v>1</v>
      </c>
      <c r="T38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табеле]])*S3828,0)</f>
        <v>0</v>
      </c>
      <c r="U3828" s="5">
        <f>IF(Таблица1[[#This Row],[ТТН]]&gt;0,Таблица1[[#This Row],[Ставка за ТТН]]*Таблица1[[#This Row],[ТТН]],0)</f>
        <v>0</v>
      </c>
    </row>
    <row r="3829" spans="1:21" x14ac:dyDescent="0.25">
      <c r="A3829" t="s">
        <v>84</v>
      </c>
      <c r="B3829" s="24">
        <v>5</v>
      </c>
      <c r="C3829" t="s">
        <v>209</v>
      </c>
      <c r="D3829" t="s">
        <v>32</v>
      </c>
      <c r="E3829" t="s">
        <v>216</v>
      </c>
      <c r="F3829" t="s">
        <v>31</v>
      </c>
      <c r="H3829" t="s">
        <v>29</v>
      </c>
      <c r="I3829" t="s">
        <v>217</v>
      </c>
      <c r="J3829">
        <v>8</v>
      </c>
      <c r="N3829">
        <f>Таблица1[[#This Row],[Часов на заказчика  в работе]]+Таблица1[[#This Row],[Часов на заказчика  дежурство]]</f>
        <v>0</v>
      </c>
      <c r="O38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29" s="9">
        <v>160000</v>
      </c>
      <c r="R3829" s="9"/>
      <c r="S3829" s="5">
        <v>1</v>
      </c>
      <c r="T38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табеле]])*S3829,0)</f>
        <v>0</v>
      </c>
      <c r="U3829" s="5">
        <f>IF(Таблица1[[#This Row],[ТТН]]&gt;0,Таблица1[[#This Row],[Ставка за ТТН]]*Таблица1[[#This Row],[ТТН]],0)</f>
        <v>0</v>
      </c>
    </row>
    <row r="3830" spans="1:21" x14ac:dyDescent="0.25">
      <c r="A3830" t="s">
        <v>84</v>
      </c>
      <c r="B3830" s="24">
        <v>6</v>
      </c>
      <c r="C3830" t="s">
        <v>209</v>
      </c>
      <c r="D3830" t="s">
        <v>32</v>
      </c>
      <c r="E3830" t="s">
        <v>216</v>
      </c>
      <c r="F3830" t="s">
        <v>31</v>
      </c>
      <c r="H3830" t="s">
        <v>30</v>
      </c>
      <c r="I3830" t="s">
        <v>217</v>
      </c>
      <c r="J3830">
        <v>1</v>
      </c>
      <c r="N3830">
        <f>Таблица1[[#This Row],[Часов на заказчика  в работе]]+Таблица1[[#This Row],[Часов на заказчика  дежурство]]</f>
        <v>0</v>
      </c>
      <c r="O38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0" s="9">
        <v>160000</v>
      </c>
      <c r="R3830" s="9"/>
      <c r="S3830" s="5">
        <v>1</v>
      </c>
      <c r="T38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табеле]])*S3830,0)</f>
        <v>0</v>
      </c>
      <c r="U3830" s="5">
        <f>IF(Таблица1[[#This Row],[ТТН]]&gt;0,Таблица1[[#This Row],[Ставка за ТТН]]*Таблица1[[#This Row],[ТТН]],0)</f>
        <v>0</v>
      </c>
    </row>
    <row r="3831" spans="1:21" x14ac:dyDescent="0.25">
      <c r="A3831" t="s">
        <v>84</v>
      </c>
      <c r="B3831" s="24">
        <v>7</v>
      </c>
      <c r="C3831" t="s">
        <v>209</v>
      </c>
      <c r="D3831" t="s">
        <v>32</v>
      </c>
      <c r="E3831" t="s">
        <v>216</v>
      </c>
      <c r="F3831" t="s">
        <v>31</v>
      </c>
      <c r="H3831" t="s">
        <v>30</v>
      </c>
      <c r="I3831" t="s">
        <v>217</v>
      </c>
      <c r="J3831">
        <v>1</v>
      </c>
      <c r="N3831">
        <f>Таблица1[[#This Row],[Часов на заказчика  в работе]]+Таблица1[[#This Row],[Часов на заказчика  дежурство]]</f>
        <v>0</v>
      </c>
      <c r="O38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1" s="9">
        <v>160000</v>
      </c>
      <c r="R3831" s="9"/>
      <c r="S3831" s="5">
        <v>1</v>
      </c>
      <c r="T38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табеле]])*S3831,0)</f>
        <v>0</v>
      </c>
      <c r="U3831" s="5">
        <f>IF(Таблица1[[#This Row],[ТТН]]&gt;0,Таблица1[[#This Row],[Ставка за ТТН]]*Таблица1[[#This Row],[ТТН]],0)</f>
        <v>0</v>
      </c>
    </row>
    <row r="3832" spans="1:21" x14ac:dyDescent="0.25">
      <c r="A3832" t="s">
        <v>84</v>
      </c>
      <c r="B3832" s="24">
        <v>8</v>
      </c>
      <c r="C3832" t="s">
        <v>209</v>
      </c>
      <c r="D3832" t="s">
        <v>32</v>
      </c>
      <c r="E3832" t="s">
        <v>216</v>
      </c>
      <c r="F3832" t="s">
        <v>31</v>
      </c>
      <c r="H3832" t="s">
        <v>29</v>
      </c>
      <c r="I3832" t="s">
        <v>217</v>
      </c>
      <c r="J3832">
        <v>8</v>
      </c>
      <c r="N3832">
        <f>Таблица1[[#This Row],[Часов на заказчика  в работе]]+Таблица1[[#This Row],[Часов на заказчика  дежурство]]</f>
        <v>0</v>
      </c>
      <c r="O38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2" s="9">
        <v>160000</v>
      </c>
      <c r="R3832" s="9"/>
      <c r="S3832" s="5">
        <v>1</v>
      </c>
      <c r="T38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табеле]])*S3832,0)</f>
        <v>0</v>
      </c>
      <c r="U3832" s="5">
        <f>IF(Таблица1[[#This Row],[ТТН]]&gt;0,Таблица1[[#This Row],[Ставка за ТТН]]*Таблица1[[#This Row],[ТТН]],0)</f>
        <v>0</v>
      </c>
    </row>
    <row r="3833" spans="1:21" x14ac:dyDescent="0.25">
      <c r="A3833" t="s">
        <v>84</v>
      </c>
      <c r="B3833" s="24">
        <v>9</v>
      </c>
      <c r="C3833" t="s">
        <v>209</v>
      </c>
      <c r="D3833" t="s">
        <v>32</v>
      </c>
      <c r="E3833" t="s">
        <v>216</v>
      </c>
      <c r="F3833" t="s">
        <v>31</v>
      </c>
      <c r="H3833" t="s">
        <v>29</v>
      </c>
      <c r="I3833" t="s">
        <v>217</v>
      </c>
      <c r="J3833">
        <v>8</v>
      </c>
      <c r="N3833">
        <f>Таблица1[[#This Row],[Часов на заказчика  в работе]]+Таблица1[[#This Row],[Часов на заказчика  дежурство]]</f>
        <v>0</v>
      </c>
      <c r="O38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3" s="9">
        <v>160000</v>
      </c>
      <c r="R3833" s="9"/>
      <c r="S3833" s="5">
        <v>1</v>
      </c>
      <c r="T38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табеле]])*S3833,0)</f>
        <v>0</v>
      </c>
      <c r="U3833" s="5">
        <f>IF(Таблица1[[#This Row],[ТТН]]&gt;0,Таблица1[[#This Row],[Ставка за ТТН]]*Таблица1[[#This Row],[ТТН]],0)</f>
        <v>0</v>
      </c>
    </row>
    <row r="3834" spans="1:21" x14ac:dyDescent="0.25">
      <c r="A3834" t="s">
        <v>84</v>
      </c>
      <c r="B3834" s="24">
        <v>10</v>
      </c>
      <c r="C3834" t="s">
        <v>209</v>
      </c>
      <c r="D3834" t="s">
        <v>32</v>
      </c>
      <c r="E3834" t="s">
        <v>215</v>
      </c>
      <c r="F3834" t="s">
        <v>31</v>
      </c>
      <c r="H3834" t="s">
        <v>24</v>
      </c>
      <c r="I3834" t="s">
        <v>217</v>
      </c>
      <c r="J3834">
        <v>8</v>
      </c>
      <c r="N3834">
        <f>Таблица1[[#This Row],[Часов на заказчика  в работе]]+Таблица1[[#This Row],[Часов на заказчика  дежурство]]</f>
        <v>0</v>
      </c>
      <c r="O38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4" s="9">
        <v>200000</v>
      </c>
      <c r="R3834" s="9"/>
      <c r="S3834" s="5">
        <v>1</v>
      </c>
      <c r="T38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табеле]])*S3834,0)</f>
        <v>0</v>
      </c>
      <c r="U3834" s="5">
        <f>IF(Таблица1[[#This Row],[ТТН]]&gt;0,Таблица1[[#This Row],[Ставка за ТТН]]*Таблица1[[#This Row],[ТТН]],0)</f>
        <v>0</v>
      </c>
    </row>
    <row r="3835" spans="1:21" x14ac:dyDescent="0.25">
      <c r="A3835" t="s">
        <v>84</v>
      </c>
      <c r="B3835" s="24">
        <v>11</v>
      </c>
      <c r="C3835" t="s">
        <v>209</v>
      </c>
      <c r="D3835" t="s">
        <v>32</v>
      </c>
      <c r="E3835" t="s">
        <v>215</v>
      </c>
      <c r="F3835" t="s">
        <v>31</v>
      </c>
      <c r="H3835" t="s">
        <v>10</v>
      </c>
      <c r="I3835" t="s">
        <v>219</v>
      </c>
      <c r="J3835">
        <v>11</v>
      </c>
      <c r="L3835">
        <v>11</v>
      </c>
      <c r="N3835">
        <f>Таблица1[[#This Row],[Часов на заказчика  в работе]]+Таблица1[[#This Row],[Часов на заказчика  дежурство]]</f>
        <v>11</v>
      </c>
      <c r="O38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5" s="9">
        <v>200000</v>
      </c>
      <c r="R3835" s="9"/>
      <c r="S3835" s="5">
        <v>1</v>
      </c>
      <c r="T38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табеле]])*S3835,0)</f>
        <v>6666.6666666666661</v>
      </c>
      <c r="U3835" s="5">
        <f>IF(Таблица1[[#This Row],[ТТН]]&gt;0,Таблица1[[#This Row],[Ставка за ТТН]]*Таблица1[[#This Row],[ТТН]],0)</f>
        <v>0</v>
      </c>
    </row>
    <row r="3836" spans="1:21" x14ac:dyDescent="0.25">
      <c r="A3836" t="s">
        <v>84</v>
      </c>
      <c r="B3836" s="24">
        <v>12</v>
      </c>
      <c r="C3836" t="s">
        <v>209</v>
      </c>
      <c r="D3836" t="s">
        <v>32</v>
      </c>
      <c r="E3836" t="s">
        <v>215</v>
      </c>
      <c r="F3836" t="s">
        <v>31</v>
      </c>
      <c r="H3836" t="s">
        <v>10</v>
      </c>
      <c r="I3836" t="s">
        <v>219</v>
      </c>
      <c r="J3836">
        <v>11</v>
      </c>
      <c r="L3836">
        <v>11</v>
      </c>
      <c r="N3836">
        <f>Таблица1[[#This Row],[Часов на заказчика  в работе]]+Таблица1[[#This Row],[Часов на заказчика  дежурство]]</f>
        <v>11</v>
      </c>
      <c r="O38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6" s="9">
        <v>200000</v>
      </c>
      <c r="R3836" s="9"/>
      <c r="S3836" s="5">
        <v>1</v>
      </c>
      <c r="T38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табеле]])*S3836,0)</f>
        <v>6666.6666666666661</v>
      </c>
      <c r="U3836" s="5">
        <f>IF(Таблица1[[#This Row],[ТТН]]&gt;0,Таблица1[[#This Row],[Ставка за ТТН]]*Таблица1[[#This Row],[ТТН]],0)</f>
        <v>0</v>
      </c>
    </row>
    <row r="3837" spans="1:21" x14ac:dyDescent="0.25">
      <c r="A3837" t="s">
        <v>84</v>
      </c>
      <c r="B3837" s="24">
        <v>13</v>
      </c>
      <c r="C3837" t="s">
        <v>209</v>
      </c>
      <c r="D3837" t="s">
        <v>32</v>
      </c>
      <c r="E3837" t="s">
        <v>215</v>
      </c>
      <c r="F3837" t="s">
        <v>31</v>
      </c>
      <c r="H3837" t="s">
        <v>10</v>
      </c>
      <c r="I3837" t="s">
        <v>219</v>
      </c>
      <c r="J3837">
        <v>11</v>
      </c>
      <c r="L3837">
        <v>11</v>
      </c>
      <c r="N3837">
        <f>Таблица1[[#This Row],[Часов на заказчика  в работе]]+Таблица1[[#This Row],[Часов на заказчика  дежурство]]</f>
        <v>11</v>
      </c>
      <c r="O38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7" s="9">
        <v>200000</v>
      </c>
      <c r="R3837" s="9"/>
      <c r="S3837" s="5">
        <v>1</v>
      </c>
      <c r="T38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табеле]])*S3837,0)</f>
        <v>6666.6666666666661</v>
      </c>
      <c r="U3837" s="5">
        <f>IF(Таблица1[[#This Row],[ТТН]]&gt;0,Таблица1[[#This Row],[Ставка за ТТН]]*Таблица1[[#This Row],[ТТН]],0)</f>
        <v>0</v>
      </c>
    </row>
    <row r="3838" spans="1:21" x14ac:dyDescent="0.25">
      <c r="A3838" t="s">
        <v>84</v>
      </c>
      <c r="B3838" s="24">
        <v>14</v>
      </c>
      <c r="C3838" t="s">
        <v>209</v>
      </c>
      <c r="D3838" t="s">
        <v>32</v>
      </c>
      <c r="E3838" t="s">
        <v>215</v>
      </c>
      <c r="F3838" t="s">
        <v>31</v>
      </c>
      <c r="H3838" t="s">
        <v>10</v>
      </c>
      <c r="I3838" t="s">
        <v>219</v>
      </c>
      <c r="J3838">
        <v>22</v>
      </c>
      <c r="L3838">
        <v>22</v>
      </c>
      <c r="N3838">
        <f>Таблица1[[#This Row],[Часов на заказчика  в работе]]+Таблица1[[#This Row],[Часов на заказчика  дежурство]]</f>
        <v>22</v>
      </c>
      <c r="O38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8" s="9">
        <v>200000</v>
      </c>
      <c r="R3838" s="9"/>
      <c r="S3838" s="5">
        <v>1</v>
      </c>
      <c r="T38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табеле]])*S3838,0)</f>
        <v>13333.333333333332</v>
      </c>
      <c r="U3838" s="5">
        <f>IF(Таблица1[[#This Row],[ТТН]]&gt;0,Таблица1[[#This Row],[Ставка за ТТН]]*Таблица1[[#This Row],[ТТН]],0)</f>
        <v>0</v>
      </c>
    </row>
    <row r="3839" spans="1:21" x14ac:dyDescent="0.25">
      <c r="A3839" t="s">
        <v>84</v>
      </c>
      <c r="B3839" s="24">
        <v>15</v>
      </c>
      <c r="C3839" t="s">
        <v>209</v>
      </c>
      <c r="D3839" t="s">
        <v>32</v>
      </c>
      <c r="E3839" t="s">
        <v>215</v>
      </c>
      <c r="F3839" t="s">
        <v>31</v>
      </c>
      <c r="H3839" t="s">
        <v>10</v>
      </c>
      <c r="I3839" t="s">
        <v>219</v>
      </c>
      <c r="J3839">
        <v>11</v>
      </c>
      <c r="L3839">
        <v>11</v>
      </c>
      <c r="N3839">
        <f>Таблица1[[#This Row],[Часов на заказчика  в работе]]+Таблица1[[#This Row],[Часов на заказчика  дежурство]]</f>
        <v>11</v>
      </c>
      <c r="O38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39" s="9">
        <v>200000</v>
      </c>
      <c r="R3839" s="9"/>
      <c r="S3839" s="5">
        <v>1</v>
      </c>
      <c r="T38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табеле]])*S3839,0)</f>
        <v>6666.6666666666661</v>
      </c>
      <c r="U3839" s="5">
        <f>IF(Таблица1[[#This Row],[ТТН]]&gt;0,Таблица1[[#This Row],[Ставка за ТТН]]*Таблица1[[#This Row],[ТТН]],0)</f>
        <v>0</v>
      </c>
    </row>
    <row r="3840" spans="1:21" x14ac:dyDescent="0.25">
      <c r="A3840" t="s">
        <v>84</v>
      </c>
      <c r="B3840" s="24">
        <v>16</v>
      </c>
      <c r="C3840" t="s">
        <v>209</v>
      </c>
      <c r="D3840" t="s">
        <v>32</v>
      </c>
      <c r="E3840" t="s">
        <v>215</v>
      </c>
      <c r="F3840" t="s">
        <v>31</v>
      </c>
      <c r="H3840" t="s">
        <v>10</v>
      </c>
      <c r="I3840" t="s">
        <v>219</v>
      </c>
      <c r="J3840">
        <v>15</v>
      </c>
      <c r="L3840">
        <v>15</v>
      </c>
      <c r="N3840">
        <f>Таблица1[[#This Row],[Часов на заказчика  в работе]]+Таблица1[[#This Row],[Часов на заказчика  дежурство]]</f>
        <v>15</v>
      </c>
      <c r="O38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0" s="9">
        <v>200000</v>
      </c>
      <c r="R3840" s="9"/>
      <c r="S3840" s="5">
        <v>1</v>
      </c>
      <c r="T38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табеле]])*S3840,0)</f>
        <v>9090.9090909090901</v>
      </c>
      <c r="U3840" s="5">
        <f>IF(Таблица1[[#This Row],[ТТН]]&gt;0,Таблица1[[#This Row],[Ставка за ТТН]]*Таблица1[[#This Row],[ТТН]],0)</f>
        <v>0</v>
      </c>
    </row>
    <row r="3841" spans="1:21" x14ac:dyDescent="0.25">
      <c r="A3841" t="s">
        <v>84</v>
      </c>
      <c r="B3841" s="24">
        <v>17</v>
      </c>
      <c r="C3841" t="s">
        <v>209</v>
      </c>
      <c r="D3841" t="s">
        <v>32</v>
      </c>
      <c r="E3841" t="s">
        <v>215</v>
      </c>
      <c r="F3841" t="s">
        <v>31</v>
      </c>
      <c r="H3841" t="s">
        <v>10</v>
      </c>
      <c r="I3841" t="s">
        <v>219</v>
      </c>
      <c r="J3841">
        <v>18</v>
      </c>
      <c r="L3841">
        <v>18</v>
      </c>
      <c r="N3841">
        <f>Таблица1[[#This Row],[Часов на заказчика  в работе]]+Таблица1[[#This Row],[Часов на заказчика  дежурство]]</f>
        <v>18</v>
      </c>
      <c r="O38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1" s="9">
        <v>200000</v>
      </c>
      <c r="R3841" s="9"/>
      <c r="S3841" s="5">
        <v>1</v>
      </c>
      <c r="T38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табеле]])*S3841,0)</f>
        <v>10909.090909090908</v>
      </c>
      <c r="U3841" s="5">
        <f>IF(Таблица1[[#This Row],[ТТН]]&gt;0,Таблица1[[#This Row],[Ставка за ТТН]]*Таблица1[[#This Row],[ТТН]],0)</f>
        <v>0</v>
      </c>
    </row>
    <row r="3842" spans="1:21" x14ac:dyDescent="0.25">
      <c r="A3842" t="s">
        <v>84</v>
      </c>
      <c r="B3842" s="24">
        <v>18</v>
      </c>
      <c r="C3842" t="s">
        <v>209</v>
      </c>
      <c r="D3842" t="s">
        <v>32</v>
      </c>
      <c r="E3842" t="s">
        <v>215</v>
      </c>
      <c r="F3842" t="s">
        <v>31</v>
      </c>
      <c r="H3842" t="s">
        <v>10</v>
      </c>
      <c r="I3842" t="s">
        <v>219</v>
      </c>
      <c r="J3842">
        <v>11</v>
      </c>
      <c r="L3842">
        <v>11</v>
      </c>
      <c r="N3842">
        <f>Таблица1[[#This Row],[Часов на заказчика  в работе]]+Таблица1[[#This Row],[Часов на заказчика  дежурство]]</f>
        <v>11</v>
      </c>
      <c r="O38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2" s="9">
        <v>200000</v>
      </c>
      <c r="R3842" s="9"/>
      <c r="S3842" s="5">
        <v>1</v>
      </c>
      <c r="T38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табеле]])*S3842,0)</f>
        <v>6666.6666666666661</v>
      </c>
      <c r="U3842" s="5">
        <f>IF(Таблица1[[#This Row],[ТТН]]&gt;0,Таблица1[[#This Row],[Ставка за ТТН]]*Таблица1[[#This Row],[ТТН]],0)</f>
        <v>0</v>
      </c>
    </row>
    <row r="3843" spans="1:21" x14ac:dyDescent="0.25">
      <c r="A3843" t="s">
        <v>84</v>
      </c>
      <c r="B3843" s="24">
        <v>19</v>
      </c>
      <c r="C3843" t="s">
        <v>209</v>
      </c>
      <c r="D3843" t="s">
        <v>32</v>
      </c>
      <c r="E3843" t="s">
        <v>215</v>
      </c>
      <c r="F3843" t="s">
        <v>31</v>
      </c>
      <c r="H3843" t="s">
        <v>10</v>
      </c>
      <c r="I3843" t="s">
        <v>219</v>
      </c>
      <c r="J3843">
        <v>16</v>
      </c>
      <c r="L3843">
        <v>16</v>
      </c>
      <c r="N3843">
        <f>Таблица1[[#This Row],[Часов на заказчика  в работе]]+Таблица1[[#This Row],[Часов на заказчика  дежурство]]</f>
        <v>16</v>
      </c>
      <c r="O38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3" s="9">
        <v>200000</v>
      </c>
      <c r="R3843" s="9"/>
      <c r="S3843" s="5">
        <v>1</v>
      </c>
      <c r="T38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табеле]])*S3843,0)</f>
        <v>9696.9696969696961</v>
      </c>
      <c r="U3843" s="5">
        <f>IF(Таблица1[[#This Row],[ТТН]]&gt;0,Таблица1[[#This Row],[Ставка за ТТН]]*Таблица1[[#This Row],[ТТН]],0)</f>
        <v>0</v>
      </c>
    </row>
    <row r="3844" spans="1:21" x14ac:dyDescent="0.25">
      <c r="A3844" t="s">
        <v>84</v>
      </c>
      <c r="B3844" s="24">
        <v>20</v>
      </c>
      <c r="C3844" t="s">
        <v>209</v>
      </c>
      <c r="D3844" t="s">
        <v>32</v>
      </c>
      <c r="E3844" t="s">
        <v>215</v>
      </c>
      <c r="F3844" t="s">
        <v>31</v>
      </c>
      <c r="H3844" t="s">
        <v>10</v>
      </c>
      <c r="I3844" t="s">
        <v>219</v>
      </c>
      <c r="J3844">
        <v>17</v>
      </c>
      <c r="L3844">
        <v>17</v>
      </c>
      <c r="N3844">
        <f>Таблица1[[#This Row],[Часов на заказчика  в работе]]+Таблица1[[#This Row],[Часов на заказчика  дежурство]]</f>
        <v>17</v>
      </c>
      <c r="O38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4" s="9">
        <v>200000</v>
      </c>
      <c r="R3844" s="9"/>
      <c r="S3844" s="5">
        <v>1</v>
      </c>
      <c r="T38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табеле]])*S3844,0)</f>
        <v>10303.030303030302</v>
      </c>
      <c r="U3844" s="5">
        <f>IF(Таблица1[[#This Row],[ТТН]]&gt;0,Таблица1[[#This Row],[Ставка за ТТН]]*Таблица1[[#This Row],[ТТН]],0)</f>
        <v>0</v>
      </c>
    </row>
    <row r="3845" spans="1:21" x14ac:dyDescent="0.25">
      <c r="A3845" t="s">
        <v>84</v>
      </c>
      <c r="B3845" s="24">
        <v>21</v>
      </c>
      <c r="C3845" t="s">
        <v>209</v>
      </c>
      <c r="D3845" t="s">
        <v>32</v>
      </c>
      <c r="E3845" t="s">
        <v>215</v>
      </c>
      <c r="F3845" t="s">
        <v>31</v>
      </c>
      <c r="H3845" t="s">
        <v>10</v>
      </c>
      <c r="I3845" t="s">
        <v>219</v>
      </c>
      <c r="J3845">
        <v>16</v>
      </c>
      <c r="L3845">
        <v>16</v>
      </c>
      <c r="N3845">
        <f>Таблица1[[#This Row],[Часов на заказчика  в работе]]+Таблица1[[#This Row],[Часов на заказчика  дежурство]]</f>
        <v>16</v>
      </c>
      <c r="O38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5" s="9">
        <v>200000</v>
      </c>
      <c r="R3845" s="9"/>
      <c r="S3845" s="5">
        <v>1</v>
      </c>
      <c r="T38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табеле]])*S3845,0)</f>
        <v>9696.9696969696961</v>
      </c>
      <c r="U3845" s="5">
        <f>IF(Таблица1[[#This Row],[ТТН]]&gt;0,Таблица1[[#This Row],[Ставка за ТТН]]*Таблица1[[#This Row],[ТТН]],0)</f>
        <v>0</v>
      </c>
    </row>
    <row r="3846" spans="1:21" x14ac:dyDescent="0.25">
      <c r="A3846" t="s">
        <v>84</v>
      </c>
      <c r="B3846" s="24">
        <v>22</v>
      </c>
      <c r="C3846" t="s">
        <v>209</v>
      </c>
      <c r="D3846" t="s">
        <v>32</v>
      </c>
      <c r="E3846" t="s">
        <v>215</v>
      </c>
      <c r="F3846" t="s">
        <v>31</v>
      </c>
      <c r="H3846" t="s">
        <v>10</v>
      </c>
      <c r="I3846" t="s">
        <v>219</v>
      </c>
      <c r="J3846">
        <v>22</v>
      </c>
      <c r="L3846">
        <v>22</v>
      </c>
      <c r="N3846">
        <f>Таблица1[[#This Row],[Часов на заказчика  в работе]]+Таблица1[[#This Row],[Часов на заказчика  дежурство]]</f>
        <v>22</v>
      </c>
      <c r="O38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6" s="9">
        <v>200000</v>
      </c>
      <c r="R3846" s="9"/>
      <c r="S3846" s="5">
        <v>1</v>
      </c>
      <c r="T38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табеле]])*S3846,0)</f>
        <v>13333.333333333332</v>
      </c>
      <c r="U3846" s="5">
        <f>IF(Таблица1[[#This Row],[ТТН]]&gt;0,Таблица1[[#This Row],[Ставка за ТТН]]*Таблица1[[#This Row],[ТТН]],0)</f>
        <v>0</v>
      </c>
    </row>
    <row r="3847" spans="1:21" x14ac:dyDescent="0.25">
      <c r="A3847" t="s">
        <v>84</v>
      </c>
      <c r="B3847" s="24">
        <v>23</v>
      </c>
      <c r="C3847" t="s">
        <v>209</v>
      </c>
      <c r="D3847" t="s">
        <v>32</v>
      </c>
      <c r="E3847" t="s">
        <v>215</v>
      </c>
      <c r="F3847" t="s">
        <v>31</v>
      </c>
      <c r="H3847" t="s">
        <v>10</v>
      </c>
      <c r="I3847" t="s">
        <v>219</v>
      </c>
      <c r="J3847">
        <v>11</v>
      </c>
      <c r="L3847">
        <v>11</v>
      </c>
      <c r="N3847">
        <f>Таблица1[[#This Row],[Часов на заказчика  в работе]]+Таблица1[[#This Row],[Часов на заказчика  дежурство]]</f>
        <v>11</v>
      </c>
      <c r="O38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7" s="9">
        <v>200000</v>
      </c>
      <c r="R3847" s="9"/>
      <c r="S3847" s="5">
        <v>1</v>
      </c>
      <c r="T38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табеле]])*S3847,0)</f>
        <v>6666.6666666666661</v>
      </c>
      <c r="U3847" s="5">
        <f>IF(Таблица1[[#This Row],[ТТН]]&gt;0,Таблица1[[#This Row],[Ставка за ТТН]]*Таблица1[[#This Row],[ТТН]],0)</f>
        <v>0</v>
      </c>
    </row>
    <row r="3848" spans="1:21" x14ac:dyDescent="0.25">
      <c r="A3848" t="s">
        <v>84</v>
      </c>
      <c r="B3848" s="24">
        <v>24</v>
      </c>
      <c r="C3848" t="s">
        <v>209</v>
      </c>
      <c r="D3848" t="s">
        <v>32</v>
      </c>
      <c r="E3848" t="s">
        <v>215</v>
      </c>
      <c r="F3848" t="s">
        <v>31</v>
      </c>
      <c r="H3848" t="s">
        <v>10</v>
      </c>
      <c r="I3848" t="s">
        <v>219</v>
      </c>
      <c r="J3848">
        <v>11</v>
      </c>
      <c r="L3848">
        <v>11</v>
      </c>
      <c r="N3848">
        <f>Таблица1[[#This Row],[Часов на заказчика  в работе]]+Таблица1[[#This Row],[Часов на заказчика  дежурство]]</f>
        <v>11</v>
      </c>
      <c r="O38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8" s="9">
        <v>200000</v>
      </c>
      <c r="R3848" s="9"/>
      <c r="S3848" s="5">
        <v>1</v>
      </c>
      <c r="T38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табеле]])*S3848,0)</f>
        <v>6666.6666666666661</v>
      </c>
      <c r="U3848" s="5">
        <f>IF(Таблица1[[#This Row],[ТТН]]&gt;0,Таблица1[[#This Row],[Ставка за ТТН]]*Таблица1[[#This Row],[ТТН]],0)</f>
        <v>0</v>
      </c>
    </row>
    <row r="3849" spans="1:21" x14ac:dyDescent="0.25">
      <c r="A3849" t="s">
        <v>84</v>
      </c>
      <c r="B3849" s="24">
        <v>25</v>
      </c>
      <c r="C3849" t="s">
        <v>209</v>
      </c>
      <c r="D3849" t="s">
        <v>32</v>
      </c>
      <c r="E3849" t="s">
        <v>215</v>
      </c>
      <c r="F3849" t="s">
        <v>31</v>
      </c>
      <c r="H3849" t="s">
        <v>10</v>
      </c>
      <c r="I3849" t="s">
        <v>219</v>
      </c>
      <c r="J3849">
        <v>17</v>
      </c>
      <c r="L3849">
        <v>17</v>
      </c>
      <c r="N3849">
        <f>Таблица1[[#This Row],[Часов на заказчика  в работе]]+Таблица1[[#This Row],[Часов на заказчика  дежурство]]</f>
        <v>17</v>
      </c>
      <c r="O38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49" s="9">
        <v>200000</v>
      </c>
      <c r="R3849" s="9"/>
      <c r="S3849" s="5">
        <v>1</v>
      </c>
      <c r="T38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табеле]])*S3849,0)</f>
        <v>10303.030303030302</v>
      </c>
      <c r="U3849" s="5">
        <f>IF(Таблица1[[#This Row],[ТТН]]&gt;0,Таблица1[[#This Row],[Ставка за ТТН]]*Таблица1[[#This Row],[ТТН]],0)</f>
        <v>0</v>
      </c>
    </row>
    <row r="3850" spans="1:21" x14ac:dyDescent="0.25">
      <c r="A3850" t="s">
        <v>84</v>
      </c>
      <c r="B3850" s="24">
        <v>26</v>
      </c>
      <c r="C3850" t="s">
        <v>209</v>
      </c>
      <c r="D3850" t="s">
        <v>32</v>
      </c>
      <c r="E3850" t="s">
        <v>215</v>
      </c>
      <c r="F3850" t="s">
        <v>31</v>
      </c>
      <c r="H3850" t="s">
        <v>10</v>
      </c>
      <c r="I3850" t="s">
        <v>219</v>
      </c>
      <c r="J3850">
        <v>16</v>
      </c>
      <c r="L3850">
        <v>16</v>
      </c>
      <c r="N3850">
        <f>Таблица1[[#This Row],[Часов на заказчика  в работе]]+Таблица1[[#This Row],[Часов на заказчика  дежурство]]</f>
        <v>16</v>
      </c>
      <c r="O38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0" s="9">
        <v>200000</v>
      </c>
      <c r="R3850" s="9"/>
      <c r="S3850" s="5">
        <v>1</v>
      </c>
      <c r="T38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табеле]])*S3850,0)</f>
        <v>9696.9696969696961</v>
      </c>
      <c r="U3850" s="5">
        <f>IF(Таблица1[[#This Row],[ТТН]]&gt;0,Таблица1[[#This Row],[Ставка за ТТН]]*Таблица1[[#This Row],[ТТН]],0)</f>
        <v>0</v>
      </c>
    </row>
    <row r="3851" spans="1:21" x14ac:dyDescent="0.25">
      <c r="A3851" t="s">
        <v>84</v>
      </c>
      <c r="B3851" s="24">
        <v>27</v>
      </c>
      <c r="C3851" t="s">
        <v>209</v>
      </c>
      <c r="D3851" t="s">
        <v>32</v>
      </c>
      <c r="E3851" t="s">
        <v>215</v>
      </c>
      <c r="F3851" t="s">
        <v>31</v>
      </c>
      <c r="H3851" t="s">
        <v>10</v>
      </c>
      <c r="I3851" t="s">
        <v>219</v>
      </c>
      <c r="J3851">
        <v>16</v>
      </c>
      <c r="L3851">
        <v>16</v>
      </c>
      <c r="N3851">
        <f>Таблица1[[#This Row],[Часов на заказчика  в работе]]+Таблица1[[#This Row],[Часов на заказчика  дежурство]]</f>
        <v>16</v>
      </c>
      <c r="O38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1" s="9">
        <v>200000</v>
      </c>
      <c r="R3851" s="9"/>
      <c r="S3851" s="5">
        <v>1</v>
      </c>
      <c r="T38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табеле]])*S3851,0)</f>
        <v>9696.9696969696961</v>
      </c>
      <c r="U3851" s="5">
        <f>IF(Таблица1[[#This Row],[ТТН]]&gt;0,Таблица1[[#This Row],[Ставка за ТТН]]*Таблица1[[#This Row],[ТТН]],0)</f>
        <v>0</v>
      </c>
    </row>
    <row r="3852" spans="1:21" x14ac:dyDescent="0.25">
      <c r="A3852" t="s">
        <v>84</v>
      </c>
      <c r="B3852" s="24">
        <v>28</v>
      </c>
      <c r="C3852" t="s">
        <v>209</v>
      </c>
      <c r="D3852" t="s">
        <v>32</v>
      </c>
      <c r="E3852" t="s">
        <v>215</v>
      </c>
      <c r="F3852" t="s">
        <v>31</v>
      </c>
      <c r="H3852" t="s">
        <v>10</v>
      </c>
      <c r="I3852" t="s">
        <v>219</v>
      </c>
      <c r="J3852">
        <v>16</v>
      </c>
      <c r="L3852">
        <v>16</v>
      </c>
      <c r="N3852">
        <f>Таблица1[[#This Row],[Часов на заказчика  в работе]]+Таблица1[[#This Row],[Часов на заказчика  дежурство]]</f>
        <v>16</v>
      </c>
      <c r="O38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2" s="9">
        <v>200000</v>
      </c>
      <c r="R3852" s="9"/>
      <c r="S3852" s="5">
        <v>1</v>
      </c>
      <c r="T38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табеле]])*S3852,0)</f>
        <v>9696.9696969696961</v>
      </c>
      <c r="U3852" s="5">
        <f>IF(Таблица1[[#This Row],[ТТН]]&gt;0,Таблица1[[#This Row],[Ставка за ТТН]]*Таблица1[[#This Row],[ТТН]],0)</f>
        <v>0</v>
      </c>
    </row>
    <row r="3853" spans="1:21" x14ac:dyDescent="0.25">
      <c r="A3853" t="s">
        <v>84</v>
      </c>
      <c r="B3853" s="24">
        <v>29</v>
      </c>
      <c r="C3853" t="s">
        <v>209</v>
      </c>
      <c r="D3853" t="s">
        <v>32</v>
      </c>
      <c r="E3853" t="s">
        <v>215</v>
      </c>
      <c r="F3853" t="s">
        <v>31</v>
      </c>
      <c r="H3853" t="s">
        <v>10</v>
      </c>
      <c r="I3853" t="s">
        <v>219</v>
      </c>
      <c r="J3853">
        <v>11</v>
      </c>
      <c r="L3853">
        <v>11</v>
      </c>
      <c r="N3853">
        <f>Таблица1[[#This Row],[Часов на заказчика  в работе]]+Таблица1[[#This Row],[Часов на заказчика  дежурство]]</f>
        <v>11</v>
      </c>
      <c r="O38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3" s="9">
        <v>200000</v>
      </c>
      <c r="R3853" s="9"/>
      <c r="S3853" s="5">
        <v>1</v>
      </c>
      <c r="T38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табеле]])*S3853,0)</f>
        <v>6666.6666666666661</v>
      </c>
      <c r="U3853" s="5">
        <f>IF(Таблица1[[#This Row],[ТТН]]&gt;0,Таблица1[[#This Row],[Ставка за ТТН]]*Таблица1[[#This Row],[ТТН]],0)</f>
        <v>0</v>
      </c>
    </row>
    <row r="3854" spans="1:21" x14ac:dyDescent="0.25">
      <c r="A3854" t="s">
        <v>84</v>
      </c>
      <c r="B3854" s="24">
        <v>30</v>
      </c>
      <c r="C3854" t="s">
        <v>192</v>
      </c>
      <c r="D3854" t="s">
        <v>32</v>
      </c>
      <c r="E3854" t="s">
        <v>215</v>
      </c>
      <c r="F3854" t="s">
        <v>31</v>
      </c>
      <c r="H3854" t="s">
        <v>10</v>
      </c>
      <c r="I3854" t="s">
        <v>219</v>
      </c>
      <c r="J3854">
        <v>11</v>
      </c>
      <c r="L3854">
        <v>11</v>
      </c>
      <c r="N3854">
        <f>Таблица1[[#This Row],[Часов на заказчика  в работе]]+Таблица1[[#This Row],[Часов на заказчика  дежурство]]</f>
        <v>11</v>
      </c>
      <c r="O38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4" s="9">
        <v>200000</v>
      </c>
      <c r="R3854" s="9"/>
      <c r="S3854" s="5">
        <v>1</v>
      </c>
      <c r="T38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табеле]])*S3854,0)</f>
        <v>6666.6666666666661</v>
      </c>
      <c r="U3854" s="5">
        <f>IF(Таблица1[[#This Row],[ТТН]]&gt;0,Таблица1[[#This Row],[Ставка за ТТН]]*Таблица1[[#This Row],[ТТН]],0)</f>
        <v>0</v>
      </c>
    </row>
    <row r="3855" spans="1:21" x14ac:dyDescent="0.25">
      <c r="A3855" t="s">
        <v>84</v>
      </c>
      <c r="B3855" s="24">
        <v>1</v>
      </c>
      <c r="C3855" t="s">
        <v>192</v>
      </c>
      <c r="D3855" t="s">
        <v>82</v>
      </c>
      <c r="E3855" t="s">
        <v>215</v>
      </c>
      <c r="F3855" t="s">
        <v>51</v>
      </c>
      <c r="H3855" t="s">
        <v>10</v>
      </c>
      <c r="I3855" t="s">
        <v>217</v>
      </c>
      <c r="J3855">
        <v>14</v>
      </c>
      <c r="N3855">
        <f>Таблица1[[#This Row],[Часов на заказчика  в работе]]+Таблица1[[#This Row],[Часов на заказчика  дежурство]]</f>
        <v>0</v>
      </c>
      <c r="O38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5" s="9">
        <v>180000</v>
      </c>
      <c r="R3855" s="9"/>
      <c r="S3855" s="5">
        <v>1</v>
      </c>
      <c r="T38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табеле]])*S3855,0)</f>
        <v>7636.3636363636369</v>
      </c>
      <c r="U3855" s="5">
        <f>IF(Таблица1[[#This Row],[ТТН]]&gt;0,Таблица1[[#This Row],[Ставка за ТТН]]*Таблица1[[#This Row],[ТТН]],0)</f>
        <v>0</v>
      </c>
    </row>
    <row r="3856" spans="1:21" x14ac:dyDescent="0.25">
      <c r="A3856" t="s">
        <v>84</v>
      </c>
      <c r="B3856" s="24">
        <v>2</v>
      </c>
      <c r="C3856" t="s">
        <v>192</v>
      </c>
      <c r="D3856" t="s">
        <v>82</v>
      </c>
      <c r="E3856" t="s">
        <v>215</v>
      </c>
      <c r="F3856" t="s">
        <v>51</v>
      </c>
      <c r="H3856" t="s">
        <v>10</v>
      </c>
      <c r="I3856" t="s">
        <v>219</v>
      </c>
      <c r="J3856">
        <v>11</v>
      </c>
      <c r="L3856">
        <v>11</v>
      </c>
      <c r="N3856">
        <f>Таблица1[[#This Row],[Часов на заказчика  в работе]]+Таблица1[[#This Row],[Часов на заказчика  дежурство]]</f>
        <v>11</v>
      </c>
      <c r="O38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6" s="9">
        <v>180000</v>
      </c>
      <c r="R3856" s="9"/>
      <c r="S3856" s="5">
        <v>1</v>
      </c>
      <c r="T38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табеле]])*S3856,0)</f>
        <v>6000</v>
      </c>
      <c r="U3856" s="5">
        <f>IF(Таблица1[[#This Row],[ТТН]]&gt;0,Таблица1[[#This Row],[Ставка за ТТН]]*Таблица1[[#This Row],[ТТН]],0)</f>
        <v>0</v>
      </c>
    </row>
    <row r="3857" spans="1:21" x14ac:dyDescent="0.25">
      <c r="A3857" t="s">
        <v>84</v>
      </c>
      <c r="B3857" s="24">
        <v>3</v>
      </c>
      <c r="C3857" t="s">
        <v>192</v>
      </c>
      <c r="D3857" t="s">
        <v>82</v>
      </c>
      <c r="E3857" t="s">
        <v>215</v>
      </c>
      <c r="F3857" t="s">
        <v>51</v>
      </c>
      <c r="H3857" t="s">
        <v>10</v>
      </c>
      <c r="I3857" t="s">
        <v>219</v>
      </c>
      <c r="J3857">
        <v>11</v>
      </c>
      <c r="L3857">
        <v>11</v>
      </c>
      <c r="N3857">
        <f>Таблица1[[#This Row],[Часов на заказчика  в работе]]+Таблица1[[#This Row],[Часов на заказчика  дежурство]]</f>
        <v>11</v>
      </c>
      <c r="O38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7" s="9">
        <v>180000</v>
      </c>
      <c r="R3857" s="9"/>
      <c r="S3857" s="5">
        <v>1</v>
      </c>
      <c r="T38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табеле]])*S3857,0)</f>
        <v>6000</v>
      </c>
      <c r="U3857" s="5">
        <f>IF(Таблица1[[#This Row],[ТТН]]&gt;0,Таблица1[[#This Row],[Ставка за ТТН]]*Таблица1[[#This Row],[ТТН]],0)</f>
        <v>0</v>
      </c>
    </row>
    <row r="3858" spans="1:21" x14ac:dyDescent="0.25">
      <c r="A3858" t="s">
        <v>84</v>
      </c>
      <c r="B3858" s="24">
        <v>4</v>
      </c>
      <c r="C3858" t="s">
        <v>192</v>
      </c>
      <c r="D3858" t="s">
        <v>82</v>
      </c>
      <c r="E3858" t="s">
        <v>215</v>
      </c>
      <c r="F3858" t="s">
        <v>51</v>
      </c>
      <c r="H3858" t="s">
        <v>10</v>
      </c>
      <c r="I3858" t="s">
        <v>219</v>
      </c>
      <c r="J3858">
        <v>11</v>
      </c>
      <c r="L3858">
        <v>11</v>
      </c>
      <c r="N3858">
        <f>Таблица1[[#This Row],[Часов на заказчика  в работе]]+Таблица1[[#This Row],[Часов на заказчика  дежурство]]</f>
        <v>11</v>
      </c>
      <c r="O38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8" s="9">
        <v>180000</v>
      </c>
      <c r="R3858" s="9"/>
      <c r="S3858" s="5">
        <v>1</v>
      </c>
      <c r="T38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табеле]])*S3858,0)</f>
        <v>6000</v>
      </c>
      <c r="U3858" s="5">
        <f>IF(Таблица1[[#This Row],[ТТН]]&gt;0,Таблица1[[#This Row],[Ставка за ТТН]]*Таблица1[[#This Row],[ТТН]],0)</f>
        <v>0</v>
      </c>
    </row>
    <row r="3859" spans="1:21" x14ac:dyDescent="0.25">
      <c r="A3859" t="s">
        <v>84</v>
      </c>
      <c r="B3859" s="24">
        <v>5</v>
      </c>
      <c r="C3859" t="s">
        <v>192</v>
      </c>
      <c r="D3859" t="s">
        <v>82</v>
      </c>
      <c r="E3859" t="s">
        <v>215</v>
      </c>
      <c r="F3859" t="s">
        <v>51</v>
      </c>
      <c r="H3859" t="s">
        <v>10</v>
      </c>
      <c r="I3859" t="s">
        <v>219</v>
      </c>
      <c r="J3859">
        <v>11</v>
      </c>
      <c r="L3859">
        <v>11</v>
      </c>
      <c r="N3859">
        <f>Таблица1[[#This Row],[Часов на заказчика  в работе]]+Таблица1[[#This Row],[Часов на заказчика  дежурство]]</f>
        <v>11</v>
      </c>
      <c r="O38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59" s="9">
        <v>180000</v>
      </c>
      <c r="R3859" s="9"/>
      <c r="S3859" s="5">
        <v>1</v>
      </c>
      <c r="T38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табеле]])*S3859,0)</f>
        <v>6000</v>
      </c>
      <c r="U3859" s="5">
        <f>IF(Таблица1[[#This Row],[ТТН]]&gt;0,Таблица1[[#This Row],[Ставка за ТТН]]*Таблица1[[#This Row],[ТТН]],0)</f>
        <v>0</v>
      </c>
    </row>
    <row r="3860" spans="1:21" x14ac:dyDescent="0.25">
      <c r="A3860" t="s">
        <v>84</v>
      </c>
      <c r="B3860" s="24">
        <v>6</v>
      </c>
      <c r="C3860" t="s">
        <v>192</v>
      </c>
      <c r="D3860" t="s">
        <v>82</v>
      </c>
      <c r="E3860" t="s">
        <v>215</v>
      </c>
      <c r="F3860" t="s">
        <v>51</v>
      </c>
      <c r="H3860" t="s">
        <v>10</v>
      </c>
      <c r="I3860" t="s">
        <v>219</v>
      </c>
      <c r="J3860">
        <v>11</v>
      </c>
      <c r="L3860">
        <v>11</v>
      </c>
      <c r="N3860">
        <f>Таблица1[[#This Row],[Часов на заказчика  в работе]]+Таблица1[[#This Row],[Часов на заказчика  дежурство]]</f>
        <v>11</v>
      </c>
      <c r="O38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0" s="9">
        <v>180000</v>
      </c>
      <c r="R3860" s="9"/>
      <c r="S3860" s="5">
        <v>1</v>
      </c>
      <c r="T38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табеле]])*S3860,0)</f>
        <v>6000</v>
      </c>
      <c r="U3860" s="5">
        <f>IF(Таблица1[[#This Row],[ТТН]]&gt;0,Таблица1[[#This Row],[Ставка за ТТН]]*Таблица1[[#This Row],[ТТН]],0)</f>
        <v>0</v>
      </c>
    </row>
    <row r="3861" spans="1:21" x14ac:dyDescent="0.25">
      <c r="A3861" t="s">
        <v>84</v>
      </c>
      <c r="B3861" s="24">
        <v>7</v>
      </c>
      <c r="C3861" t="s">
        <v>192</v>
      </c>
      <c r="D3861" t="s">
        <v>82</v>
      </c>
      <c r="E3861" t="s">
        <v>215</v>
      </c>
      <c r="F3861" t="s">
        <v>51</v>
      </c>
      <c r="H3861" t="s">
        <v>10</v>
      </c>
      <c r="I3861" t="s">
        <v>219</v>
      </c>
      <c r="J3861">
        <v>11</v>
      </c>
      <c r="L3861">
        <v>11</v>
      </c>
      <c r="N3861">
        <f>Таблица1[[#This Row],[Часов на заказчика  в работе]]+Таблица1[[#This Row],[Часов на заказчика  дежурство]]</f>
        <v>11</v>
      </c>
      <c r="O38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1" s="9">
        <v>180000</v>
      </c>
      <c r="R3861" s="9"/>
      <c r="S3861" s="5">
        <v>1</v>
      </c>
      <c r="T38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табеле]])*S3861,0)</f>
        <v>6000</v>
      </c>
      <c r="U3861" s="5">
        <f>IF(Таблица1[[#This Row],[ТТН]]&gt;0,Таблица1[[#This Row],[Ставка за ТТН]]*Таблица1[[#This Row],[ТТН]],0)</f>
        <v>0</v>
      </c>
    </row>
    <row r="3862" spans="1:21" x14ac:dyDescent="0.25">
      <c r="A3862" t="s">
        <v>84</v>
      </c>
      <c r="B3862" s="24">
        <v>8</v>
      </c>
      <c r="C3862" t="s">
        <v>192</v>
      </c>
      <c r="D3862" t="s">
        <v>82</v>
      </c>
      <c r="E3862" t="s">
        <v>215</v>
      </c>
      <c r="F3862" t="s">
        <v>51</v>
      </c>
      <c r="H3862" t="s">
        <v>10</v>
      </c>
      <c r="I3862" t="s">
        <v>219</v>
      </c>
      <c r="J3862">
        <v>11</v>
      </c>
      <c r="L3862">
        <v>11</v>
      </c>
      <c r="N3862">
        <f>Таблица1[[#This Row],[Часов на заказчика  в работе]]+Таблица1[[#This Row],[Часов на заказчика  дежурство]]</f>
        <v>11</v>
      </c>
      <c r="O38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2" s="9">
        <v>180000</v>
      </c>
      <c r="R3862" s="9"/>
      <c r="S3862" s="5">
        <v>1</v>
      </c>
      <c r="T38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табеле]])*S3862,0)</f>
        <v>6000</v>
      </c>
      <c r="U3862" s="5">
        <f>IF(Таблица1[[#This Row],[ТТН]]&gt;0,Таблица1[[#This Row],[Ставка за ТТН]]*Таблица1[[#This Row],[ТТН]],0)</f>
        <v>0</v>
      </c>
    </row>
    <row r="3863" spans="1:21" x14ac:dyDescent="0.25">
      <c r="A3863" t="s">
        <v>84</v>
      </c>
      <c r="B3863" s="24">
        <v>9</v>
      </c>
      <c r="C3863" t="s">
        <v>192</v>
      </c>
      <c r="D3863" t="s">
        <v>82</v>
      </c>
      <c r="E3863" t="s">
        <v>215</v>
      </c>
      <c r="F3863" t="s">
        <v>51</v>
      </c>
      <c r="H3863" t="s">
        <v>10</v>
      </c>
      <c r="I3863" t="s">
        <v>219</v>
      </c>
      <c r="J3863">
        <v>11</v>
      </c>
      <c r="L3863">
        <v>11</v>
      </c>
      <c r="N3863">
        <f>Таблица1[[#This Row],[Часов на заказчика  в работе]]+Таблица1[[#This Row],[Часов на заказчика  дежурство]]</f>
        <v>11</v>
      </c>
      <c r="O38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3" s="9">
        <v>180000</v>
      </c>
      <c r="R3863" s="9"/>
      <c r="S3863" s="5">
        <v>1</v>
      </c>
      <c r="T38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табеле]])*S3863,0)</f>
        <v>6000</v>
      </c>
      <c r="U3863" s="5">
        <f>IF(Таблица1[[#This Row],[ТТН]]&gt;0,Таблица1[[#This Row],[Ставка за ТТН]]*Таблица1[[#This Row],[ТТН]],0)</f>
        <v>0</v>
      </c>
    </row>
    <row r="3864" spans="1:21" x14ac:dyDescent="0.25">
      <c r="A3864" t="s">
        <v>84</v>
      </c>
      <c r="B3864" s="24">
        <v>10</v>
      </c>
      <c r="C3864" t="s">
        <v>192</v>
      </c>
      <c r="D3864" t="s">
        <v>82</v>
      </c>
      <c r="E3864" t="s">
        <v>215</v>
      </c>
      <c r="F3864" t="s">
        <v>51</v>
      </c>
      <c r="H3864" t="s">
        <v>10</v>
      </c>
      <c r="I3864" t="s">
        <v>219</v>
      </c>
      <c r="J3864">
        <v>11</v>
      </c>
      <c r="L3864">
        <v>11</v>
      </c>
      <c r="N3864">
        <f>Таблица1[[#This Row],[Часов на заказчика  в работе]]+Таблица1[[#This Row],[Часов на заказчика  дежурство]]</f>
        <v>11</v>
      </c>
      <c r="O38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4" s="9">
        <v>180000</v>
      </c>
      <c r="R3864" s="9"/>
      <c r="S3864" s="5">
        <v>1</v>
      </c>
      <c r="T38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табеле]])*S3864,0)</f>
        <v>6000</v>
      </c>
      <c r="U3864" s="5">
        <f>IF(Таблица1[[#This Row],[ТТН]]&gt;0,Таблица1[[#This Row],[Ставка за ТТН]]*Таблица1[[#This Row],[ТТН]],0)</f>
        <v>0</v>
      </c>
    </row>
    <row r="3865" spans="1:21" x14ac:dyDescent="0.25">
      <c r="A3865" t="s">
        <v>84</v>
      </c>
      <c r="B3865" s="24">
        <v>11</v>
      </c>
      <c r="C3865" t="s">
        <v>192</v>
      </c>
      <c r="D3865" t="s">
        <v>82</v>
      </c>
      <c r="E3865" t="s">
        <v>215</v>
      </c>
      <c r="F3865" t="s">
        <v>51</v>
      </c>
      <c r="H3865" t="s">
        <v>10</v>
      </c>
      <c r="I3865" t="s">
        <v>219</v>
      </c>
      <c r="J3865">
        <v>11</v>
      </c>
      <c r="L3865">
        <v>11</v>
      </c>
      <c r="N3865">
        <f>Таблица1[[#This Row],[Часов на заказчика  в работе]]+Таблица1[[#This Row],[Часов на заказчика  дежурство]]</f>
        <v>11</v>
      </c>
      <c r="O38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5" s="9">
        <v>180000</v>
      </c>
      <c r="R3865" s="9"/>
      <c r="S3865" s="5">
        <v>1</v>
      </c>
      <c r="T38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табеле]])*S3865,0)</f>
        <v>6000</v>
      </c>
      <c r="U3865" s="5">
        <f>IF(Таблица1[[#This Row],[ТТН]]&gt;0,Таблица1[[#This Row],[Ставка за ТТН]]*Таблица1[[#This Row],[ТТН]],0)</f>
        <v>0</v>
      </c>
    </row>
    <row r="3866" spans="1:21" x14ac:dyDescent="0.25">
      <c r="A3866" t="s">
        <v>84</v>
      </c>
      <c r="B3866" s="24">
        <v>12</v>
      </c>
      <c r="C3866" t="s">
        <v>192</v>
      </c>
      <c r="D3866" t="s">
        <v>82</v>
      </c>
      <c r="E3866" t="s">
        <v>215</v>
      </c>
      <c r="F3866" t="s">
        <v>51</v>
      </c>
      <c r="H3866" t="s">
        <v>10</v>
      </c>
      <c r="I3866" t="s">
        <v>219</v>
      </c>
      <c r="J3866">
        <v>11</v>
      </c>
      <c r="L3866">
        <v>11</v>
      </c>
      <c r="N3866">
        <f>Таблица1[[#This Row],[Часов на заказчика  в работе]]+Таблица1[[#This Row],[Часов на заказчика  дежурство]]</f>
        <v>11</v>
      </c>
      <c r="O38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6" s="9">
        <v>180000</v>
      </c>
      <c r="R3866" s="9"/>
      <c r="S3866" s="5">
        <v>1</v>
      </c>
      <c r="T38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табеле]])*S3866,0)</f>
        <v>6000</v>
      </c>
      <c r="U3866" s="5">
        <f>IF(Таблица1[[#This Row],[ТТН]]&gt;0,Таблица1[[#This Row],[Ставка за ТТН]]*Таблица1[[#This Row],[ТТН]],0)</f>
        <v>0</v>
      </c>
    </row>
    <row r="3867" spans="1:21" x14ac:dyDescent="0.25">
      <c r="A3867" t="s">
        <v>84</v>
      </c>
      <c r="B3867" s="24">
        <v>13</v>
      </c>
      <c r="C3867" t="s">
        <v>192</v>
      </c>
      <c r="D3867" t="s">
        <v>82</v>
      </c>
      <c r="E3867" t="s">
        <v>215</v>
      </c>
      <c r="F3867" t="s">
        <v>51</v>
      </c>
      <c r="H3867" t="s">
        <v>10</v>
      </c>
      <c r="I3867" t="s">
        <v>219</v>
      </c>
      <c r="J3867">
        <v>11</v>
      </c>
      <c r="L3867">
        <v>11</v>
      </c>
      <c r="N3867">
        <f>Таблица1[[#This Row],[Часов на заказчика  в работе]]+Таблица1[[#This Row],[Часов на заказчика  дежурство]]</f>
        <v>11</v>
      </c>
      <c r="O38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7" s="9">
        <v>180000</v>
      </c>
      <c r="R3867" s="9"/>
      <c r="S3867" s="5">
        <v>1</v>
      </c>
      <c r="T38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табеле]])*S3867,0)</f>
        <v>6000</v>
      </c>
      <c r="U3867" s="5">
        <f>IF(Таблица1[[#This Row],[ТТН]]&gt;0,Таблица1[[#This Row],[Ставка за ТТН]]*Таблица1[[#This Row],[ТТН]],0)</f>
        <v>0</v>
      </c>
    </row>
    <row r="3868" spans="1:21" x14ac:dyDescent="0.25">
      <c r="A3868" t="s">
        <v>84</v>
      </c>
      <c r="B3868" s="24">
        <v>14</v>
      </c>
      <c r="C3868" t="s">
        <v>192</v>
      </c>
      <c r="D3868" t="s">
        <v>82</v>
      </c>
      <c r="E3868" t="s">
        <v>215</v>
      </c>
      <c r="F3868" t="s">
        <v>51</v>
      </c>
      <c r="H3868" t="s">
        <v>10</v>
      </c>
      <c r="I3868" t="s">
        <v>219</v>
      </c>
      <c r="J3868">
        <v>11</v>
      </c>
      <c r="L3868">
        <v>11</v>
      </c>
      <c r="N3868">
        <f>Таблица1[[#This Row],[Часов на заказчика  в работе]]+Таблица1[[#This Row],[Часов на заказчика  дежурство]]</f>
        <v>11</v>
      </c>
      <c r="O38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8" s="9">
        <v>180000</v>
      </c>
      <c r="R3868" s="9"/>
      <c r="S3868" s="5">
        <v>1</v>
      </c>
      <c r="T38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табеле]])*S3868,0)</f>
        <v>6000</v>
      </c>
      <c r="U3868" s="5">
        <f>IF(Таблица1[[#This Row],[ТТН]]&gt;0,Таблица1[[#This Row],[Ставка за ТТН]]*Таблица1[[#This Row],[ТТН]],0)</f>
        <v>0</v>
      </c>
    </row>
    <row r="3869" spans="1:21" x14ac:dyDescent="0.25">
      <c r="A3869" t="s">
        <v>84</v>
      </c>
      <c r="B3869" s="24">
        <v>15</v>
      </c>
      <c r="C3869" t="s">
        <v>192</v>
      </c>
      <c r="D3869" t="s">
        <v>82</v>
      </c>
      <c r="E3869" t="s">
        <v>215</v>
      </c>
      <c r="F3869" t="s">
        <v>51</v>
      </c>
      <c r="H3869" t="s">
        <v>10</v>
      </c>
      <c r="I3869" t="s">
        <v>219</v>
      </c>
      <c r="J3869">
        <v>11</v>
      </c>
      <c r="L3869">
        <v>11</v>
      </c>
      <c r="N3869">
        <f>Таблица1[[#This Row],[Часов на заказчика  в работе]]+Таблица1[[#This Row],[Часов на заказчика  дежурство]]</f>
        <v>11</v>
      </c>
      <c r="O38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69" s="9">
        <v>180000</v>
      </c>
      <c r="R3869" s="9"/>
      <c r="S3869" s="5">
        <v>1</v>
      </c>
      <c r="T38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табеле]])*S3869,0)</f>
        <v>6000</v>
      </c>
      <c r="U3869" s="5">
        <f>IF(Таблица1[[#This Row],[ТТН]]&gt;0,Таблица1[[#This Row],[Ставка за ТТН]]*Таблица1[[#This Row],[ТТН]],0)</f>
        <v>0</v>
      </c>
    </row>
    <row r="3870" spans="1:21" x14ac:dyDescent="0.25">
      <c r="A3870" t="s">
        <v>84</v>
      </c>
      <c r="B3870" s="24">
        <v>16</v>
      </c>
      <c r="C3870" t="s">
        <v>192</v>
      </c>
      <c r="D3870" t="s">
        <v>82</v>
      </c>
      <c r="E3870" t="s">
        <v>215</v>
      </c>
      <c r="F3870" t="s">
        <v>51</v>
      </c>
      <c r="H3870" t="s">
        <v>10</v>
      </c>
      <c r="I3870" t="s">
        <v>219</v>
      </c>
      <c r="J3870">
        <v>11</v>
      </c>
      <c r="L3870">
        <v>11</v>
      </c>
      <c r="N3870">
        <f>Таблица1[[#This Row],[Часов на заказчика  в работе]]+Таблица1[[#This Row],[Часов на заказчика  дежурство]]</f>
        <v>11</v>
      </c>
      <c r="O38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0" s="9">
        <v>180000</v>
      </c>
      <c r="R3870" s="9"/>
      <c r="S3870" s="5">
        <v>1</v>
      </c>
      <c r="T38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табеле]])*S3870,0)</f>
        <v>6000</v>
      </c>
      <c r="U3870" s="5">
        <f>IF(Таблица1[[#This Row],[ТТН]]&gt;0,Таблица1[[#This Row],[Ставка за ТТН]]*Таблица1[[#This Row],[ТТН]],0)</f>
        <v>0</v>
      </c>
    </row>
    <row r="3871" spans="1:21" x14ac:dyDescent="0.25">
      <c r="A3871" t="s">
        <v>84</v>
      </c>
      <c r="B3871" s="24">
        <v>17</v>
      </c>
      <c r="C3871" t="s">
        <v>192</v>
      </c>
      <c r="D3871" t="s">
        <v>82</v>
      </c>
      <c r="E3871" t="s">
        <v>215</v>
      </c>
      <c r="F3871" t="s">
        <v>51</v>
      </c>
      <c r="H3871" t="s">
        <v>10</v>
      </c>
      <c r="I3871" t="s">
        <v>219</v>
      </c>
      <c r="J3871">
        <v>11</v>
      </c>
      <c r="L3871">
        <v>11</v>
      </c>
      <c r="N3871">
        <f>Таблица1[[#This Row],[Часов на заказчика  в работе]]+Таблица1[[#This Row],[Часов на заказчика  дежурство]]</f>
        <v>11</v>
      </c>
      <c r="O38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1" s="9">
        <v>180000</v>
      </c>
      <c r="R3871" s="9"/>
      <c r="S3871" s="5">
        <v>1</v>
      </c>
      <c r="T38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табеле]])*S3871,0)</f>
        <v>6000</v>
      </c>
      <c r="U3871" s="5">
        <f>IF(Таблица1[[#This Row],[ТТН]]&gt;0,Таблица1[[#This Row],[Ставка за ТТН]]*Таблица1[[#This Row],[ТТН]],0)</f>
        <v>0</v>
      </c>
    </row>
    <row r="3872" spans="1:21" x14ac:dyDescent="0.25">
      <c r="A3872" t="s">
        <v>84</v>
      </c>
      <c r="B3872" s="24">
        <v>18</v>
      </c>
      <c r="C3872" t="s">
        <v>192</v>
      </c>
      <c r="D3872" t="s">
        <v>82</v>
      </c>
      <c r="E3872" t="s">
        <v>215</v>
      </c>
      <c r="F3872" t="s">
        <v>51</v>
      </c>
      <c r="H3872" t="s">
        <v>10</v>
      </c>
      <c r="I3872" t="s">
        <v>219</v>
      </c>
      <c r="J3872">
        <v>11</v>
      </c>
      <c r="L3872">
        <v>11</v>
      </c>
      <c r="N3872">
        <f>Таблица1[[#This Row],[Часов на заказчика  в работе]]+Таблица1[[#This Row],[Часов на заказчика  дежурство]]</f>
        <v>11</v>
      </c>
      <c r="O38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2" s="9">
        <v>180000</v>
      </c>
      <c r="R3872" s="9"/>
      <c r="S3872" s="5">
        <v>1</v>
      </c>
      <c r="T38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табеле]])*S3872,0)</f>
        <v>6000</v>
      </c>
      <c r="U3872" s="5">
        <f>IF(Таблица1[[#This Row],[ТТН]]&gt;0,Таблица1[[#This Row],[Ставка за ТТН]]*Таблица1[[#This Row],[ТТН]],0)</f>
        <v>0</v>
      </c>
    </row>
    <row r="3873" spans="1:21" x14ac:dyDescent="0.25">
      <c r="A3873" t="s">
        <v>84</v>
      </c>
      <c r="B3873" s="24">
        <v>19</v>
      </c>
      <c r="C3873" t="s">
        <v>192</v>
      </c>
      <c r="D3873" t="s">
        <v>82</v>
      </c>
      <c r="E3873" t="s">
        <v>215</v>
      </c>
      <c r="F3873" t="s">
        <v>51</v>
      </c>
      <c r="H3873" t="s">
        <v>10</v>
      </c>
      <c r="I3873" t="s">
        <v>219</v>
      </c>
      <c r="J3873">
        <v>11</v>
      </c>
      <c r="L3873">
        <v>11</v>
      </c>
      <c r="N3873">
        <f>Таблица1[[#This Row],[Часов на заказчика  в работе]]+Таблица1[[#This Row],[Часов на заказчика  дежурство]]</f>
        <v>11</v>
      </c>
      <c r="O38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3" s="9">
        <v>180000</v>
      </c>
      <c r="R3873" s="9"/>
      <c r="S3873" s="5">
        <v>1</v>
      </c>
      <c r="T38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табеле]])*S3873,0)</f>
        <v>6000</v>
      </c>
      <c r="U3873" s="5">
        <f>IF(Таблица1[[#This Row],[ТТН]]&gt;0,Таблица1[[#This Row],[Ставка за ТТН]]*Таблица1[[#This Row],[ТТН]],0)</f>
        <v>0</v>
      </c>
    </row>
    <row r="3874" spans="1:21" x14ac:dyDescent="0.25">
      <c r="A3874" t="s">
        <v>84</v>
      </c>
      <c r="B3874" s="24">
        <v>20</v>
      </c>
      <c r="C3874" t="s">
        <v>192</v>
      </c>
      <c r="D3874" t="s">
        <v>82</v>
      </c>
      <c r="E3874" t="s">
        <v>215</v>
      </c>
      <c r="F3874" t="s">
        <v>51</v>
      </c>
      <c r="H3874" t="s">
        <v>10</v>
      </c>
      <c r="I3874" t="s">
        <v>219</v>
      </c>
      <c r="J3874">
        <v>22</v>
      </c>
      <c r="L3874">
        <v>22</v>
      </c>
      <c r="N3874">
        <f>Таблица1[[#This Row],[Часов на заказчика  в работе]]+Таблица1[[#This Row],[Часов на заказчика  дежурство]]</f>
        <v>22</v>
      </c>
      <c r="O38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4" s="9">
        <v>180000</v>
      </c>
      <c r="R3874" s="9"/>
      <c r="S3874" s="5">
        <v>1</v>
      </c>
      <c r="T38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табеле]])*S3874,0)</f>
        <v>12000</v>
      </c>
      <c r="U3874" s="5">
        <f>IF(Таблица1[[#This Row],[ТТН]]&gt;0,Таблица1[[#This Row],[Ставка за ТТН]]*Таблица1[[#This Row],[ТТН]],0)</f>
        <v>0</v>
      </c>
    </row>
    <row r="3875" spans="1:21" x14ac:dyDescent="0.25">
      <c r="A3875" t="s">
        <v>84</v>
      </c>
      <c r="B3875" s="24">
        <v>21</v>
      </c>
      <c r="C3875" t="s">
        <v>192</v>
      </c>
      <c r="D3875" t="s">
        <v>82</v>
      </c>
      <c r="E3875" t="s">
        <v>215</v>
      </c>
      <c r="F3875" t="s">
        <v>51</v>
      </c>
      <c r="H3875" t="s">
        <v>10</v>
      </c>
      <c r="I3875" t="s">
        <v>219</v>
      </c>
      <c r="J3875">
        <v>11</v>
      </c>
      <c r="L3875">
        <v>11</v>
      </c>
      <c r="N3875">
        <f>Таблица1[[#This Row],[Часов на заказчика  в работе]]+Таблица1[[#This Row],[Часов на заказчика  дежурство]]</f>
        <v>11</v>
      </c>
      <c r="O38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5" s="9">
        <v>180000</v>
      </c>
      <c r="R3875" s="9"/>
      <c r="S3875" s="5">
        <v>1</v>
      </c>
      <c r="T38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табеле]])*S3875,0)</f>
        <v>6000</v>
      </c>
      <c r="U3875" s="5">
        <f>IF(Таблица1[[#This Row],[ТТН]]&gt;0,Таблица1[[#This Row],[Ставка за ТТН]]*Таблица1[[#This Row],[ТТН]],0)</f>
        <v>0</v>
      </c>
    </row>
    <row r="3876" spans="1:21" x14ac:dyDescent="0.25">
      <c r="A3876" t="s">
        <v>84</v>
      </c>
      <c r="B3876" s="24">
        <v>22</v>
      </c>
      <c r="C3876" t="s">
        <v>192</v>
      </c>
      <c r="D3876" t="s">
        <v>82</v>
      </c>
      <c r="E3876" t="s">
        <v>215</v>
      </c>
      <c r="F3876" t="s">
        <v>51</v>
      </c>
      <c r="H3876" t="s">
        <v>10</v>
      </c>
      <c r="I3876" t="s">
        <v>219</v>
      </c>
      <c r="J3876">
        <v>11</v>
      </c>
      <c r="L3876">
        <v>11</v>
      </c>
      <c r="N3876">
        <f>Таблица1[[#This Row],[Часов на заказчика  в работе]]+Таблица1[[#This Row],[Часов на заказчика  дежурство]]</f>
        <v>11</v>
      </c>
      <c r="O38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6" s="9">
        <v>180000</v>
      </c>
      <c r="R3876" s="9"/>
      <c r="S3876" s="5">
        <v>1</v>
      </c>
      <c r="T38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табеле]])*S3876,0)</f>
        <v>6000</v>
      </c>
      <c r="U3876" s="5">
        <f>IF(Таблица1[[#This Row],[ТТН]]&gt;0,Таблица1[[#This Row],[Ставка за ТТН]]*Таблица1[[#This Row],[ТТН]],0)</f>
        <v>0</v>
      </c>
    </row>
    <row r="3877" spans="1:21" x14ac:dyDescent="0.25">
      <c r="A3877" t="s">
        <v>84</v>
      </c>
      <c r="B3877" s="24">
        <v>23</v>
      </c>
      <c r="C3877" t="s">
        <v>192</v>
      </c>
      <c r="D3877" t="s">
        <v>82</v>
      </c>
      <c r="E3877" t="s">
        <v>215</v>
      </c>
      <c r="F3877" t="s">
        <v>51</v>
      </c>
      <c r="H3877" t="s">
        <v>10</v>
      </c>
      <c r="I3877" t="s">
        <v>219</v>
      </c>
      <c r="J3877">
        <v>11</v>
      </c>
      <c r="L3877">
        <v>11</v>
      </c>
      <c r="N3877">
        <f>Таблица1[[#This Row],[Часов на заказчика  в работе]]+Таблица1[[#This Row],[Часов на заказчика  дежурство]]</f>
        <v>11</v>
      </c>
      <c r="O38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7" s="9">
        <v>180000</v>
      </c>
      <c r="R3877" s="9"/>
      <c r="S3877" s="5">
        <v>1</v>
      </c>
      <c r="T38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табеле]])*S3877,0)</f>
        <v>6000</v>
      </c>
      <c r="U3877" s="5">
        <f>IF(Таблица1[[#This Row],[ТТН]]&gt;0,Таблица1[[#This Row],[Ставка за ТТН]]*Таблица1[[#This Row],[ТТН]],0)</f>
        <v>0</v>
      </c>
    </row>
    <row r="3878" spans="1:21" x14ac:dyDescent="0.25">
      <c r="A3878" t="s">
        <v>84</v>
      </c>
      <c r="B3878" s="24">
        <v>24</v>
      </c>
      <c r="C3878" t="s">
        <v>192</v>
      </c>
      <c r="D3878" t="s">
        <v>82</v>
      </c>
      <c r="E3878" t="s">
        <v>215</v>
      </c>
      <c r="F3878" t="s">
        <v>51</v>
      </c>
      <c r="H3878" t="s">
        <v>10</v>
      </c>
      <c r="I3878" t="s">
        <v>219</v>
      </c>
      <c r="J3878">
        <v>11</v>
      </c>
      <c r="L3878">
        <v>11</v>
      </c>
      <c r="N3878">
        <f>Таблица1[[#This Row],[Часов на заказчика  в работе]]+Таблица1[[#This Row],[Часов на заказчика  дежурство]]</f>
        <v>11</v>
      </c>
      <c r="O38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8" s="9">
        <v>180000</v>
      </c>
      <c r="R3878" s="9"/>
      <c r="S3878" s="5">
        <v>1</v>
      </c>
      <c r="T38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табеле]])*S3878,0)</f>
        <v>6000</v>
      </c>
      <c r="U3878" s="5">
        <f>IF(Таблица1[[#This Row],[ТТН]]&gt;0,Таблица1[[#This Row],[Ставка за ТТН]]*Таблица1[[#This Row],[ТТН]],0)</f>
        <v>0</v>
      </c>
    </row>
    <row r="3879" spans="1:21" x14ac:dyDescent="0.25">
      <c r="A3879" t="s">
        <v>84</v>
      </c>
      <c r="B3879" s="24">
        <v>25</v>
      </c>
      <c r="C3879" t="s">
        <v>192</v>
      </c>
      <c r="D3879" t="s">
        <v>82</v>
      </c>
      <c r="E3879" t="s">
        <v>215</v>
      </c>
      <c r="F3879" t="s">
        <v>51</v>
      </c>
      <c r="H3879" t="s">
        <v>10</v>
      </c>
      <c r="I3879" t="s">
        <v>219</v>
      </c>
      <c r="J3879">
        <v>11</v>
      </c>
      <c r="L3879">
        <v>11</v>
      </c>
      <c r="N3879">
        <f>Таблица1[[#This Row],[Часов на заказчика  в работе]]+Таблица1[[#This Row],[Часов на заказчика  дежурство]]</f>
        <v>11</v>
      </c>
      <c r="O38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79" s="9">
        <v>180000</v>
      </c>
      <c r="R3879" s="9"/>
      <c r="S3879" s="5">
        <v>1</v>
      </c>
      <c r="T38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табеле]])*S3879,0)</f>
        <v>6000</v>
      </c>
      <c r="U3879" s="5">
        <f>IF(Таблица1[[#This Row],[ТТН]]&gt;0,Таблица1[[#This Row],[Ставка за ТТН]]*Таблица1[[#This Row],[ТТН]],0)</f>
        <v>0</v>
      </c>
    </row>
    <row r="3880" spans="1:21" x14ac:dyDescent="0.25">
      <c r="A3880" t="s">
        <v>84</v>
      </c>
      <c r="B3880" s="24">
        <v>26</v>
      </c>
      <c r="C3880" t="s">
        <v>192</v>
      </c>
      <c r="D3880" t="s">
        <v>82</v>
      </c>
      <c r="E3880" t="s">
        <v>215</v>
      </c>
      <c r="F3880" t="s">
        <v>51</v>
      </c>
      <c r="H3880" t="s">
        <v>10</v>
      </c>
      <c r="I3880" t="s">
        <v>219</v>
      </c>
      <c r="J3880">
        <v>11</v>
      </c>
      <c r="L3880">
        <v>11</v>
      </c>
      <c r="N3880">
        <f>Таблица1[[#This Row],[Часов на заказчика  в работе]]+Таблица1[[#This Row],[Часов на заказчика  дежурство]]</f>
        <v>11</v>
      </c>
      <c r="O38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0" s="9">
        <v>180000</v>
      </c>
      <c r="R3880" s="9"/>
      <c r="S3880" s="5">
        <v>1</v>
      </c>
      <c r="T38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табеле]])*S3880,0)</f>
        <v>6000</v>
      </c>
      <c r="U3880" s="5">
        <f>IF(Таблица1[[#This Row],[ТТН]]&gt;0,Таблица1[[#This Row],[Ставка за ТТН]]*Таблица1[[#This Row],[ТТН]],0)</f>
        <v>0</v>
      </c>
    </row>
    <row r="3881" spans="1:21" x14ac:dyDescent="0.25">
      <c r="A3881" t="s">
        <v>84</v>
      </c>
      <c r="B3881" s="24">
        <v>27</v>
      </c>
      <c r="C3881" t="s">
        <v>192</v>
      </c>
      <c r="D3881" t="s">
        <v>82</v>
      </c>
      <c r="E3881" t="s">
        <v>215</v>
      </c>
      <c r="F3881" t="s">
        <v>51</v>
      </c>
      <c r="H3881" t="s">
        <v>10</v>
      </c>
      <c r="I3881" t="s">
        <v>219</v>
      </c>
      <c r="J3881">
        <v>11</v>
      </c>
      <c r="L3881">
        <v>11</v>
      </c>
      <c r="N3881">
        <f>Таблица1[[#This Row],[Часов на заказчика  в работе]]+Таблица1[[#This Row],[Часов на заказчика  дежурство]]</f>
        <v>11</v>
      </c>
      <c r="O38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1" s="9">
        <v>180000</v>
      </c>
      <c r="R3881" s="9"/>
      <c r="S3881" s="5">
        <v>1</v>
      </c>
      <c r="T38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табеле]])*S3881,0)</f>
        <v>6000</v>
      </c>
      <c r="U3881" s="5">
        <f>IF(Таблица1[[#This Row],[ТТН]]&gt;0,Таблица1[[#This Row],[Ставка за ТТН]]*Таблица1[[#This Row],[ТТН]],0)</f>
        <v>0</v>
      </c>
    </row>
    <row r="3882" spans="1:21" x14ac:dyDescent="0.25">
      <c r="A3882" t="s">
        <v>84</v>
      </c>
      <c r="B3882" s="24">
        <v>28</v>
      </c>
      <c r="C3882" t="s">
        <v>192</v>
      </c>
      <c r="D3882" t="s">
        <v>82</v>
      </c>
      <c r="E3882" t="s">
        <v>215</v>
      </c>
      <c r="F3882" t="s">
        <v>51</v>
      </c>
      <c r="H3882" t="s">
        <v>10</v>
      </c>
      <c r="I3882" t="s">
        <v>219</v>
      </c>
      <c r="J3882">
        <v>11</v>
      </c>
      <c r="L3882">
        <v>11</v>
      </c>
      <c r="N3882">
        <f>Таблица1[[#This Row],[Часов на заказчика  в работе]]+Таблица1[[#This Row],[Часов на заказчика  дежурство]]</f>
        <v>11</v>
      </c>
      <c r="O38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2" s="9">
        <v>180000</v>
      </c>
      <c r="R3882" s="9"/>
      <c r="S3882" s="5">
        <v>1</v>
      </c>
      <c r="T38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табеле]])*S3882,0)</f>
        <v>6000</v>
      </c>
      <c r="U3882" s="5">
        <f>IF(Таблица1[[#This Row],[ТТН]]&gt;0,Таблица1[[#This Row],[Ставка за ТТН]]*Таблица1[[#This Row],[ТТН]],0)</f>
        <v>0</v>
      </c>
    </row>
    <row r="3883" spans="1:21" x14ac:dyDescent="0.25">
      <c r="A3883" t="s">
        <v>84</v>
      </c>
      <c r="B3883" s="24">
        <v>29</v>
      </c>
      <c r="C3883" t="s">
        <v>192</v>
      </c>
      <c r="D3883" t="s">
        <v>82</v>
      </c>
      <c r="E3883" t="s">
        <v>215</v>
      </c>
      <c r="F3883" t="s">
        <v>51</v>
      </c>
      <c r="H3883" t="s">
        <v>10</v>
      </c>
      <c r="I3883" t="s">
        <v>219</v>
      </c>
      <c r="J3883">
        <v>11</v>
      </c>
      <c r="L3883">
        <v>11</v>
      </c>
      <c r="N3883">
        <f>Таблица1[[#This Row],[Часов на заказчика  в работе]]+Таблица1[[#This Row],[Часов на заказчика  дежурство]]</f>
        <v>11</v>
      </c>
      <c r="O38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3" s="9">
        <v>180000</v>
      </c>
      <c r="R3883" s="9"/>
      <c r="S3883" s="5">
        <v>1</v>
      </c>
      <c r="T38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табеле]])*S3883,0)</f>
        <v>6000</v>
      </c>
      <c r="U3883" s="5">
        <f>IF(Таблица1[[#This Row],[ТТН]]&gt;0,Таблица1[[#This Row],[Ставка за ТТН]]*Таблица1[[#This Row],[ТТН]],0)</f>
        <v>0</v>
      </c>
    </row>
    <row r="3884" spans="1:21" x14ac:dyDescent="0.25">
      <c r="A3884" t="s">
        <v>84</v>
      </c>
      <c r="B3884" s="24">
        <v>30</v>
      </c>
      <c r="C3884" t="s">
        <v>187</v>
      </c>
      <c r="D3884" t="s">
        <v>82</v>
      </c>
      <c r="E3884" t="s">
        <v>215</v>
      </c>
      <c r="F3884" t="s">
        <v>51</v>
      </c>
      <c r="H3884" t="s">
        <v>10</v>
      </c>
      <c r="I3884" t="s">
        <v>219</v>
      </c>
      <c r="J3884">
        <v>11</v>
      </c>
      <c r="L3884">
        <v>11</v>
      </c>
      <c r="N3884">
        <f>Таблица1[[#This Row],[Часов на заказчика  в работе]]+Таблица1[[#This Row],[Часов на заказчика  дежурство]]</f>
        <v>11</v>
      </c>
      <c r="O38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4" s="9">
        <v>180000</v>
      </c>
      <c r="R3884" s="9"/>
      <c r="S3884" s="5">
        <v>1</v>
      </c>
      <c r="T38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табеле]])*S3884,0)</f>
        <v>6000</v>
      </c>
      <c r="U3884" s="5">
        <f>IF(Таблица1[[#This Row],[ТТН]]&gt;0,Таблица1[[#This Row],[Ставка за ТТН]]*Таблица1[[#This Row],[ТТН]],0)</f>
        <v>0</v>
      </c>
    </row>
    <row r="3885" spans="1:21" x14ac:dyDescent="0.25">
      <c r="A3885" t="s">
        <v>84</v>
      </c>
      <c r="B3885" s="24">
        <v>1</v>
      </c>
      <c r="C3885" t="s">
        <v>187</v>
      </c>
      <c r="D3885" t="s">
        <v>12</v>
      </c>
      <c r="E3885" t="s">
        <v>215</v>
      </c>
      <c r="F3885" t="s">
        <v>72</v>
      </c>
      <c r="H3885" t="s">
        <v>23</v>
      </c>
      <c r="I3885" t="s">
        <v>217</v>
      </c>
      <c r="J3885">
        <v>11</v>
      </c>
      <c r="N3885">
        <f>Таблица1[[#This Row],[Часов на заказчика  в работе]]+Таблица1[[#This Row],[Часов на заказчика  дежурство]]</f>
        <v>0</v>
      </c>
      <c r="O38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5" s="9">
        <v>190000</v>
      </c>
      <c r="R3885" s="9"/>
      <c r="S3885" s="5">
        <v>1</v>
      </c>
      <c r="T38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табеле]])*S3885,0)</f>
        <v>6333.333333333333</v>
      </c>
      <c r="U3885" s="5">
        <f>IF(Таблица1[[#This Row],[ТТН]]&gt;0,Таблица1[[#This Row],[Ставка за ТТН]]*Таблица1[[#This Row],[ТТН]],0)</f>
        <v>0</v>
      </c>
    </row>
    <row r="3886" spans="1:21" x14ac:dyDescent="0.25">
      <c r="A3886" t="s">
        <v>84</v>
      </c>
      <c r="B3886" s="24">
        <v>2</v>
      </c>
      <c r="C3886" t="s">
        <v>187</v>
      </c>
      <c r="D3886" t="s">
        <v>12</v>
      </c>
      <c r="E3886" t="s">
        <v>215</v>
      </c>
      <c r="F3886" t="s">
        <v>72</v>
      </c>
      <c r="H3886" t="s">
        <v>10</v>
      </c>
      <c r="I3886" t="s">
        <v>219</v>
      </c>
      <c r="J3886">
        <v>11</v>
      </c>
      <c r="L3886">
        <v>11</v>
      </c>
      <c r="N3886">
        <f>Таблица1[[#This Row],[Часов на заказчика  в работе]]+Таблица1[[#This Row],[Часов на заказчика  дежурство]]</f>
        <v>11</v>
      </c>
      <c r="O38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6" s="9">
        <v>190000</v>
      </c>
      <c r="R3886" s="9"/>
      <c r="S3886" s="5">
        <v>1</v>
      </c>
      <c r="T38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табеле]])*S3886,0)</f>
        <v>6333.333333333333</v>
      </c>
      <c r="U3886" s="5">
        <f>IF(Таблица1[[#This Row],[ТТН]]&gt;0,Таблица1[[#This Row],[Ставка за ТТН]]*Таблица1[[#This Row],[ТТН]],0)</f>
        <v>0</v>
      </c>
    </row>
    <row r="3887" spans="1:21" x14ac:dyDescent="0.25">
      <c r="A3887" t="s">
        <v>84</v>
      </c>
      <c r="B3887" s="24">
        <v>3</v>
      </c>
      <c r="C3887" t="s">
        <v>187</v>
      </c>
      <c r="D3887" t="s">
        <v>12</v>
      </c>
      <c r="E3887" t="s">
        <v>215</v>
      </c>
      <c r="F3887" t="s">
        <v>72</v>
      </c>
      <c r="H3887" t="s">
        <v>10</v>
      </c>
      <c r="I3887" t="s">
        <v>219</v>
      </c>
      <c r="J3887">
        <v>11</v>
      </c>
      <c r="L3887">
        <v>11</v>
      </c>
      <c r="N3887">
        <f>Таблица1[[#This Row],[Часов на заказчика  в работе]]+Таблица1[[#This Row],[Часов на заказчика  дежурство]]</f>
        <v>11</v>
      </c>
      <c r="O38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7" s="9">
        <v>190000</v>
      </c>
      <c r="R3887" s="9"/>
      <c r="S3887" s="5">
        <v>1</v>
      </c>
      <c r="T38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табеле]])*S3887,0)</f>
        <v>6333.333333333333</v>
      </c>
      <c r="U3887" s="5">
        <f>IF(Таблица1[[#This Row],[ТТН]]&gt;0,Таблица1[[#This Row],[Ставка за ТТН]]*Таблица1[[#This Row],[ТТН]],0)</f>
        <v>0</v>
      </c>
    </row>
    <row r="3888" spans="1:21" x14ac:dyDescent="0.25">
      <c r="A3888" t="s">
        <v>84</v>
      </c>
      <c r="B3888" s="24">
        <v>4</v>
      </c>
      <c r="C3888" t="s">
        <v>187</v>
      </c>
      <c r="D3888" t="s">
        <v>12</v>
      </c>
      <c r="E3888" t="s">
        <v>215</v>
      </c>
      <c r="F3888" t="s">
        <v>72</v>
      </c>
      <c r="H3888" t="s">
        <v>10</v>
      </c>
      <c r="I3888" t="s">
        <v>219</v>
      </c>
      <c r="J3888">
        <v>11</v>
      </c>
      <c r="L3888">
        <v>11</v>
      </c>
      <c r="N3888">
        <f>Таблица1[[#This Row],[Часов на заказчика  в работе]]+Таблица1[[#This Row],[Часов на заказчика  дежурство]]</f>
        <v>11</v>
      </c>
      <c r="O38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8" s="9">
        <v>190000</v>
      </c>
      <c r="R3888" s="9"/>
      <c r="S3888" s="5">
        <v>1</v>
      </c>
      <c r="T38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табеле]])*S3888,0)</f>
        <v>6333.333333333333</v>
      </c>
      <c r="U3888" s="5">
        <f>IF(Таблица1[[#This Row],[ТТН]]&gt;0,Таблица1[[#This Row],[Ставка за ТТН]]*Таблица1[[#This Row],[ТТН]],0)</f>
        <v>0</v>
      </c>
    </row>
    <row r="3889" spans="1:21" x14ac:dyDescent="0.25">
      <c r="A3889" t="s">
        <v>84</v>
      </c>
      <c r="B3889" s="24">
        <v>5</v>
      </c>
      <c r="C3889" t="s">
        <v>187</v>
      </c>
      <c r="D3889" t="s">
        <v>12</v>
      </c>
      <c r="E3889" t="s">
        <v>215</v>
      </c>
      <c r="F3889" t="s">
        <v>72</v>
      </c>
      <c r="H3889" t="s">
        <v>10</v>
      </c>
      <c r="I3889" t="s">
        <v>219</v>
      </c>
      <c r="J3889">
        <v>11</v>
      </c>
      <c r="L3889">
        <v>11</v>
      </c>
      <c r="N3889">
        <f>Таблица1[[#This Row],[Часов на заказчика  в работе]]+Таблица1[[#This Row],[Часов на заказчика  дежурство]]</f>
        <v>11</v>
      </c>
      <c r="O38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89" s="9">
        <v>190000</v>
      </c>
      <c r="R3889" s="9"/>
      <c r="S3889" s="5">
        <v>1</v>
      </c>
      <c r="T38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табеле]])*S3889,0)</f>
        <v>6333.333333333333</v>
      </c>
      <c r="U3889" s="5">
        <f>IF(Таблица1[[#This Row],[ТТН]]&gt;0,Таблица1[[#This Row],[Ставка за ТТН]]*Таблица1[[#This Row],[ТТН]],0)</f>
        <v>0</v>
      </c>
    </row>
    <row r="3890" spans="1:21" x14ac:dyDescent="0.25">
      <c r="A3890" t="s">
        <v>84</v>
      </c>
      <c r="B3890" s="24">
        <v>6</v>
      </c>
      <c r="C3890" t="s">
        <v>187</v>
      </c>
      <c r="D3890" t="s">
        <v>12</v>
      </c>
      <c r="E3890" t="s">
        <v>215</v>
      </c>
      <c r="F3890" t="s">
        <v>72</v>
      </c>
      <c r="H3890" t="s">
        <v>10</v>
      </c>
      <c r="I3890" t="s">
        <v>219</v>
      </c>
      <c r="J3890">
        <v>11</v>
      </c>
      <c r="L3890">
        <v>11</v>
      </c>
      <c r="N3890">
        <f>Таблица1[[#This Row],[Часов на заказчика  в работе]]+Таблица1[[#This Row],[Часов на заказчика  дежурство]]</f>
        <v>11</v>
      </c>
      <c r="O38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0" s="9">
        <v>190000</v>
      </c>
      <c r="R3890" s="9"/>
      <c r="S3890" s="5">
        <v>1</v>
      </c>
      <c r="T38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табеле]])*S3890,0)</f>
        <v>6333.333333333333</v>
      </c>
      <c r="U3890" s="5">
        <f>IF(Таблица1[[#This Row],[ТТН]]&gt;0,Таблица1[[#This Row],[Ставка за ТТН]]*Таблица1[[#This Row],[ТТН]],0)</f>
        <v>0</v>
      </c>
    </row>
    <row r="3891" spans="1:21" x14ac:dyDescent="0.25">
      <c r="A3891" t="s">
        <v>84</v>
      </c>
      <c r="B3891" s="24">
        <v>7</v>
      </c>
      <c r="C3891" t="s">
        <v>187</v>
      </c>
      <c r="D3891" t="s">
        <v>12</v>
      </c>
      <c r="E3891" t="s">
        <v>215</v>
      </c>
      <c r="F3891" t="s">
        <v>72</v>
      </c>
      <c r="H3891" t="s">
        <v>10</v>
      </c>
      <c r="I3891" t="s">
        <v>219</v>
      </c>
      <c r="J3891">
        <v>15</v>
      </c>
      <c r="L3891">
        <v>15</v>
      </c>
      <c r="N3891">
        <f>Таблица1[[#This Row],[Часов на заказчика  в работе]]+Таблица1[[#This Row],[Часов на заказчика  дежурство]]</f>
        <v>15</v>
      </c>
      <c r="O38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1" s="9">
        <v>190000</v>
      </c>
      <c r="R3891" s="9"/>
      <c r="S3891" s="5">
        <v>1</v>
      </c>
      <c r="T38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табеле]])*S3891,0)</f>
        <v>8636.363636363636</v>
      </c>
      <c r="U3891" s="5">
        <f>IF(Таблица1[[#This Row],[ТТН]]&gt;0,Таблица1[[#This Row],[Ставка за ТТН]]*Таблица1[[#This Row],[ТТН]],0)</f>
        <v>0</v>
      </c>
    </row>
    <row r="3892" spans="1:21" x14ac:dyDescent="0.25">
      <c r="A3892" t="s">
        <v>84</v>
      </c>
      <c r="B3892" s="24">
        <v>8</v>
      </c>
      <c r="C3892" t="s">
        <v>187</v>
      </c>
      <c r="D3892" t="s">
        <v>12</v>
      </c>
      <c r="E3892" t="s">
        <v>215</v>
      </c>
      <c r="F3892" t="s">
        <v>72</v>
      </c>
      <c r="H3892" t="s">
        <v>10</v>
      </c>
      <c r="I3892" t="s">
        <v>219</v>
      </c>
      <c r="J3892">
        <v>11</v>
      </c>
      <c r="L3892">
        <v>11</v>
      </c>
      <c r="N3892">
        <f>Таблица1[[#This Row],[Часов на заказчика  в работе]]+Таблица1[[#This Row],[Часов на заказчика  дежурство]]</f>
        <v>11</v>
      </c>
      <c r="O38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2" s="9">
        <v>190000</v>
      </c>
      <c r="R3892" s="9"/>
      <c r="S3892" s="5">
        <v>1</v>
      </c>
      <c r="T38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табеле]])*S3892,0)</f>
        <v>6333.333333333333</v>
      </c>
      <c r="U3892" s="5">
        <f>IF(Таблица1[[#This Row],[ТТН]]&gt;0,Таблица1[[#This Row],[Ставка за ТТН]]*Таблица1[[#This Row],[ТТН]],0)</f>
        <v>0</v>
      </c>
    </row>
    <row r="3893" spans="1:21" x14ac:dyDescent="0.25">
      <c r="A3893" t="s">
        <v>84</v>
      </c>
      <c r="B3893" s="24">
        <v>9</v>
      </c>
      <c r="C3893" t="s">
        <v>187</v>
      </c>
      <c r="D3893" t="s">
        <v>12</v>
      </c>
      <c r="E3893" t="s">
        <v>215</v>
      </c>
      <c r="F3893" t="s">
        <v>72</v>
      </c>
      <c r="H3893" t="s">
        <v>10</v>
      </c>
      <c r="I3893" t="s">
        <v>219</v>
      </c>
      <c r="J3893">
        <v>11</v>
      </c>
      <c r="L3893">
        <v>11</v>
      </c>
      <c r="N3893">
        <f>Таблица1[[#This Row],[Часов на заказчика  в работе]]+Таблица1[[#This Row],[Часов на заказчика  дежурство]]</f>
        <v>11</v>
      </c>
      <c r="O38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3" s="9">
        <v>190000</v>
      </c>
      <c r="R3893" s="9"/>
      <c r="S3893" s="5">
        <v>1</v>
      </c>
      <c r="T38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табеле]])*S3893,0)</f>
        <v>6333.333333333333</v>
      </c>
      <c r="U3893" s="5">
        <f>IF(Таблица1[[#This Row],[ТТН]]&gt;0,Таблица1[[#This Row],[Ставка за ТТН]]*Таблица1[[#This Row],[ТТН]],0)</f>
        <v>0</v>
      </c>
    </row>
    <row r="3894" spans="1:21" x14ac:dyDescent="0.25">
      <c r="A3894" t="s">
        <v>84</v>
      </c>
      <c r="B3894" s="24">
        <v>10</v>
      </c>
      <c r="C3894" t="s">
        <v>187</v>
      </c>
      <c r="D3894" t="s">
        <v>12</v>
      </c>
      <c r="E3894" t="s">
        <v>215</v>
      </c>
      <c r="F3894" t="s">
        <v>72</v>
      </c>
      <c r="H3894" t="s">
        <v>10</v>
      </c>
      <c r="I3894" t="s">
        <v>219</v>
      </c>
      <c r="J3894">
        <v>15</v>
      </c>
      <c r="L3894">
        <v>15</v>
      </c>
      <c r="N3894">
        <f>Таблица1[[#This Row],[Часов на заказчика  в работе]]+Таблица1[[#This Row],[Часов на заказчика  дежурство]]</f>
        <v>15</v>
      </c>
      <c r="O38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4" s="9">
        <v>190000</v>
      </c>
      <c r="R3894" s="9"/>
      <c r="S3894" s="5">
        <v>1</v>
      </c>
      <c r="T38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табеле]])*S3894,0)</f>
        <v>8636.363636363636</v>
      </c>
      <c r="U3894" s="5">
        <f>IF(Таблица1[[#This Row],[ТТН]]&gt;0,Таблица1[[#This Row],[Ставка за ТТН]]*Таблица1[[#This Row],[ТТН]],0)</f>
        <v>0</v>
      </c>
    </row>
    <row r="3895" spans="1:21" x14ac:dyDescent="0.25">
      <c r="A3895" t="s">
        <v>84</v>
      </c>
      <c r="B3895" s="24">
        <v>11</v>
      </c>
      <c r="C3895" t="s">
        <v>187</v>
      </c>
      <c r="D3895" t="s">
        <v>12</v>
      </c>
      <c r="E3895" t="s">
        <v>215</v>
      </c>
      <c r="F3895" t="s">
        <v>72</v>
      </c>
      <c r="H3895" t="s">
        <v>10</v>
      </c>
      <c r="I3895" t="s">
        <v>219</v>
      </c>
      <c r="J3895">
        <v>11</v>
      </c>
      <c r="L3895">
        <v>11</v>
      </c>
      <c r="N3895">
        <f>Таблица1[[#This Row],[Часов на заказчика  в работе]]+Таблица1[[#This Row],[Часов на заказчика  дежурство]]</f>
        <v>11</v>
      </c>
      <c r="O38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5" s="9">
        <v>190000</v>
      </c>
      <c r="R3895" s="9"/>
      <c r="S3895" s="5">
        <v>1</v>
      </c>
      <c r="T38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табеле]])*S3895,0)</f>
        <v>6333.333333333333</v>
      </c>
      <c r="U3895" s="5">
        <f>IF(Таблица1[[#This Row],[ТТН]]&gt;0,Таблица1[[#This Row],[Ставка за ТТН]]*Таблица1[[#This Row],[ТТН]],0)</f>
        <v>0</v>
      </c>
    </row>
    <row r="3896" spans="1:21" x14ac:dyDescent="0.25">
      <c r="A3896" t="s">
        <v>84</v>
      </c>
      <c r="B3896" s="24">
        <v>12</v>
      </c>
      <c r="C3896" t="s">
        <v>187</v>
      </c>
      <c r="D3896" t="s">
        <v>12</v>
      </c>
      <c r="E3896" t="s">
        <v>215</v>
      </c>
      <c r="F3896" t="s">
        <v>72</v>
      </c>
      <c r="H3896" t="s">
        <v>10</v>
      </c>
      <c r="I3896" t="s">
        <v>219</v>
      </c>
      <c r="J3896">
        <v>17</v>
      </c>
      <c r="L3896">
        <v>17</v>
      </c>
      <c r="N3896">
        <f>Таблица1[[#This Row],[Часов на заказчика  в работе]]+Таблица1[[#This Row],[Часов на заказчика  дежурство]]</f>
        <v>17</v>
      </c>
      <c r="O38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6" s="9">
        <v>190000</v>
      </c>
      <c r="R3896" s="9"/>
      <c r="S3896" s="5">
        <v>1</v>
      </c>
      <c r="T38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табеле]])*S3896,0)</f>
        <v>9787.878787878788</v>
      </c>
      <c r="U3896" s="5">
        <f>IF(Таблица1[[#This Row],[ТТН]]&gt;0,Таблица1[[#This Row],[Ставка за ТТН]]*Таблица1[[#This Row],[ТТН]],0)</f>
        <v>0</v>
      </c>
    </row>
    <row r="3897" spans="1:21" x14ac:dyDescent="0.25">
      <c r="A3897" t="s">
        <v>84</v>
      </c>
      <c r="B3897" s="24">
        <v>13</v>
      </c>
      <c r="C3897" t="s">
        <v>187</v>
      </c>
      <c r="D3897" t="s">
        <v>12</v>
      </c>
      <c r="E3897" t="s">
        <v>215</v>
      </c>
      <c r="F3897" t="s">
        <v>72</v>
      </c>
      <c r="H3897" t="s">
        <v>10</v>
      </c>
      <c r="I3897" t="s">
        <v>219</v>
      </c>
      <c r="J3897">
        <v>22</v>
      </c>
      <c r="L3897">
        <v>22</v>
      </c>
      <c r="N3897">
        <f>Таблица1[[#This Row],[Часов на заказчика  в работе]]+Таблица1[[#This Row],[Часов на заказчика  дежурство]]</f>
        <v>22</v>
      </c>
      <c r="O38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7" s="9">
        <v>190000</v>
      </c>
      <c r="R3897" s="9"/>
      <c r="S3897" s="5">
        <v>1</v>
      </c>
      <c r="T38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табеле]])*S3897,0)</f>
        <v>12666.666666666666</v>
      </c>
      <c r="U3897" s="5">
        <f>IF(Таблица1[[#This Row],[ТТН]]&gt;0,Таблица1[[#This Row],[Ставка за ТТН]]*Таблица1[[#This Row],[ТТН]],0)</f>
        <v>0</v>
      </c>
    </row>
    <row r="3898" spans="1:21" x14ac:dyDescent="0.25">
      <c r="A3898" t="s">
        <v>84</v>
      </c>
      <c r="B3898" s="24">
        <v>14</v>
      </c>
      <c r="C3898" t="s">
        <v>187</v>
      </c>
      <c r="D3898" t="s">
        <v>12</v>
      </c>
      <c r="E3898" t="s">
        <v>215</v>
      </c>
      <c r="F3898" t="s">
        <v>72</v>
      </c>
      <c r="H3898" t="s">
        <v>10</v>
      </c>
      <c r="I3898" t="s">
        <v>219</v>
      </c>
      <c r="J3898">
        <v>11</v>
      </c>
      <c r="L3898">
        <v>11</v>
      </c>
      <c r="N3898">
        <f>Таблица1[[#This Row],[Часов на заказчика  в работе]]+Таблица1[[#This Row],[Часов на заказчика  дежурство]]</f>
        <v>11</v>
      </c>
      <c r="O38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8" s="9">
        <v>190000</v>
      </c>
      <c r="R3898" s="9"/>
      <c r="S3898" s="5">
        <v>1</v>
      </c>
      <c r="T38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табеле]])*S3898,0)</f>
        <v>6333.333333333333</v>
      </c>
      <c r="U3898" s="5">
        <f>IF(Таблица1[[#This Row],[ТТН]]&gt;0,Таблица1[[#This Row],[Ставка за ТТН]]*Таблица1[[#This Row],[ТТН]],0)</f>
        <v>0</v>
      </c>
    </row>
    <row r="3899" spans="1:21" x14ac:dyDescent="0.25">
      <c r="A3899" t="s">
        <v>84</v>
      </c>
      <c r="B3899" s="24">
        <v>15</v>
      </c>
      <c r="C3899" t="s">
        <v>187</v>
      </c>
      <c r="D3899" t="s">
        <v>12</v>
      </c>
      <c r="E3899" t="s">
        <v>215</v>
      </c>
      <c r="F3899" t="s">
        <v>72</v>
      </c>
      <c r="H3899" t="s">
        <v>10</v>
      </c>
      <c r="I3899" t="s">
        <v>219</v>
      </c>
      <c r="J3899">
        <v>15</v>
      </c>
      <c r="L3899">
        <v>15</v>
      </c>
      <c r="N3899">
        <f>Таблица1[[#This Row],[Часов на заказчика  в работе]]+Таблица1[[#This Row],[Часов на заказчика  дежурство]]</f>
        <v>15</v>
      </c>
      <c r="O38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899" s="9">
        <v>190000</v>
      </c>
      <c r="R3899" s="9"/>
      <c r="S3899" s="5">
        <v>1</v>
      </c>
      <c r="T38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табеле]])*S3899,0)</f>
        <v>8636.363636363636</v>
      </c>
      <c r="U3899" s="5">
        <f>IF(Таблица1[[#This Row],[ТТН]]&gt;0,Таблица1[[#This Row],[Ставка за ТТН]]*Таблица1[[#This Row],[ТТН]],0)</f>
        <v>0</v>
      </c>
    </row>
    <row r="3900" spans="1:21" x14ac:dyDescent="0.25">
      <c r="A3900" t="s">
        <v>84</v>
      </c>
      <c r="B3900" s="24">
        <v>16</v>
      </c>
      <c r="C3900" t="s">
        <v>187</v>
      </c>
      <c r="D3900" t="s">
        <v>12</v>
      </c>
      <c r="E3900" t="s">
        <v>215</v>
      </c>
      <c r="F3900" t="s">
        <v>72</v>
      </c>
      <c r="H3900" t="s">
        <v>10</v>
      </c>
      <c r="I3900" t="s">
        <v>219</v>
      </c>
      <c r="J3900">
        <v>11</v>
      </c>
      <c r="L3900">
        <v>11</v>
      </c>
      <c r="N3900">
        <f>Таблица1[[#This Row],[Часов на заказчика  в работе]]+Таблица1[[#This Row],[Часов на заказчика  дежурство]]</f>
        <v>11</v>
      </c>
      <c r="O39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0" s="9">
        <v>190000</v>
      </c>
      <c r="R3900" s="9"/>
      <c r="S3900" s="5">
        <v>1</v>
      </c>
      <c r="T39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табеле]])*S3900,0)</f>
        <v>6333.333333333333</v>
      </c>
      <c r="U3900" s="5">
        <f>IF(Таблица1[[#This Row],[ТТН]]&gt;0,Таблица1[[#This Row],[Ставка за ТТН]]*Таблица1[[#This Row],[ТТН]],0)</f>
        <v>0</v>
      </c>
    </row>
    <row r="3901" spans="1:21" x14ac:dyDescent="0.25">
      <c r="A3901" t="s">
        <v>84</v>
      </c>
      <c r="B3901" s="24">
        <v>17</v>
      </c>
      <c r="C3901" t="s">
        <v>187</v>
      </c>
      <c r="D3901" t="s">
        <v>12</v>
      </c>
      <c r="E3901" t="s">
        <v>215</v>
      </c>
      <c r="F3901" t="s">
        <v>72</v>
      </c>
      <c r="H3901" t="s">
        <v>10</v>
      </c>
      <c r="I3901" t="s">
        <v>219</v>
      </c>
      <c r="J3901">
        <v>11</v>
      </c>
      <c r="L3901">
        <v>11</v>
      </c>
      <c r="N3901">
        <f>Таблица1[[#This Row],[Часов на заказчика  в работе]]+Таблица1[[#This Row],[Часов на заказчика  дежурство]]</f>
        <v>11</v>
      </c>
      <c r="O39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1" s="9">
        <v>190000</v>
      </c>
      <c r="R3901" s="9"/>
      <c r="S3901" s="5">
        <v>1</v>
      </c>
      <c r="T39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табеле]])*S3901,0)</f>
        <v>6333.333333333333</v>
      </c>
      <c r="U3901" s="5">
        <f>IF(Таблица1[[#This Row],[ТТН]]&gt;0,Таблица1[[#This Row],[Ставка за ТТН]]*Таблица1[[#This Row],[ТТН]],0)</f>
        <v>0</v>
      </c>
    </row>
    <row r="3902" spans="1:21" x14ac:dyDescent="0.25">
      <c r="A3902" t="s">
        <v>84</v>
      </c>
      <c r="B3902" s="24">
        <v>18</v>
      </c>
      <c r="C3902" t="s">
        <v>187</v>
      </c>
      <c r="D3902" t="s">
        <v>12</v>
      </c>
      <c r="E3902" t="s">
        <v>215</v>
      </c>
      <c r="F3902" t="s">
        <v>72</v>
      </c>
      <c r="H3902" t="s">
        <v>10</v>
      </c>
      <c r="I3902" t="s">
        <v>219</v>
      </c>
      <c r="J3902">
        <v>11</v>
      </c>
      <c r="L3902">
        <v>11</v>
      </c>
      <c r="N3902">
        <f>Таблица1[[#This Row],[Часов на заказчика  в работе]]+Таблица1[[#This Row],[Часов на заказчика  дежурство]]</f>
        <v>11</v>
      </c>
      <c r="O39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2" s="9">
        <v>190000</v>
      </c>
      <c r="R3902" s="9"/>
      <c r="S3902" s="5">
        <v>1</v>
      </c>
      <c r="T39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табеле]])*S3902,0)</f>
        <v>6333.333333333333</v>
      </c>
      <c r="U3902" s="5">
        <f>IF(Таблица1[[#This Row],[ТТН]]&gt;0,Таблица1[[#This Row],[Ставка за ТТН]]*Таблица1[[#This Row],[ТТН]],0)</f>
        <v>0</v>
      </c>
    </row>
    <row r="3903" spans="1:21" x14ac:dyDescent="0.25">
      <c r="A3903" t="s">
        <v>84</v>
      </c>
      <c r="B3903" s="24">
        <v>19</v>
      </c>
      <c r="C3903" t="s">
        <v>187</v>
      </c>
      <c r="D3903" t="s">
        <v>12</v>
      </c>
      <c r="E3903" t="s">
        <v>215</v>
      </c>
      <c r="F3903" t="s">
        <v>72</v>
      </c>
      <c r="H3903" t="s">
        <v>10</v>
      </c>
      <c r="I3903" t="s">
        <v>219</v>
      </c>
      <c r="J3903">
        <v>11</v>
      </c>
      <c r="L3903">
        <v>11</v>
      </c>
      <c r="N3903">
        <f>Таблица1[[#This Row],[Часов на заказчика  в работе]]+Таблица1[[#This Row],[Часов на заказчика  дежурство]]</f>
        <v>11</v>
      </c>
      <c r="O39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3" s="9">
        <v>190000</v>
      </c>
      <c r="R3903" s="9"/>
      <c r="S3903" s="5">
        <v>1</v>
      </c>
      <c r="T39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табеле]])*S3903,0)</f>
        <v>6333.333333333333</v>
      </c>
      <c r="U3903" s="5">
        <f>IF(Таблица1[[#This Row],[ТТН]]&gt;0,Таблица1[[#This Row],[Ставка за ТТН]]*Таблица1[[#This Row],[ТТН]],0)</f>
        <v>0</v>
      </c>
    </row>
    <row r="3904" spans="1:21" x14ac:dyDescent="0.25">
      <c r="A3904" t="s">
        <v>84</v>
      </c>
      <c r="B3904" s="24">
        <v>20</v>
      </c>
      <c r="C3904" t="s">
        <v>187</v>
      </c>
      <c r="D3904" t="s">
        <v>12</v>
      </c>
      <c r="E3904" t="s">
        <v>215</v>
      </c>
      <c r="F3904" t="s">
        <v>72</v>
      </c>
      <c r="H3904" t="s">
        <v>10</v>
      </c>
      <c r="I3904" t="s">
        <v>219</v>
      </c>
      <c r="J3904">
        <v>11</v>
      </c>
      <c r="L3904">
        <v>11</v>
      </c>
      <c r="N3904">
        <f>Таблица1[[#This Row],[Часов на заказчика  в работе]]+Таблица1[[#This Row],[Часов на заказчика  дежурство]]</f>
        <v>11</v>
      </c>
      <c r="O39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4" s="9">
        <v>190000</v>
      </c>
      <c r="R3904" s="9"/>
      <c r="S3904" s="5">
        <v>1</v>
      </c>
      <c r="T39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табеле]])*S3904,0)</f>
        <v>6333.333333333333</v>
      </c>
      <c r="U3904" s="5">
        <f>IF(Таблица1[[#This Row],[ТТН]]&gt;0,Таблица1[[#This Row],[Ставка за ТТН]]*Таблица1[[#This Row],[ТТН]],0)</f>
        <v>0</v>
      </c>
    </row>
    <row r="3905" spans="1:22" x14ac:dyDescent="0.25">
      <c r="A3905" t="s">
        <v>84</v>
      </c>
      <c r="B3905" s="24">
        <v>21</v>
      </c>
      <c r="C3905" t="s">
        <v>187</v>
      </c>
      <c r="D3905" t="s">
        <v>12</v>
      </c>
      <c r="E3905" t="s">
        <v>215</v>
      </c>
      <c r="F3905" t="s">
        <v>72</v>
      </c>
      <c r="H3905" t="s">
        <v>10</v>
      </c>
      <c r="I3905" t="s">
        <v>219</v>
      </c>
      <c r="J3905">
        <v>11</v>
      </c>
      <c r="L3905">
        <v>11</v>
      </c>
      <c r="N3905">
        <f>Таблица1[[#This Row],[Часов на заказчика  в работе]]+Таблица1[[#This Row],[Часов на заказчика  дежурство]]</f>
        <v>11</v>
      </c>
      <c r="O39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5" s="9">
        <v>190000</v>
      </c>
      <c r="R3905" s="9"/>
      <c r="S3905" s="5">
        <v>1</v>
      </c>
      <c r="T39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табеле]])*S3905,0)</f>
        <v>6333.333333333333</v>
      </c>
      <c r="U3905" s="5">
        <f>IF(Таблица1[[#This Row],[ТТН]]&gt;0,Таблица1[[#This Row],[Ставка за ТТН]]*Таблица1[[#This Row],[ТТН]],0)</f>
        <v>0</v>
      </c>
    </row>
    <row r="3906" spans="1:22" x14ac:dyDescent="0.25">
      <c r="A3906" t="s">
        <v>84</v>
      </c>
      <c r="B3906" s="24">
        <v>22</v>
      </c>
      <c r="C3906" t="s">
        <v>187</v>
      </c>
      <c r="D3906" t="s">
        <v>12</v>
      </c>
      <c r="E3906" t="s">
        <v>215</v>
      </c>
      <c r="F3906" t="s">
        <v>72</v>
      </c>
      <c r="H3906" t="s">
        <v>10</v>
      </c>
      <c r="I3906" t="s">
        <v>219</v>
      </c>
      <c r="J3906">
        <v>11</v>
      </c>
      <c r="L3906">
        <v>11</v>
      </c>
      <c r="N3906">
        <f>Таблица1[[#This Row],[Часов на заказчика  в работе]]+Таблица1[[#This Row],[Часов на заказчика  дежурство]]</f>
        <v>11</v>
      </c>
      <c r="O39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6" s="9">
        <v>190000</v>
      </c>
      <c r="R3906" s="9"/>
      <c r="S3906" s="5">
        <v>1</v>
      </c>
      <c r="T39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табеле]])*S3906,0)</f>
        <v>6333.333333333333</v>
      </c>
      <c r="U3906" s="5">
        <f>IF(Таблица1[[#This Row],[ТТН]]&gt;0,Таблица1[[#This Row],[Ставка за ТТН]]*Таблица1[[#This Row],[ТТН]],0)</f>
        <v>0</v>
      </c>
    </row>
    <row r="3907" spans="1:22" x14ac:dyDescent="0.25">
      <c r="A3907" t="s">
        <v>84</v>
      </c>
      <c r="B3907" s="24">
        <v>23</v>
      </c>
      <c r="C3907" t="s">
        <v>187</v>
      </c>
      <c r="D3907" t="s">
        <v>12</v>
      </c>
      <c r="E3907" t="s">
        <v>215</v>
      </c>
      <c r="F3907" t="s">
        <v>72</v>
      </c>
      <c r="H3907" t="s">
        <v>10</v>
      </c>
      <c r="I3907" t="s">
        <v>219</v>
      </c>
      <c r="J3907">
        <v>11</v>
      </c>
      <c r="L3907">
        <v>11</v>
      </c>
      <c r="N3907">
        <f>Таблица1[[#This Row],[Часов на заказчика  в работе]]+Таблица1[[#This Row],[Часов на заказчика  дежурство]]</f>
        <v>11</v>
      </c>
      <c r="O39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7" s="9">
        <v>190000</v>
      </c>
      <c r="R3907" s="9"/>
      <c r="S3907" s="5">
        <v>1</v>
      </c>
      <c r="T39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табеле]])*S3907,0)</f>
        <v>6333.333333333333</v>
      </c>
      <c r="U3907" s="5">
        <f>IF(Таблица1[[#This Row],[ТТН]]&gt;0,Таблица1[[#This Row],[Ставка за ТТН]]*Таблица1[[#This Row],[ТТН]],0)</f>
        <v>0</v>
      </c>
    </row>
    <row r="3908" spans="1:22" x14ac:dyDescent="0.25">
      <c r="A3908" t="s">
        <v>84</v>
      </c>
      <c r="B3908" s="24">
        <v>24</v>
      </c>
      <c r="C3908" t="s">
        <v>187</v>
      </c>
      <c r="D3908" t="s">
        <v>12</v>
      </c>
      <c r="E3908" t="s">
        <v>215</v>
      </c>
      <c r="F3908" t="s">
        <v>72</v>
      </c>
      <c r="H3908" t="s">
        <v>10</v>
      </c>
      <c r="I3908" t="s">
        <v>219</v>
      </c>
      <c r="J3908">
        <v>11</v>
      </c>
      <c r="L3908">
        <v>11</v>
      </c>
      <c r="N3908">
        <f>Таблица1[[#This Row],[Часов на заказчика  в работе]]+Таблица1[[#This Row],[Часов на заказчика  дежурство]]</f>
        <v>11</v>
      </c>
      <c r="O39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8" s="9">
        <v>190000</v>
      </c>
      <c r="R3908" s="9"/>
      <c r="S3908" s="5">
        <v>1</v>
      </c>
      <c r="T39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табеле]])*S3908,0)</f>
        <v>6333.333333333333</v>
      </c>
      <c r="U3908" s="5">
        <f>IF(Таблица1[[#This Row],[ТТН]]&gt;0,Таблица1[[#This Row],[Ставка за ТТН]]*Таблица1[[#This Row],[ТТН]],0)</f>
        <v>0</v>
      </c>
    </row>
    <row r="3909" spans="1:22" x14ac:dyDescent="0.25">
      <c r="A3909" t="s">
        <v>84</v>
      </c>
      <c r="B3909" s="24">
        <v>25</v>
      </c>
      <c r="C3909" t="s">
        <v>187</v>
      </c>
      <c r="D3909" t="s">
        <v>12</v>
      </c>
      <c r="E3909" t="s">
        <v>215</v>
      </c>
      <c r="F3909" t="s">
        <v>72</v>
      </c>
      <c r="H3909" t="s">
        <v>10</v>
      </c>
      <c r="I3909" t="s">
        <v>219</v>
      </c>
      <c r="J3909">
        <v>22</v>
      </c>
      <c r="L3909">
        <v>22</v>
      </c>
      <c r="N3909">
        <f>Таблица1[[#This Row],[Часов на заказчика  в работе]]+Таблица1[[#This Row],[Часов на заказчика  дежурство]]</f>
        <v>22</v>
      </c>
      <c r="O39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09" s="9">
        <v>190000</v>
      </c>
      <c r="R3909" s="9"/>
      <c r="S3909" s="5">
        <v>1</v>
      </c>
      <c r="T39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табеле]])*S3909,0)</f>
        <v>12666.666666666666</v>
      </c>
      <c r="U3909" s="5">
        <f>IF(Таблица1[[#This Row],[ТТН]]&gt;0,Таблица1[[#This Row],[Ставка за ТТН]]*Таблица1[[#This Row],[ТТН]],0)</f>
        <v>0</v>
      </c>
    </row>
    <row r="3910" spans="1:22" x14ac:dyDescent="0.25">
      <c r="A3910" t="s">
        <v>84</v>
      </c>
      <c r="B3910" s="24">
        <v>26</v>
      </c>
      <c r="C3910" t="s">
        <v>187</v>
      </c>
      <c r="D3910" t="s">
        <v>12</v>
      </c>
      <c r="E3910" t="s">
        <v>215</v>
      </c>
      <c r="F3910" t="s">
        <v>72</v>
      </c>
      <c r="H3910" t="s">
        <v>10</v>
      </c>
      <c r="I3910" t="s">
        <v>219</v>
      </c>
      <c r="J3910">
        <v>11</v>
      </c>
      <c r="L3910">
        <v>11</v>
      </c>
      <c r="N3910">
        <f>Таблица1[[#This Row],[Часов на заказчика  в работе]]+Таблица1[[#This Row],[Часов на заказчика  дежурство]]</f>
        <v>11</v>
      </c>
      <c r="O39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0" s="9">
        <v>190000</v>
      </c>
      <c r="R3910" s="9"/>
      <c r="S3910" s="5">
        <v>1</v>
      </c>
      <c r="T39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табеле]])*S3910,0)</f>
        <v>6333.333333333333</v>
      </c>
      <c r="U3910" s="5">
        <f>IF(Таблица1[[#This Row],[ТТН]]&gt;0,Таблица1[[#This Row],[Ставка за ТТН]]*Таблица1[[#This Row],[ТТН]],0)</f>
        <v>0</v>
      </c>
    </row>
    <row r="3911" spans="1:22" x14ac:dyDescent="0.25">
      <c r="A3911" t="s">
        <v>84</v>
      </c>
      <c r="B3911" s="24">
        <v>27</v>
      </c>
      <c r="C3911" t="s">
        <v>187</v>
      </c>
      <c r="D3911" t="s">
        <v>12</v>
      </c>
      <c r="E3911" t="s">
        <v>215</v>
      </c>
      <c r="F3911" t="s">
        <v>72</v>
      </c>
      <c r="H3911" t="s">
        <v>10</v>
      </c>
      <c r="I3911" t="s">
        <v>219</v>
      </c>
      <c r="J3911">
        <v>22</v>
      </c>
      <c r="L3911">
        <v>22</v>
      </c>
      <c r="N3911">
        <f>Таблица1[[#This Row],[Часов на заказчика  в работе]]+Таблица1[[#This Row],[Часов на заказчика  дежурство]]</f>
        <v>22</v>
      </c>
      <c r="O39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1" s="9">
        <v>190000</v>
      </c>
      <c r="R3911" s="9"/>
      <c r="S3911" s="5">
        <v>1</v>
      </c>
      <c r="T39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табеле]])*S3911,0)</f>
        <v>12666.666666666666</v>
      </c>
      <c r="U3911" s="5">
        <f>IF(Таблица1[[#This Row],[ТТН]]&gt;0,Таблица1[[#This Row],[Ставка за ТТН]]*Таблица1[[#This Row],[ТТН]],0)</f>
        <v>0</v>
      </c>
    </row>
    <row r="3912" spans="1:22" x14ac:dyDescent="0.25">
      <c r="A3912" t="s">
        <v>84</v>
      </c>
      <c r="B3912" s="24">
        <v>28</v>
      </c>
      <c r="C3912" t="s">
        <v>187</v>
      </c>
      <c r="D3912" t="s">
        <v>12</v>
      </c>
      <c r="E3912" t="s">
        <v>215</v>
      </c>
      <c r="F3912" t="s">
        <v>72</v>
      </c>
      <c r="H3912" t="s">
        <v>10</v>
      </c>
      <c r="I3912" t="s">
        <v>219</v>
      </c>
      <c r="J3912">
        <v>11</v>
      </c>
      <c r="L3912">
        <v>11</v>
      </c>
      <c r="N3912">
        <f>Таблица1[[#This Row],[Часов на заказчика  в работе]]+Таблица1[[#This Row],[Часов на заказчика  дежурство]]</f>
        <v>11</v>
      </c>
      <c r="O39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2" s="9">
        <v>190000</v>
      </c>
      <c r="R3912" s="9"/>
      <c r="S3912" s="5">
        <v>1</v>
      </c>
      <c r="T39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табеле]])*S3912,0)</f>
        <v>6333.333333333333</v>
      </c>
      <c r="U3912" s="5">
        <f>IF(Таблица1[[#This Row],[ТТН]]&gt;0,Таблица1[[#This Row],[Ставка за ТТН]]*Таблица1[[#This Row],[ТТН]],0)</f>
        <v>0</v>
      </c>
    </row>
    <row r="3913" spans="1:22" x14ac:dyDescent="0.25">
      <c r="A3913" t="s">
        <v>84</v>
      </c>
      <c r="B3913" s="24">
        <v>29</v>
      </c>
      <c r="C3913" t="s">
        <v>187</v>
      </c>
      <c r="D3913" t="s">
        <v>12</v>
      </c>
      <c r="E3913" t="s">
        <v>215</v>
      </c>
      <c r="F3913" t="s">
        <v>72</v>
      </c>
      <c r="H3913" t="s">
        <v>10</v>
      </c>
      <c r="I3913" t="s">
        <v>219</v>
      </c>
      <c r="J3913">
        <v>11</v>
      </c>
      <c r="L3913">
        <v>11</v>
      </c>
      <c r="N3913">
        <f>Таблица1[[#This Row],[Часов на заказчика  в работе]]+Таблица1[[#This Row],[Часов на заказчика  дежурство]]</f>
        <v>11</v>
      </c>
      <c r="O39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3" s="9">
        <v>190000</v>
      </c>
      <c r="R3913" s="9"/>
      <c r="S3913" s="5">
        <v>1</v>
      </c>
      <c r="T39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табеле]])*S3913,0)</f>
        <v>6333.333333333333</v>
      </c>
      <c r="U3913" s="5">
        <f>IF(Таблица1[[#This Row],[ТТН]]&gt;0,Таблица1[[#This Row],[Ставка за ТТН]]*Таблица1[[#This Row],[ТТН]],0)</f>
        <v>0</v>
      </c>
    </row>
    <row r="3914" spans="1:22" x14ac:dyDescent="0.25">
      <c r="A3914" t="s">
        <v>84</v>
      </c>
      <c r="B3914" s="24">
        <v>30</v>
      </c>
      <c r="C3914" t="s">
        <v>136</v>
      </c>
      <c r="D3914" t="s">
        <v>12</v>
      </c>
      <c r="E3914" t="s">
        <v>215</v>
      </c>
      <c r="F3914" t="s">
        <v>72</v>
      </c>
      <c r="H3914" t="s">
        <v>10</v>
      </c>
      <c r="I3914" t="s">
        <v>219</v>
      </c>
      <c r="J3914">
        <v>11</v>
      </c>
      <c r="L3914">
        <v>11</v>
      </c>
      <c r="N3914">
        <f>Таблица1[[#This Row],[Часов на заказчика  в работе]]+Таблица1[[#This Row],[Часов на заказчика  дежурство]]</f>
        <v>11</v>
      </c>
      <c r="O39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4" s="9">
        <v>190000</v>
      </c>
      <c r="R3914" s="9"/>
      <c r="S3914" s="5">
        <v>1</v>
      </c>
      <c r="T39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табеле]])*S3914,0)</f>
        <v>6333.333333333333</v>
      </c>
      <c r="U3914" s="5">
        <f>IF(Таблица1[[#This Row],[ТТН]]&gt;0,Таблица1[[#This Row],[Ставка за ТТН]]*Таблица1[[#This Row],[ТТН]],0)</f>
        <v>0</v>
      </c>
    </row>
    <row r="3915" spans="1:22" x14ac:dyDescent="0.25">
      <c r="A3915" t="s">
        <v>84</v>
      </c>
      <c r="B3915" s="24">
        <v>1</v>
      </c>
      <c r="C3915" t="s">
        <v>136</v>
      </c>
      <c r="D3915" t="s">
        <v>12</v>
      </c>
      <c r="E3915" t="s">
        <v>215</v>
      </c>
      <c r="F3915" t="s">
        <v>66</v>
      </c>
      <c r="H3915" t="s">
        <v>10</v>
      </c>
      <c r="I3915" t="s">
        <v>219</v>
      </c>
      <c r="J3915">
        <v>11</v>
      </c>
      <c r="N3915">
        <f>Таблица1[[#This Row],[Часов на заказчика  в работе]]+Таблица1[[#This Row],[Часов на заказчика  дежурство]]</f>
        <v>0</v>
      </c>
      <c r="O39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5" s="9">
        <v>162000</v>
      </c>
      <c r="R3915" s="9"/>
      <c r="S3915" s="5">
        <v>1</v>
      </c>
      <c r="T39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табеле]])*S3915,0)</f>
        <v>5400</v>
      </c>
      <c r="U3915" s="5">
        <f>IF(Таблица1[[#This Row],[ТТН]]&gt;0,Таблица1[[#This Row],[Ставка за ТТН]]*Таблица1[[#This Row],[ТТН]],0)</f>
        <v>0</v>
      </c>
    </row>
    <row r="3916" spans="1:22" x14ac:dyDescent="0.25">
      <c r="A3916" t="s">
        <v>84</v>
      </c>
      <c r="B3916" s="24">
        <v>2</v>
      </c>
      <c r="C3916" t="s">
        <v>136</v>
      </c>
      <c r="D3916" t="s">
        <v>12</v>
      </c>
      <c r="E3916" t="s">
        <v>215</v>
      </c>
      <c r="F3916" t="s">
        <v>66</v>
      </c>
      <c r="H3916" t="s">
        <v>10</v>
      </c>
      <c r="I3916" t="s">
        <v>219</v>
      </c>
      <c r="J3916">
        <v>22</v>
      </c>
      <c r="N3916">
        <f>Таблица1[[#This Row],[Часов на заказчика  в работе]]+Таблица1[[#This Row],[Часов на заказчика  дежурство]]</f>
        <v>0</v>
      </c>
      <c r="O39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6" s="9">
        <v>162000</v>
      </c>
      <c r="R3916" s="9"/>
      <c r="S3916" s="5">
        <v>1</v>
      </c>
      <c r="T39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табеле]])*S3916,0)</f>
        <v>10800</v>
      </c>
      <c r="U3916" s="5">
        <f>IF(Таблица1[[#This Row],[ТТН]]&gt;0,Таблица1[[#This Row],[Ставка за ТТН]]*Таблица1[[#This Row],[ТТН]],0)</f>
        <v>0</v>
      </c>
    </row>
    <row r="3917" spans="1:22" x14ac:dyDescent="0.25">
      <c r="A3917" t="s">
        <v>84</v>
      </c>
      <c r="B3917" s="24">
        <v>3</v>
      </c>
      <c r="C3917" t="s">
        <v>136</v>
      </c>
      <c r="D3917" t="s">
        <v>12</v>
      </c>
      <c r="E3917" t="s">
        <v>215</v>
      </c>
      <c r="F3917" t="s">
        <v>66</v>
      </c>
      <c r="H3917" t="s">
        <v>38</v>
      </c>
      <c r="I3917" t="s">
        <v>219</v>
      </c>
      <c r="J3917">
        <v>11</v>
      </c>
      <c r="N3917">
        <f>Таблица1[[#This Row],[Часов на заказчика  в работе]]+Таблица1[[#This Row],[Часов на заказчика  дежурство]]</f>
        <v>0</v>
      </c>
      <c r="O39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7" s="9">
        <v>162000</v>
      </c>
      <c r="R3917" s="9"/>
      <c r="S3917" s="5">
        <v>1</v>
      </c>
      <c r="T39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табеле]])*S3917,0)</f>
        <v>5400</v>
      </c>
      <c r="U3917" s="5">
        <f>IF(Таблица1[[#This Row],[ТТН]]&gt;0,Таблица1[[#This Row],[Ставка за ТТН]]*Таблица1[[#This Row],[ТТН]],0)</f>
        <v>0</v>
      </c>
    </row>
    <row r="3918" spans="1:22" x14ac:dyDescent="0.25">
      <c r="A3918" t="s">
        <v>84</v>
      </c>
      <c r="B3918" s="24">
        <v>4</v>
      </c>
      <c r="C3918" t="s">
        <v>136</v>
      </c>
      <c r="D3918" t="s">
        <v>12</v>
      </c>
      <c r="E3918" t="s">
        <v>215</v>
      </c>
      <c r="F3918" t="s">
        <v>66</v>
      </c>
      <c r="H3918" t="s">
        <v>10</v>
      </c>
      <c r="I3918" t="s">
        <v>219</v>
      </c>
      <c r="J3918">
        <v>11</v>
      </c>
      <c r="K3918">
        <v>1</v>
      </c>
      <c r="N3918">
        <f>Таблица1[[#This Row],[Часов на заказчика  в работе]]+Таблица1[[#This Row],[Часов на заказчика  дежурство]]</f>
        <v>0</v>
      </c>
      <c r="O39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8" s="9">
        <v>162000</v>
      </c>
      <c r="R3918" s="9">
        <v>5000</v>
      </c>
      <c r="S3918" s="5">
        <v>1</v>
      </c>
      <c r="T39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табеле]])*S3918,0)</f>
        <v>5400</v>
      </c>
      <c r="U3918" s="5">
        <f>IF(Таблица1[[#This Row],[ТТН]]&gt;0,Таблица1[[#This Row],[Ставка за ТТН]]*Таблица1[[#This Row],[ТТН]],0)</f>
        <v>5000</v>
      </c>
      <c r="V3918" t="s">
        <v>80</v>
      </c>
    </row>
    <row r="3919" spans="1:22" x14ac:dyDescent="0.25">
      <c r="A3919" t="s">
        <v>84</v>
      </c>
      <c r="B3919" s="24">
        <v>5</v>
      </c>
      <c r="C3919" t="s">
        <v>136</v>
      </c>
      <c r="D3919" t="s">
        <v>12</v>
      </c>
      <c r="E3919" t="s">
        <v>215</v>
      </c>
      <c r="F3919" t="s">
        <v>66</v>
      </c>
      <c r="H3919" t="s">
        <v>10</v>
      </c>
      <c r="I3919" t="s">
        <v>219</v>
      </c>
      <c r="J3919">
        <v>22</v>
      </c>
      <c r="N3919">
        <f>Таблица1[[#This Row],[Часов на заказчика  в работе]]+Таблица1[[#This Row],[Часов на заказчика  дежурство]]</f>
        <v>0</v>
      </c>
      <c r="O39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19" s="9">
        <v>162000</v>
      </c>
      <c r="R3919" s="9"/>
      <c r="S3919" s="5">
        <v>1</v>
      </c>
      <c r="T39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табеле]])*S3919,0)</f>
        <v>10800</v>
      </c>
      <c r="U3919" s="5">
        <f>IF(Таблица1[[#This Row],[ТТН]]&gt;0,Таблица1[[#This Row],[Ставка за ТТН]]*Таблица1[[#This Row],[ТТН]],0)</f>
        <v>0</v>
      </c>
    </row>
    <row r="3920" spans="1:22" x14ac:dyDescent="0.25">
      <c r="A3920" t="s">
        <v>84</v>
      </c>
      <c r="B3920" s="24">
        <v>6</v>
      </c>
      <c r="C3920" t="s">
        <v>136</v>
      </c>
      <c r="D3920" t="s">
        <v>12</v>
      </c>
      <c r="E3920" t="s">
        <v>215</v>
      </c>
      <c r="F3920" t="s">
        <v>66</v>
      </c>
      <c r="H3920" t="s">
        <v>10</v>
      </c>
      <c r="I3920" t="s">
        <v>219</v>
      </c>
      <c r="J3920">
        <v>22</v>
      </c>
      <c r="N3920">
        <f>Таблица1[[#This Row],[Часов на заказчика  в работе]]+Таблица1[[#This Row],[Часов на заказчика  дежурство]]</f>
        <v>0</v>
      </c>
      <c r="O39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0" s="9">
        <v>162000</v>
      </c>
      <c r="R3920" s="9"/>
      <c r="S3920" s="5">
        <v>1</v>
      </c>
      <c r="T39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табеле]])*S3920,0)</f>
        <v>10800</v>
      </c>
      <c r="U3920" s="5">
        <f>IF(Таблица1[[#This Row],[ТТН]]&gt;0,Таблица1[[#This Row],[Ставка за ТТН]]*Таблица1[[#This Row],[ТТН]],0)</f>
        <v>0</v>
      </c>
    </row>
    <row r="3921" spans="1:21" x14ac:dyDescent="0.25">
      <c r="A3921" t="s">
        <v>84</v>
      </c>
      <c r="B3921" s="24">
        <v>7</v>
      </c>
      <c r="C3921" t="s">
        <v>136</v>
      </c>
      <c r="D3921" t="s">
        <v>12</v>
      </c>
      <c r="E3921" t="s">
        <v>215</v>
      </c>
      <c r="F3921" t="s">
        <v>66</v>
      </c>
      <c r="H3921" t="s">
        <v>10</v>
      </c>
      <c r="I3921" t="s">
        <v>219</v>
      </c>
      <c r="J3921">
        <v>22</v>
      </c>
      <c r="N3921">
        <f>Таблица1[[#This Row],[Часов на заказчика  в работе]]+Таблица1[[#This Row],[Часов на заказчика  дежурство]]</f>
        <v>0</v>
      </c>
      <c r="O39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1" s="9">
        <v>162000</v>
      </c>
      <c r="R3921" s="9"/>
      <c r="S3921" s="5">
        <v>1</v>
      </c>
      <c r="T39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табеле]])*S3921,0)</f>
        <v>10800</v>
      </c>
      <c r="U3921" s="5">
        <f>IF(Таблица1[[#This Row],[ТТН]]&gt;0,Таблица1[[#This Row],[Ставка за ТТН]]*Таблица1[[#This Row],[ТТН]],0)</f>
        <v>0</v>
      </c>
    </row>
    <row r="3922" spans="1:21" x14ac:dyDescent="0.25">
      <c r="A3922" t="s">
        <v>84</v>
      </c>
      <c r="B3922" s="24">
        <v>8</v>
      </c>
      <c r="C3922" t="s">
        <v>136</v>
      </c>
      <c r="D3922" t="s">
        <v>12</v>
      </c>
      <c r="E3922" t="s">
        <v>215</v>
      </c>
      <c r="F3922" t="s">
        <v>66</v>
      </c>
      <c r="H3922" t="s">
        <v>10</v>
      </c>
      <c r="I3922" t="s">
        <v>219</v>
      </c>
      <c r="J3922">
        <v>11</v>
      </c>
      <c r="N3922">
        <f>Таблица1[[#This Row],[Часов на заказчика  в работе]]+Таблица1[[#This Row],[Часов на заказчика  дежурство]]</f>
        <v>0</v>
      </c>
      <c r="O39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2" s="9">
        <v>162000</v>
      </c>
      <c r="R3922" s="9"/>
      <c r="S3922" s="5">
        <v>1</v>
      </c>
      <c r="T39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табеле]])*S3922,0)</f>
        <v>5400</v>
      </c>
      <c r="U3922" s="5">
        <f>IF(Таблица1[[#This Row],[ТТН]]&gt;0,Таблица1[[#This Row],[Ставка за ТТН]]*Таблица1[[#This Row],[ТТН]],0)</f>
        <v>0</v>
      </c>
    </row>
    <row r="3923" spans="1:21" x14ac:dyDescent="0.25">
      <c r="A3923" t="s">
        <v>84</v>
      </c>
      <c r="B3923" s="24">
        <v>9</v>
      </c>
      <c r="C3923" t="s">
        <v>136</v>
      </c>
      <c r="D3923" t="s">
        <v>12</v>
      </c>
      <c r="E3923" t="s">
        <v>215</v>
      </c>
      <c r="F3923" t="s">
        <v>66</v>
      </c>
      <c r="H3923" t="s">
        <v>10</v>
      </c>
      <c r="I3923" t="s">
        <v>219</v>
      </c>
      <c r="J3923">
        <v>11</v>
      </c>
      <c r="N3923">
        <f>Таблица1[[#This Row],[Часов на заказчика  в работе]]+Таблица1[[#This Row],[Часов на заказчика  дежурство]]</f>
        <v>0</v>
      </c>
      <c r="O39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3" s="9">
        <v>162000</v>
      </c>
      <c r="R3923" s="9"/>
      <c r="S3923" s="5">
        <v>1</v>
      </c>
      <c r="T39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табеле]])*S3923,0)</f>
        <v>5400</v>
      </c>
      <c r="U3923" s="5">
        <f>IF(Таблица1[[#This Row],[ТТН]]&gt;0,Таблица1[[#This Row],[Ставка за ТТН]]*Таблица1[[#This Row],[ТТН]],0)</f>
        <v>0</v>
      </c>
    </row>
    <row r="3924" spans="1:21" x14ac:dyDescent="0.25">
      <c r="A3924" t="s">
        <v>84</v>
      </c>
      <c r="B3924" s="24">
        <v>10</v>
      </c>
      <c r="C3924" t="s">
        <v>136</v>
      </c>
      <c r="D3924" t="s">
        <v>12</v>
      </c>
      <c r="E3924" t="s">
        <v>215</v>
      </c>
      <c r="F3924" t="s">
        <v>66</v>
      </c>
      <c r="H3924" t="s">
        <v>10</v>
      </c>
      <c r="I3924" t="s">
        <v>219</v>
      </c>
      <c r="J3924">
        <v>11</v>
      </c>
      <c r="N3924">
        <f>Таблица1[[#This Row],[Часов на заказчика  в работе]]+Таблица1[[#This Row],[Часов на заказчика  дежурство]]</f>
        <v>0</v>
      </c>
      <c r="O39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4" s="9">
        <v>162000</v>
      </c>
      <c r="R3924" s="9"/>
      <c r="S3924" s="5">
        <v>1</v>
      </c>
      <c r="T39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табеле]])*S3924,0)</f>
        <v>5400</v>
      </c>
      <c r="U3924" s="5">
        <f>IF(Таблица1[[#This Row],[ТТН]]&gt;0,Таблица1[[#This Row],[Ставка за ТТН]]*Таблица1[[#This Row],[ТТН]],0)</f>
        <v>0</v>
      </c>
    </row>
    <row r="3925" spans="1:21" x14ac:dyDescent="0.25">
      <c r="A3925" t="s">
        <v>84</v>
      </c>
      <c r="B3925" s="24">
        <v>11</v>
      </c>
      <c r="C3925" t="s">
        <v>136</v>
      </c>
      <c r="D3925" t="s">
        <v>12</v>
      </c>
      <c r="E3925" t="s">
        <v>215</v>
      </c>
      <c r="F3925" t="s">
        <v>66</v>
      </c>
      <c r="H3925" t="s">
        <v>10</v>
      </c>
      <c r="I3925" t="s">
        <v>219</v>
      </c>
      <c r="J3925">
        <v>11</v>
      </c>
      <c r="K3925">
        <v>1</v>
      </c>
      <c r="N3925">
        <f>Таблица1[[#This Row],[Часов на заказчика  в работе]]+Таблица1[[#This Row],[Часов на заказчика  дежурство]]</f>
        <v>0</v>
      </c>
      <c r="O39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5" s="9">
        <v>162000</v>
      </c>
      <c r="R3925" s="9">
        <v>2000</v>
      </c>
      <c r="S3925" s="5">
        <v>1</v>
      </c>
      <c r="T39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табеле]])*S3925,0)</f>
        <v>5400</v>
      </c>
      <c r="U3925" s="5">
        <f>IF(Таблица1[[#This Row],[ТТН]]&gt;0,Таблица1[[#This Row],[Ставка за ТТН]]*Таблица1[[#This Row],[ТТН]],0)</f>
        <v>2000</v>
      </c>
    </row>
    <row r="3926" spans="1:21" x14ac:dyDescent="0.25">
      <c r="A3926" t="s">
        <v>84</v>
      </c>
      <c r="B3926" s="24">
        <v>12</v>
      </c>
      <c r="C3926" t="s">
        <v>136</v>
      </c>
      <c r="D3926" t="s">
        <v>12</v>
      </c>
      <c r="E3926" t="s">
        <v>215</v>
      </c>
      <c r="F3926" t="s">
        <v>66</v>
      </c>
      <c r="H3926" t="s">
        <v>10</v>
      </c>
      <c r="I3926" t="s">
        <v>219</v>
      </c>
      <c r="J3926">
        <v>22</v>
      </c>
      <c r="N3926">
        <f>Таблица1[[#This Row],[Часов на заказчика  в работе]]+Таблица1[[#This Row],[Часов на заказчика  дежурство]]</f>
        <v>0</v>
      </c>
      <c r="O39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6" s="9">
        <v>162000</v>
      </c>
      <c r="R3926" s="9"/>
      <c r="S3926" s="5">
        <v>1</v>
      </c>
      <c r="T39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табеле]])*S3926,0)</f>
        <v>10800</v>
      </c>
      <c r="U3926" s="5">
        <f>IF(Таблица1[[#This Row],[ТТН]]&gt;0,Таблица1[[#This Row],[Ставка за ТТН]]*Таблица1[[#This Row],[ТТН]],0)</f>
        <v>0</v>
      </c>
    </row>
    <row r="3927" spans="1:21" x14ac:dyDescent="0.25">
      <c r="A3927" t="s">
        <v>84</v>
      </c>
      <c r="B3927" s="24">
        <v>13</v>
      </c>
      <c r="C3927" t="s">
        <v>136</v>
      </c>
      <c r="D3927" t="s">
        <v>12</v>
      </c>
      <c r="E3927" t="s">
        <v>215</v>
      </c>
      <c r="F3927" t="s">
        <v>66</v>
      </c>
      <c r="H3927" t="s">
        <v>10</v>
      </c>
      <c r="I3927" t="s">
        <v>219</v>
      </c>
      <c r="J3927">
        <v>11</v>
      </c>
      <c r="N3927">
        <f>Таблица1[[#This Row],[Часов на заказчика  в работе]]+Таблица1[[#This Row],[Часов на заказчика  дежурство]]</f>
        <v>0</v>
      </c>
      <c r="O39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7" s="9">
        <v>162000</v>
      </c>
      <c r="R3927" s="9"/>
      <c r="S3927" s="5">
        <v>1</v>
      </c>
      <c r="T39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табеле]])*S3927,0)</f>
        <v>5400</v>
      </c>
      <c r="U3927" s="5">
        <f>IF(Таблица1[[#This Row],[ТТН]]&gt;0,Таблица1[[#This Row],[Ставка за ТТН]]*Таблица1[[#This Row],[ТТН]],0)</f>
        <v>0</v>
      </c>
    </row>
    <row r="3928" spans="1:21" x14ac:dyDescent="0.25">
      <c r="A3928" t="s">
        <v>84</v>
      </c>
      <c r="B3928" s="24">
        <v>14</v>
      </c>
      <c r="C3928" t="s">
        <v>136</v>
      </c>
      <c r="D3928" t="s">
        <v>12</v>
      </c>
      <c r="E3928" t="s">
        <v>215</v>
      </c>
      <c r="F3928" t="s">
        <v>66</v>
      </c>
      <c r="H3928" t="s">
        <v>10</v>
      </c>
      <c r="I3928" t="s">
        <v>219</v>
      </c>
      <c r="J3928">
        <v>11</v>
      </c>
      <c r="K3928">
        <v>1</v>
      </c>
      <c r="N3928">
        <f>Таблица1[[#This Row],[Часов на заказчика  в работе]]+Таблица1[[#This Row],[Часов на заказчика  дежурство]]</f>
        <v>0</v>
      </c>
      <c r="O39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8" s="9">
        <v>162000</v>
      </c>
      <c r="R3928" s="9">
        <v>5000</v>
      </c>
      <c r="S3928" s="5">
        <v>1</v>
      </c>
      <c r="T39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табеле]])*S3928,0)</f>
        <v>5400</v>
      </c>
      <c r="U3928" s="5">
        <f>IF(Таблица1[[#This Row],[ТТН]]&gt;0,Таблица1[[#This Row],[Ставка за ТТН]]*Таблица1[[#This Row],[ТТН]],0)</f>
        <v>5000</v>
      </c>
    </row>
    <row r="3929" spans="1:21" x14ac:dyDescent="0.25">
      <c r="A3929" t="s">
        <v>84</v>
      </c>
      <c r="B3929" s="24">
        <v>15</v>
      </c>
      <c r="C3929" t="s">
        <v>136</v>
      </c>
      <c r="D3929" t="s">
        <v>12</v>
      </c>
      <c r="E3929" t="s">
        <v>215</v>
      </c>
      <c r="F3929" t="s">
        <v>66</v>
      </c>
      <c r="H3929" t="s">
        <v>10</v>
      </c>
      <c r="I3929" t="s">
        <v>219</v>
      </c>
      <c r="J3929">
        <v>22</v>
      </c>
      <c r="N3929">
        <f>Таблица1[[#This Row],[Часов на заказчика  в работе]]+Таблица1[[#This Row],[Часов на заказчика  дежурство]]</f>
        <v>0</v>
      </c>
      <c r="O39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29" s="9">
        <v>162000</v>
      </c>
      <c r="R3929" s="9"/>
      <c r="S3929" s="5">
        <v>1</v>
      </c>
      <c r="T39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табеле]])*S3929,0)</f>
        <v>10800</v>
      </c>
      <c r="U3929" s="5">
        <f>IF(Таблица1[[#This Row],[ТТН]]&gt;0,Таблица1[[#This Row],[Ставка за ТТН]]*Таблица1[[#This Row],[ТТН]],0)</f>
        <v>0</v>
      </c>
    </row>
    <row r="3930" spans="1:21" x14ac:dyDescent="0.25">
      <c r="A3930" t="s">
        <v>84</v>
      </c>
      <c r="B3930" s="24">
        <v>16</v>
      </c>
      <c r="C3930" t="s">
        <v>136</v>
      </c>
      <c r="D3930" t="s">
        <v>12</v>
      </c>
      <c r="E3930" t="s">
        <v>215</v>
      </c>
      <c r="F3930" t="s">
        <v>66</v>
      </c>
      <c r="H3930" t="s">
        <v>10</v>
      </c>
      <c r="I3930" t="s">
        <v>219</v>
      </c>
      <c r="J3930">
        <v>11</v>
      </c>
      <c r="N3930">
        <f>Таблица1[[#This Row],[Часов на заказчика  в работе]]+Таблица1[[#This Row],[Часов на заказчика  дежурство]]</f>
        <v>0</v>
      </c>
      <c r="O39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0" s="9">
        <v>162000</v>
      </c>
      <c r="R3930" s="9"/>
      <c r="S3930" s="5">
        <v>1</v>
      </c>
      <c r="T39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табеле]])*S3930,0)</f>
        <v>5400</v>
      </c>
      <c r="U3930" s="5">
        <f>IF(Таблица1[[#This Row],[ТТН]]&gt;0,Таблица1[[#This Row],[Ставка за ТТН]]*Таблица1[[#This Row],[ТТН]],0)</f>
        <v>0</v>
      </c>
    </row>
    <row r="3931" spans="1:21" x14ac:dyDescent="0.25">
      <c r="A3931" t="s">
        <v>84</v>
      </c>
      <c r="B3931" s="24">
        <v>17</v>
      </c>
      <c r="C3931" t="s">
        <v>136</v>
      </c>
      <c r="D3931" t="s">
        <v>12</v>
      </c>
      <c r="E3931" t="s">
        <v>215</v>
      </c>
      <c r="F3931" t="s">
        <v>66</v>
      </c>
      <c r="H3931" t="s">
        <v>10</v>
      </c>
      <c r="I3931" t="s">
        <v>219</v>
      </c>
      <c r="J3931">
        <v>22</v>
      </c>
      <c r="N3931">
        <f>Таблица1[[#This Row],[Часов на заказчика  в работе]]+Таблица1[[#This Row],[Часов на заказчика  дежурство]]</f>
        <v>0</v>
      </c>
      <c r="O39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1" s="9">
        <v>162000</v>
      </c>
      <c r="R3931" s="9"/>
      <c r="S3931" s="5">
        <v>1</v>
      </c>
      <c r="T39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табеле]])*S3931,0)</f>
        <v>10800</v>
      </c>
      <c r="U3931" s="5">
        <f>IF(Таблица1[[#This Row],[ТТН]]&gt;0,Таблица1[[#This Row],[Ставка за ТТН]]*Таблица1[[#This Row],[ТТН]],0)</f>
        <v>0</v>
      </c>
    </row>
    <row r="3932" spans="1:21" x14ac:dyDescent="0.25">
      <c r="A3932" t="s">
        <v>84</v>
      </c>
      <c r="B3932" s="24">
        <v>18</v>
      </c>
      <c r="C3932" t="s">
        <v>136</v>
      </c>
      <c r="D3932" t="s">
        <v>12</v>
      </c>
      <c r="E3932" t="s">
        <v>215</v>
      </c>
      <c r="F3932" t="s">
        <v>66</v>
      </c>
      <c r="H3932" t="s">
        <v>10</v>
      </c>
      <c r="I3932" t="s">
        <v>219</v>
      </c>
      <c r="J3932">
        <v>11</v>
      </c>
      <c r="K3932">
        <v>1</v>
      </c>
      <c r="N3932">
        <f>Таблица1[[#This Row],[Часов на заказчика  в работе]]+Таблица1[[#This Row],[Часов на заказчика  дежурство]]</f>
        <v>0</v>
      </c>
      <c r="O39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2" s="9">
        <v>162000</v>
      </c>
      <c r="R3932" s="9">
        <v>5000</v>
      </c>
      <c r="S3932" s="5">
        <v>1</v>
      </c>
      <c r="T39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табеле]])*S3932,0)</f>
        <v>5400</v>
      </c>
      <c r="U3932" s="5">
        <f>IF(Таблица1[[#This Row],[ТТН]]&gt;0,Таблица1[[#This Row],[Ставка за ТТН]]*Таблица1[[#This Row],[ТТН]],0)</f>
        <v>5000</v>
      </c>
    </row>
    <row r="3933" spans="1:21" x14ac:dyDescent="0.25">
      <c r="A3933" t="s">
        <v>84</v>
      </c>
      <c r="B3933" s="24">
        <v>19</v>
      </c>
      <c r="C3933" t="s">
        <v>136</v>
      </c>
      <c r="D3933" t="s">
        <v>12</v>
      </c>
      <c r="E3933" t="s">
        <v>215</v>
      </c>
      <c r="F3933" t="s">
        <v>66</v>
      </c>
      <c r="H3933" t="s">
        <v>10</v>
      </c>
      <c r="I3933" t="s">
        <v>219</v>
      </c>
      <c r="J3933">
        <v>22</v>
      </c>
      <c r="N3933">
        <f>Таблица1[[#This Row],[Часов на заказчика  в работе]]+Таблица1[[#This Row],[Часов на заказчика  дежурство]]</f>
        <v>0</v>
      </c>
      <c r="O39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3" s="9">
        <v>162000</v>
      </c>
      <c r="R3933" s="9"/>
      <c r="S3933" s="5">
        <v>1</v>
      </c>
      <c r="T39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табеле]])*S3933,0)</f>
        <v>10800</v>
      </c>
      <c r="U3933" s="5">
        <f>IF(Таблица1[[#This Row],[ТТН]]&gt;0,Таблица1[[#This Row],[Ставка за ТТН]]*Таблица1[[#This Row],[ТТН]],0)</f>
        <v>0</v>
      </c>
    </row>
    <row r="3934" spans="1:21" x14ac:dyDescent="0.25">
      <c r="A3934" t="s">
        <v>84</v>
      </c>
      <c r="B3934" s="24">
        <v>20</v>
      </c>
      <c r="C3934" t="s">
        <v>136</v>
      </c>
      <c r="D3934" t="s">
        <v>12</v>
      </c>
      <c r="E3934" t="s">
        <v>215</v>
      </c>
      <c r="F3934" t="s">
        <v>66</v>
      </c>
      <c r="H3934" t="s">
        <v>10</v>
      </c>
      <c r="I3934" t="s">
        <v>219</v>
      </c>
      <c r="J3934">
        <v>11</v>
      </c>
      <c r="N3934">
        <f>Таблица1[[#This Row],[Часов на заказчика  в работе]]+Таблица1[[#This Row],[Часов на заказчика  дежурство]]</f>
        <v>0</v>
      </c>
      <c r="O39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4" s="9">
        <v>162000</v>
      </c>
      <c r="R3934" s="9"/>
      <c r="S3934" s="5">
        <v>1</v>
      </c>
      <c r="T39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табеле]])*S3934,0)</f>
        <v>5400</v>
      </c>
      <c r="U3934" s="5">
        <f>IF(Таблица1[[#This Row],[ТТН]]&gt;0,Таблица1[[#This Row],[Ставка за ТТН]]*Таблица1[[#This Row],[ТТН]],0)</f>
        <v>0</v>
      </c>
    </row>
    <row r="3935" spans="1:21" x14ac:dyDescent="0.25">
      <c r="A3935" t="s">
        <v>84</v>
      </c>
      <c r="B3935" s="24">
        <v>21</v>
      </c>
      <c r="C3935" t="s">
        <v>136</v>
      </c>
      <c r="D3935" t="s">
        <v>12</v>
      </c>
      <c r="E3935" t="s">
        <v>215</v>
      </c>
      <c r="F3935" t="s">
        <v>66</v>
      </c>
      <c r="H3935" t="s">
        <v>10</v>
      </c>
      <c r="I3935" t="s">
        <v>219</v>
      </c>
      <c r="J3935">
        <v>11</v>
      </c>
      <c r="N3935">
        <f>Таблица1[[#This Row],[Часов на заказчика  в работе]]+Таблица1[[#This Row],[Часов на заказчика  дежурство]]</f>
        <v>0</v>
      </c>
      <c r="O393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5" s="9">
        <v>162000</v>
      </c>
      <c r="R3935" s="9"/>
      <c r="S3935" s="5">
        <v>1</v>
      </c>
      <c r="T393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табеле]])*S3935,0)</f>
        <v>5400</v>
      </c>
      <c r="U3935" s="5">
        <f>IF(Таблица1[[#This Row],[ТТН]]&gt;0,Таблица1[[#This Row],[Ставка за ТТН]]*Таблица1[[#This Row],[ТТН]],0)</f>
        <v>0</v>
      </c>
    </row>
    <row r="3936" spans="1:21" x14ac:dyDescent="0.25">
      <c r="A3936" t="s">
        <v>84</v>
      </c>
      <c r="B3936" s="24">
        <v>22</v>
      </c>
      <c r="C3936" t="s">
        <v>136</v>
      </c>
      <c r="D3936" t="s">
        <v>12</v>
      </c>
      <c r="E3936" t="s">
        <v>215</v>
      </c>
      <c r="F3936" t="s">
        <v>66</v>
      </c>
      <c r="H3936" t="s">
        <v>10</v>
      </c>
      <c r="I3936" t="s">
        <v>219</v>
      </c>
      <c r="J3936">
        <v>22</v>
      </c>
      <c r="N3936">
        <f>Таблица1[[#This Row],[Часов на заказчика  в работе]]+Таблица1[[#This Row],[Часов на заказчика  дежурство]]</f>
        <v>0</v>
      </c>
      <c r="O393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6" s="9">
        <v>162000</v>
      </c>
      <c r="R3936" s="9"/>
      <c r="S3936" s="5">
        <v>1</v>
      </c>
      <c r="T393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табеле]])*S3936,0)</f>
        <v>10800</v>
      </c>
      <c r="U3936" s="5">
        <f>IF(Таблица1[[#This Row],[ТТН]]&gt;0,Таблица1[[#This Row],[Ставка за ТТН]]*Таблица1[[#This Row],[ТТН]],0)</f>
        <v>0</v>
      </c>
    </row>
    <row r="3937" spans="1:22" x14ac:dyDescent="0.25">
      <c r="A3937" t="s">
        <v>84</v>
      </c>
      <c r="B3937" s="24">
        <v>23</v>
      </c>
      <c r="C3937" t="s">
        <v>136</v>
      </c>
      <c r="D3937" t="s">
        <v>12</v>
      </c>
      <c r="E3937" t="s">
        <v>215</v>
      </c>
      <c r="F3937" t="s">
        <v>66</v>
      </c>
      <c r="H3937" t="s">
        <v>10</v>
      </c>
      <c r="I3937" t="s">
        <v>219</v>
      </c>
      <c r="J3937">
        <v>22</v>
      </c>
      <c r="N3937">
        <f>Таблица1[[#This Row],[Часов на заказчика  в работе]]+Таблица1[[#This Row],[Часов на заказчика  дежурство]]</f>
        <v>0</v>
      </c>
      <c r="O393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7" s="9">
        <v>162000</v>
      </c>
      <c r="R3937" s="9"/>
      <c r="S3937" s="5">
        <v>1</v>
      </c>
      <c r="T393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табеле]])*S3937,0)</f>
        <v>10800</v>
      </c>
      <c r="U3937" s="5">
        <f>IF(Таблица1[[#This Row],[ТТН]]&gt;0,Таблица1[[#This Row],[Ставка за ТТН]]*Таблица1[[#This Row],[ТТН]],0)</f>
        <v>0</v>
      </c>
    </row>
    <row r="3938" spans="1:22" x14ac:dyDescent="0.25">
      <c r="A3938" t="s">
        <v>84</v>
      </c>
      <c r="B3938" s="24">
        <v>24</v>
      </c>
      <c r="C3938" t="s">
        <v>136</v>
      </c>
      <c r="D3938" t="s">
        <v>12</v>
      </c>
      <c r="E3938" t="s">
        <v>215</v>
      </c>
      <c r="F3938" t="s">
        <v>66</v>
      </c>
      <c r="H3938" t="s">
        <v>10</v>
      </c>
      <c r="I3938" t="s">
        <v>221</v>
      </c>
      <c r="J3938">
        <v>11</v>
      </c>
      <c r="L3938">
        <v>11</v>
      </c>
      <c r="N3938">
        <f>Таблица1[[#This Row],[Часов на заказчика  в работе]]+Таблица1[[#This Row],[Часов на заказчика  дежурство]]</f>
        <v>11</v>
      </c>
      <c r="O393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8" s="9">
        <v>162000</v>
      </c>
      <c r="R3938" s="9"/>
      <c r="S3938" s="5">
        <v>1</v>
      </c>
      <c r="T393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табеле]])*S3938,0)</f>
        <v>5400</v>
      </c>
      <c r="U3938" s="5">
        <f>IF(Таблица1[[#This Row],[ТТН]]&gt;0,Таблица1[[#This Row],[Ставка за ТТН]]*Таблица1[[#This Row],[ТТН]],0)</f>
        <v>0</v>
      </c>
    </row>
    <row r="3939" spans="1:22" x14ac:dyDescent="0.25">
      <c r="A3939" t="s">
        <v>84</v>
      </c>
      <c r="B3939" s="24">
        <v>25</v>
      </c>
      <c r="C3939" t="s">
        <v>136</v>
      </c>
      <c r="D3939" t="s">
        <v>12</v>
      </c>
      <c r="E3939" t="s">
        <v>215</v>
      </c>
      <c r="F3939" t="s">
        <v>66</v>
      </c>
      <c r="H3939" t="s">
        <v>10</v>
      </c>
      <c r="I3939" t="s">
        <v>221</v>
      </c>
      <c r="J3939">
        <v>11</v>
      </c>
      <c r="L3939">
        <v>11</v>
      </c>
      <c r="N3939">
        <f>Таблица1[[#This Row],[Часов на заказчика  в работе]]+Таблица1[[#This Row],[Часов на заказчика  дежурство]]</f>
        <v>11</v>
      </c>
      <c r="O393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39" s="9">
        <v>162000</v>
      </c>
      <c r="R3939" s="9"/>
      <c r="S3939" s="5">
        <v>1</v>
      </c>
      <c r="T393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табеле]])*S3939,0)</f>
        <v>5400</v>
      </c>
      <c r="U3939" s="5">
        <f>IF(Таблица1[[#This Row],[ТТН]]&gt;0,Таблица1[[#This Row],[Ставка за ТТН]]*Таблица1[[#This Row],[ТТН]],0)</f>
        <v>0</v>
      </c>
    </row>
    <row r="3940" spans="1:22" x14ac:dyDescent="0.25">
      <c r="A3940" t="s">
        <v>84</v>
      </c>
      <c r="B3940" s="24">
        <v>26</v>
      </c>
      <c r="C3940" t="s">
        <v>136</v>
      </c>
      <c r="D3940" t="s">
        <v>12</v>
      </c>
      <c r="E3940" t="s">
        <v>215</v>
      </c>
      <c r="F3940" t="s">
        <v>66</v>
      </c>
      <c r="H3940" t="s">
        <v>23</v>
      </c>
      <c r="I3940" t="s">
        <v>217</v>
      </c>
      <c r="J3940">
        <v>11</v>
      </c>
      <c r="N3940">
        <f>Таблица1[[#This Row],[Часов на заказчика  в работе]]+Таблица1[[#This Row],[Часов на заказчика  дежурство]]</f>
        <v>0</v>
      </c>
      <c r="O394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0" s="9">
        <v>162000</v>
      </c>
      <c r="R3940" s="9"/>
      <c r="S3940" s="5">
        <v>1</v>
      </c>
      <c r="T394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табеле]])*S3940,0)</f>
        <v>5400</v>
      </c>
      <c r="U3940" s="5">
        <f>IF(Таблица1[[#This Row],[ТТН]]&gt;0,Таблица1[[#This Row],[Ставка за ТТН]]*Таблица1[[#This Row],[ТТН]],0)</f>
        <v>0</v>
      </c>
    </row>
    <row r="3941" spans="1:22" x14ac:dyDescent="0.25">
      <c r="A3941" t="s">
        <v>84</v>
      </c>
      <c r="B3941" s="24">
        <v>27</v>
      </c>
      <c r="C3941" t="s">
        <v>136</v>
      </c>
      <c r="D3941" t="s">
        <v>12</v>
      </c>
      <c r="E3941" t="s">
        <v>215</v>
      </c>
      <c r="F3941" t="s">
        <v>66</v>
      </c>
      <c r="H3941" t="s">
        <v>10</v>
      </c>
      <c r="I3941" t="s">
        <v>221</v>
      </c>
      <c r="J3941">
        <v>11</v>
      </c>
      <c r="L3941">
        <v>11</v>
      </c>
      <c r="N3941">
        <f>Таблица1[[#This Row],[Часов на заказчика  в работе]]+Таблица1[[#This Row],[Часов на заказчика  дежурство]]</f>
        <v>11</v>
      </c>
      <c r="O394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1" s="9">
        <v>162000</v>
      </c>
      <c r="R3941" s="9"/>
      <c r="S3941" s="5">
        <v>1</v>
      </c>
      <c r="T394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табеле]])*S3941,0)</f>
        <v>5400</v>
      </c>
      <c r="U3941" s="5">
        <f>IF(Таблица1[[#This Row],[ТТН]]&gt;0,Таблица1[[#This Row],[Ставка за ТТН]]*Таблица1[[#This Row],[ТТН]],0)</f>
        <v>0</v>
      </c>
    </row>
    <row r="3942" spans="1:22" x14ac:dyDescent="0.25">
      <c r="A3942" t="s">
        <v>84</v>
      </c>
      <c r="B3942" s="24">
        <v>28</v>
      </c>
      <c r="C3942" t="s">
        <v>136</v>
      </c>
      <c r="D3942" t="s">
        <v>12</v>
      </c>
      <c r="E3942" t="s">
        <v>215</v>
      </c>
      <c r="F3942" t="s">
        <v>66</v>
      </c>
      <c r="H3942" t="s">
        <v>38</v>
      </c>
      <c r="I3942" t="s">
        <v>217</v>
      </c>
      <c r="J3942">
        <v>11</v>
      </c>
      <c r="N3942">
        <f>Таблица1[[#This Row],[Часов на заказчика  в работе]]+Таблица1[[#This Row],[Часов на заказчика  дежурство]]</f>
        <v>0</v>
      </c>
      <c r="O394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2" s="9">
        <v>162000</v>
      </c>
      <c r="R3942" s="9"/>
      <c r="S3942" s="5">
        <v>1</v>
      </c>
      <c r="T394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табеле]])*S3942,0)</f>
        <v>5400</v>
      </c>
      <c r="U3942" s="5">
        <f>IF(Таблица1[[#This Row],[ТТН]]&gt;0,Таблица1[[#This Row],[Ставка за ТТН]]*Таблица1[[#This Row],[ТТН]],0)</f>
        <v>0</v>
      </c>
    </row>
    <row r="3943" spans="1:22" x14ac:dyDescent="0.25">
      <c r="A3943" t="s">
        <v>84</v>
      </c>
      <c r="B3943" s="24">
        <v>29</v>
      </c>
      <c r="C3943" t="s">
        <v>136</v>
      </c>
      <c r="D3943" t="s">
        <v>12</v>
      </c>
      <c r="E3943" t="s">
        <v>215</v>
      </c>
      <c r="F3943" t="s">
        <v>66</v>
      </c>
      <c r="H3943" t="s">
        <v>38</v>
      </c>
      <c r="I3943" t="s">
        <v>217</v>
      </c>
      <c r="J3943">
        <v>11</v>
      </c>
      <c r="N3943">
        <f>Таблица1[[#This Row],[Часов на заказчика  в работе]]+Таблица1[[#This Row],[Часов на заказчика  дежурство]]</f>
        <v>0</v>
      </c>
      <c r="O394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3" s="9">
        <v>162000</v>
      </c>
      <c r="R3943" s="9"/>
      <c r="S3943" s="5">
        <v>1</v>
      </c>
      <c r="T394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табеле]])*S3943,0)</f>
        <v>5400</v>
      </c>
      <c r="U3943" s="5">
        <f>IF(Таблица1[[#This Row],[ТТН]]&gt;0,Таблица1[[#This Row],[Ставка за ТТН]]*Таблица1[[#This Row],[ТТН]],0)</f>
        <v>0</v>
      </c>
    </row>
    <row r="3944" spans="1:22" x14ac:dyDescent="0.25">
      <c r="A3944" t="s">
        <v>84</v>
      </c>
      <c r="B3944" s="24">
        <v>30</v>
      </c>
      <c r="C3944" t="s">
        <v>210</v>
      </c>
      <c r="D3944" t="s">
        <v>12</v>
      </c>
      <c r="E3944" t="s">
        <v>215</v>
      </c>
      <c r="F3944" t="s">
        <v>66</v>
      </c>
      <c r="H3944" t="s">
        <v>10</v>
      </c>
      <c r="I3944" t="s">
        <v>221</v>
      </c>
      <c r="J3944">
        <v>11</v>
      </c>
      <c r="L3944">
        <v>11</v>
      </c>
      <c r="N3944">
        <f>Таблица1[[#This Row],[Часов на заказчика  в работе]]+Таблица1[[#This Row],[Часов на заказчика  дежурство]]</f>
        <v>11</v>
      </c>
      <c r="O394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4" s="9">
        <v>162000</v>
      </c>
      <c r="R3944" s="9"/>
      <c r="S3944" s="5">
        <v>1</v>
      </c>
      <c r="T394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табеле]])*S3944,0)</f>
        <v>5400</v>
      </c>
      <c r="U3944" s="5">
        <f>IF(Таблица1[[#This Row],[ТТН]]&gt;0,Таблица1[[#This Row],[Ставка за ТТН]]*Таблица1[[#This Row],[ТТН]],0)</f>
        <v>0</v>
      </c>
    </row>
    <row r="3945" spans="1:22" x14ac:dyDescent="0.25">
      <c r="A3945" t="s">
        <v>84</v>
      </c>
      <c r="B3945" s="24">
        <v>1</v>
      </c>
      <c r="C3945" t="s">
        <v>210</v>
      </c>
      <c r="D3945" t="s">
        <v>12</v>
      </c>
      <c r="E3945" t="s">
        <v>215</v>
      </c>
      <c r="F3945" t="s">
        <v>66</v>
      </c>
      <c r="H3945" t="s">
        <v>10</v>
      </c>
      <c r="I3945" t="s">
        <v>219</v>
      </c>
      <c r="J3945">
        <v>11</v>
      </c>
      <c r="K3945">
        <v>1</v>
      </c>
      <c r="N3945">
        <f>Таблица1[[#This Row],[Часов на заказчика  в работе]]+Таблица1[[#This Row],[Часов на заказчика  дежурство]]</f>
        <v>0</v>
      </c>
      <c r="O394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5" s="9">
        <v>162000</v>
      </c>
      <c r="R3945" s="9">
        <v>5000</v>
      </c>
      <c r="S3945" s="5">
        <v>1</v>
      </c>
      <c r="T394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табеле]])*S3945,0)</f>
        <v>5400</v>
      </c>
      <c r="U3945" s="5">
        <f>IF(Таблица1[[#This Row],[ТТН]]&gt;0,Таблица1[[#This Row],[Ставка за ТТН]]*Таблица1[[#This Row],[ТТН]],0)</f>
        <v>5000</v>
      </c>
      <c r="V3945" t="s">
        <v>89</v>
      </c>
    </row>
    <row r="3946" spans="1:22" x14ac:dyDescent="0.25">
      <c r="A3946" t="s">
        <v>84</v>
      </c>
      <c r="B3946" s="24">
        <v>2</v>
      </c>
      <c r="C3946" t="s">
        <v>210</v>
      </c>
      <c r="D3946" t="s">
        <v>12</v>
      </c>
      <c r="E3946" t="s">
        <v>215</v>
      </c>
      <c r="F3946" t="s">
        <v>66</v>
      </c>
      <c r="H3946" t="s">
        <v>10</v>
      </c>
      <c r="I3946" t="s">
        <v>219</v>
      </c>
      <c r="J3946">
        <v>22</v>
      </c>
      <c r="N3946">
        <f>Таблица1[[#This Row],[Часов на заказчика  в работе]]+Таблица1[[#This Row],[Часов на заказчика  дежурство]]</f>
        <v>0</v>
      </c>
      <c r="O394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6" s="9">
        <v>162000</v>
      </c>
      <c r="R3946" s="9"/>
      <c r="S3946" s="5">
        <v>1</v>
      </c>
      <c r="T394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табеле]])*S3946,0)</f>
        <v>10800</v>
      </c>
      <c r="U3946" s="5">
        <f>IF(Таблица1[[#This Row],[ТТН]]&gt;0,Таблица1[[#This Row],[Ставка за ТТН]]*Таблица1[[#This Row],[ТТН]],0)</f>
        <v>0</v>
      </c>
    </row>
    <row r="3947" spans="1:22" x14ac:dyDescent="0.25">
      <c r="A3947" t="s">
        <v>84</v>
      </c>
      <c r="B3947" s="24">
        <v>3</v>
      </c>
      <c r="C3947" t="s">
        <v>210</v>
      </c>
      <c r="D3947" t="s">
        <v>12</v>
      </c>
      <c r="E3947" t="s">
        <v>215</v>
      </c>
      <c r="F3947" t="s">
        <v>66</v>
      </c>
      <c r="H3947" t="s">
        <v>10</v>
      </c>
      <c r="I3947" t="s">
        <v>219</v>
      </c>
      <c r="J3947">
        <v>11</v>
      </c>
      <c r="N3947">
        <f>Таблица1[[#This Row],[Часов на заказчика  в работе]]+Таблица1[[#This Row],[Часов на заказчика  дежурство]]</f>
        <v>0</v>
      </c>
      <c r="O394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7" s="9">
        <v>162000</v>
      </c>
      <c r="R3947" s="9"/>
      <c r="S3947" s="5">
        <v>1</v>
      </c>
      <c r="T394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табеле]])*S3947,0)</f>
        <v>5400</v>
      </c>
      <c r="U3947" s="5">
        <f>IF(Таблица1[[#This Row],[ТТН]]&gt;0,Таблица1[[#This Row],[Ставка за ТТН]]*Таблица1[[#This Row],[ТТН]],0)</f>
        <v>0</v>
      </c>
    </row>
    <row r="3948" spans="1:22" x14ac:dyDescent="0.25">
      <c r="A3948" t="s">
        <v>84</v>
      </c>
      <c r="B3948" s="24">
        <v>4</v>
      </c>
      <c r="C3948" t="s">
        <v>210</v>
      </c>
      <c r="D3948" t="s">
        <v>12</v>
      </c>
      <c r="E3948" t="s">
        <v>215</v>
      </c>
      <c r="F3948" t="s">
        <v>66</v>
      </c>
      <c r="H3948" t="s">
        <v>10</v>
      </c>
      <c r="I3948" t="s">
        <v>219</v>
      </c>
      <c r="J3948">
        <v>22</v>
      </c>
      <c r="N3948">
        <f>Таблица1[[#This Row],[Часов на заказчика  в работе]]+Таблица1[[#This Row],[Часов на заказчика  дежурство]]</f>
        <v>0</v>
      </c>
      <c r="O394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8" s="9">
        <v>162000</v>
      </c>
      <c r="R3948" s="9"/>
      <c r="S3948" s="5">
        <v>1</v>
      </c>
      <c r="T394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табеле]])*S3948,0)</f>
        <v>10800</v>
      </c>
      <c r="U3948" s="5">
        <f>IF(Таблица1[[#This Row],[ТТН]]&gt;0,Таблица1[[#This Row],[Ставка за ТТН]]*Таблица1[[#This Row],[ТТН]],0)</f>
        <v>0</v>
      </c>
    </row>
    <row r="3949" spans="1:22" x14ac:dyDescent="0.25">
      <c r="A3949" t="s">
        <v>84</v>
      </c>
      <c r="B3949" s="24">
        <v>5</v>
      </c>
      <c r="C3949" t="s">
        <v>210</v>
      </c>
      <c r="D3949" t="s">
        <v>12</v>
      </c>
      <c r="E3949" t="s">
        <v>215</v>
      </c>
      <c r="F3949" t="s">
        <v>66</v>
      </c>
      <c r="H3949" t="s">
        <v>10</v>
      </c>
      <c r="I3949" t="s">
        <v>219</v>
      </c>
      <c r="J3949">
        <v>11</v>
      </c>
      <c r="N3949">
        <f>Таблица1[[#This Row],[Часов на заказчика  в работе]]+Таблица1[[#This Row],[Часов на заказчика  дежурство]]</f>
        <v>0</v>
      </c>
      <c r="O394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49" s="9">
        <v>162000</v>
      </c>
      <c r="R3949" s="9"/>
      <c r="S3949" s="5">
        <v>1</v>
      </c>
      <c r="T394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табеле]])*S3949,0)</f>
        <v>5400</v>
      </c>
      <c r="U3949" s="5">
        <f>IF(Таблица1[[#This Row],[ТТН]]&gt;0,Таблица1[[#This Row],[Ставка за ТТН]]*Таблица1[[#This Row],[ТТН]],0)</f>
        <v>0</v>
      </c>
    </row>
    <row r="3950" spans="1:22" x14ac:dyDescent="0.25">
      <c r="A3950" t="s">
        <v>84</v>
      </c>
      <c r="B3950" s="24">
        <v>6</v>
      </c>
      <c r="C3950" t="s">
        <v>210</v>
      </c>
      <c r="D3950" t="s">
        <v>12</v>
      </c>
      <c r="E3950" t="s">
        <v>215</v>
      </c>
      <c r="F3950" t="s">
        <v>66</v>
      </c>
      <c r="H3950" t="s">
        <v>38</v>
      </c>
      <c r="I3950" t="s">
        <v>219</v>
      </c>
      <c r="J3950">
        <v>11</v>
      </c>
      <c r="N3950">
        <f>Таблица1[[#This Row],[Часов на заказчика  в работе]]+Таблица1[[#This Row],[Часов на заказчика  дежурство]]</f>
        <v>0</v>
      </c>
      <c r="O395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0" s="9">
        <v>162000</v>
      </c>
      <c r="R3950" s="9"/>
      <c r="S3950" s="5">
        <v>1</v>
      </c>
      <c r="T395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табеле]])*S3950,0)</f>
        <v>5400</v>
      </c>
      <c r="U3950" s="5">
        <f>IF(Таблица1[[#This Row],[ТТН]]&gt;0,Таблица1[[#This Row],[Ставка за ТТН]]*Таблица1[[#This Row],[ТТН]],0)</f>
        <v>0</v>
      </c>
    </row>
    <row r="3951" spans="1:22" x14ac:dyDescent="0.25">
      <c r="A3951" t="s">
        <v>84</v>
      </c>
      <c r="B3951" s="24">
        <v>7</v>
      </c>
      <c r="C3951" t="s">
        <v>210</v>
      </c>
      <c r="D3951" t="s">
        <v>12</v>
      </c>
      <c r="E3951" t="s">
        <v>215</v>
      </c>
      <c r="F3951" t="s">
        <v>66</v>
      </c>
      <c r="H3951" t="s">
        <v>38</v>
      </c>
      <c r="I3951" t="s">
        <v>219</v>
      </c>
      <c r="J3951">
        <v>11</v>
      </c>
      <c r="N3951">
        <f>Таблица1[[#This Row],[Часов на заказчика  в работе]]+Таблица1[[#This Row],[Часов на заказчика  дежурство]]</f>
        <v>0</v>
      </c>
      <c r="O395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1" s="9">
        <v>162000</v>
      </c>
      <c r="R3951" s="9"/>
      <c r="S3951" s="5">
        <v>1</v>
      </c>
      <c r="T395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табеле]])*S3951,0)</f>
        <v>5400</v>
      </c>
      <c r="U3951" s="5">
        <f>IF(Таблица1[[#This Row],[ТТН]]&gt;0,Таблица1[[#This Row],[Ставка за ТТН]]*Таблица1[[#This Row],[ТТН]],0)</f>
        <v>0</v>
      </c>
    </row>
    <row r="3952" spans="1:22" x14ac:dyDescent="0.25">
      <c r="A3952" t="s">
        <v>84</v>
      </c>
      <c r="B3952" s="24">
        <v>8</v>
      </c>
      <c r="C3952" t="s">
        <v>210</v>
      </c>
      <c r="D3952" t="s">
        <v>12</v>
      </c>
      <c r="E3952" t="s">
        <v>215</v>
      </c>
      <c r="F3952" t="s">
        <v>66</v>
      </c>
      <c r="H3952" t="s">
        <v>10</v>
      </c>
      <c r="I3952" t="s">
        <v>219</v>
      </c>
      <c r="J3952">
        <v>11</v>
      </c>
      <c r="K3952">
        <v>1</v>
      </c>
      <c r="N3952">
        <f>Таблица1[[#This Row],[Часов на заказчика  в работе]]+Таблица1[[#This Row],[Часов на заказчика  дежурство]]</f>
        <v>0</v>
      </c>
      <c r="O395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2" s="9">
        <v>162000</v>
      </c>
      <c r="R3952" s="9">
        <v>5000</v>
      </c>
      <c r="S3952" s="5">
        <v>1</v>
      </c>
      <c r="T395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табеле]])*S3952,0)</f>
        <v>5400</v>
      </c>
      <c r="U3952" s="5">
        <f>IF(Таблица1[[#This Row],[ТТН]]&gt;0,Таблица1[[#This Row],[Ставка за ТТН]]*Таблица1[[#This Row],[ТТН]],0)</f>
        <v>5000</v>
      </c>
    </row>
    <row r="3953" spans="1:21" x14ac:dyDescent="0.25">
      <c r="A3953" t="s">
        <v>84</v>
      </c>
      <c r="B3953" s="24">
        <v>9</v>
      </c>
      <c r="C3953" t="s">
        <v>210</v>
      </c>
      <c r="D3953" t="s">
        <v>12</v>
      </c>
      <c r="E3953" t="s">
        <v>215</v>
      </c>
      <c r="F3953" t="s">
        <v>66</v>
      </c>
      <c r="H3953" t="s">
        <v>10</v>
      </c>
      <c r="I3953" t="s">
        <v>219</v>
      </c>
      <c r="J3953">
        <v>22</v>
      </c>
      <c r="N3953">
        <f>Таблица1[[#This Row],[Часов на заказчика  в работе]]+Таблица1[[#This Row],[Часов на заказчика  дежурство]]</f>
        <v>0</v>
      </c>
      <c r="O395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3" s="9">
        <v>162000</v>
      </c>
      <c r="R3953" s="9"/>
      <c r="S3953" s="5">
        <v>1</v>
      </c>
      <c r="T395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табеле]])*S3953,0)</f>
        <v>10800</v>
      </c>
      <c r="U3953" s="5">
        <f>IF(Таблица1[[#This Row],[ТТН]]&gt;0,Таблица1[[#This Row],[Ставка за ТТН]]*Таблица1[[#This Row],[ТТН]],0)</f>
        <v>0</v>
      </c>
    </row>
    <row r="3954" spans="1:21" x14ac:dyDescent="0.25">
      <c r="A3954" t="s">
        <v>84</v>
      </c>
      <c r="B3954" s="24">
        <v>10</v>
      </c>
      <c r="C3954" t="s">
        <v>210</v>
      </c>
      <c r="D3954" t="s">
        <v>12</v>
      </c>
      <c r="E3954" t="s">
        <v>215</v>
      </c>
      <c r="F3954" t="s">
        <v>66</v>
      </c>
      <c r="H3954" t="s">
        <v>10</v>
      </c>
      <c r="I3954" t="s">
        <v>219</v>
      </c>
      <c r="J3954">
        <v>11</v>
      </c>
      <c r="N3954">
        <f>Таблица1[[#This Row],[Часов на заказчика  в работе]]+Таблица1[[#This Row],[Часов на заказчика  дежурство]]</f>
        <v>0</v>
      </c>
      <c r="O395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4" s="9">
        <v>162000</v>
      </c>
      <c r="R3954" s="9"/>
      <c r="S3954" s="5">
        <v>1</v>
      </c>
      <c r="T395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табеле]])*S3954,0)</f>
        <v>5400</v>
      </c>
      <c r="U3954" s="5">
        <f>IF(Таблица1[[#This Row],[ТТН]]&gt;0,Таблица1[[#This Row],[Ставка за ТТН]]*Таблица1[[#This Row],[ТТН]],0)</f>
        <v>0</v>
      </c>
    </row>
    <row r="3955" spans="1:21" x14ac:dyDescent="0.25">
      <c r="A3955" t="s">
        <v>84</v>
      </c>
      <c r="B3955" s="24">
        <v>11</v>
      </c>
      <c r="C3955" t="s">
        <v>210</v>
      </c>
      <c r="D3955" t="s">
        <v>12</v>
      </c>
      <c r="E3955" t="s">
        <v>215</v>
      </c>
      <c r="F3955" t="s">
        <v>66</v>
      </c>
      <c r="H3955" t="s">
        <v>10</v>
      </c>
      <c r="I3955" t="s">
        <v>219</v>
      </c>
      <c r="J3955">
        <v>22</v>
      </c>
      <c r="N3955">
        <f>Таблица1[[#This Row],[Часов на заказчика  в работе]]+Таблица1[[#This Row],[Часов на заказчика  дежурство]]</f>
        <v>0</v>
      </c>
      <c r="O395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5" s="9">
        <v>162000</v>
      </c>
      <c r="R3955" s="9"/>
      <c r="S3955" s="5">
        <v>1</v>
      </c>
      <c r="T395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табеле]])*S3955,0)</f>
        <v>10800</v>
      </c>
      <c r="U3955" s="5">
        <f>IF(Таблица1[[#This Row],[ТТН]]&gt;0,Таблица1[[#This Row],[Ставка за ТТН]]*Таблица1[[#This Row],[ТТН]],0)</f>
        <v>0</v>
      </c>
    </row>
    <row r="3956" spans="1:21" x14ac:dyDescent="0.25">
      <c r="A3956" t="s">
        <v>84</v>
      </c>
      <c r="B3956" s="24">
        <v>12</v>
      </c>
      <c r="C3956" t="s">
        <v>210</v>
      </c>
      <c r="D3956" t="s">
        <v>12</v>
      </c>
      <c r="E3956" t="s">
        <v>215</v>
      </c>
      <c r="F3956" t="s">
        <v>66</v>
      </c>
      <c r="H3956" t="s">
        <v>38</v>
      </c>
      <c r="I3956" t="s">
        <v>219</v>
      </c>
      <c r="J3956">
        <v>11</v>
      </c>
      <c r="N3956">
        <f>Таблица1[[#This Row],[Часов на заказчика  в работе]]+Таблица1[[#This Row],[Часов на заказчика  дежурство]]</f>
        <v>0</v>
      </c>
      <c r="O395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6" s="9">
        <v>162000</v>
      </c>
      <c r="R3956" s="9"/>
      <c r="S3956" s="5">
        <v>1</v>
      </c>
      <c r="T395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табеле]])*S3956,0)</f>
        <v>5400</v>
      </c>
      <c r="U3956" s="5">
        <f>IF(Таблица1[[#This Row],[ТТН]]&gt;0,Таблица1[[#This Row],[Ставка за ТТН]]*Таблица1[[#This Row],[ТТН]],0)</f>
        <v>0</v>
      </c>
    </row>
    <row r="3957" spans="1:21" x14ac:dyDescent="0.25">
      <c r="A3957" t="s">
        <v>84</v>
      </c>
      <c r="B3957" s="24">
        <v>13</v>
      </c>
      <c r="C3957" t="s">
        <v>210</v>
      </c>
      <c r="D3957" t="s">
        <v>12</v>
      </c>
      <c r="E3957" t="s">
        <v>215</v>
      </c>
      <c r="F3957" t="s">
        <v>66</v>
      </c>
      <c r="H3957" t="s">
        <v>10</v>
      </c>
      <c r="I3957" t="s">
        <v>219</v>
      </c>
      <c r="J3957">
        <v>11</v>
      </c>
      <c r="N3957">
        <f>Таблица1[[#This Row],[Часов на заказчика  в работе]]+Таблица1[[#This Row],[Часов на заказчика  дежурство]]</f>
        <v>0</v>
      </c>
      <c r="O395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7" s="9">
        <v>162000</v>
      </c>
      <c r="R3957" s="9"/>
      <c r="S3957" s="5">
        <v>1</v>
      </c>
      <c r="T395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табеле]])*S3957,0)</f>
        <v>5400</v>
      </c>
      <c r="U3957" s="5">
        <f>IF(Таблица1[[#This Row],[ТТН]]&gt;0,Таблица1[[#This Row],[Ставка за ТТН]]*Таблица1[[#This Row],[ТТН]],0)</f>
        <v>0</v>
      </c>
    </row>
    <row r="3958" spans="1:21" x14ac:dyDescent="0.25">
      <c r="A3958" t="s">
        <v>84</v>
      </c>
      <c r="B3958" s="24">
        <v>14</v>
      </c>
      <c r="C3958" t="s">
        <v>210</v>
      </c>
      <c r="D3958" t="s">
        <v>12</v>
      </c>
      <c r="E3958" t="s">
        <v>215</v>
      </c>
      <c r="F3958" t="s">
        <v>66</v>
      </c>
      <c r="H3958" t="s">
        <v>10</v>
      </c>
      <c r="I3958" t="s">
        <v>219</v>
      </c>
      <c r="J3958">
        <v>11</v>
      </c>
      <c r="K3958">
        <v>1</v>
      </c>
      <c r="N3958">
        <f>Таблица1[[#This Row],[Часов на заказчика  в работе]]+Таблица1[[#This Row],[Часов на заказчика  дежурство]]</f>
        <v>0</v>
      </c>
      <c r="O395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8" s="9">
        <v>162000</v>
      </c>
      <c r="R3958" s="9">
        <v>5000</v>
      </c>
      <c r="S3958" s="5">
        <v>1</v>
      </c>
      <c r="T395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табеле]])*S3958,0)</f>
        <v>5400</v>
      </c>
      <c r="U3958" s="5">
        <f>IF(Таблица1[[#This Row],[ТТН]]&gt;0,Таблица1[[#This Row],[Ставка за ТТН]]*Таблица1[[#This Row],[ТТН]],0)</f>
        <v>5000</v>
      </c>
    </row>
    <row r="3959" spans="1:21" x14ac:dyDescent="0.25">
      <c r="A3959" t="s">
        <v>84</v>
      </c>
      <c r="B3959" s="24">
        <v>15</v>
      </c>
      <c r="C3959" t="s">
        <v>210</v>
      </c>
      <c r="D3959" t="s">
        <v>12</v>
      </c>
      <c r="E3959" t="s">
        <v>215</v>
      </c>
      <c r="F3959" t="s">
        <v>66</v>
      </c>
      <c r="H3959" t="s">
        <v>10</v>
      </c>
      <c r="I3959" t="s">
        <v>219</v>
      </c>
      <c r="J3959">
        <v>22</v>
      </c>
      <c r="N3959">
        <f>Таблица1[[#This Row],[Часов на заказчика  в работе]]+Таблица1[[#This Row],[Часов на заказчика  дежурство]]</f>
        <v>0</v>
      </c>
      <c r="O395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59" s="9">
        <v>162000</v>
      </c>
      <c r="R3959" s="9"/>
      <c r="S3959" s="5">
        <v>1</v>
      </c>
      <c r="T395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табеле]])*S3959,0)</f>
        <v>10800</v>
      </c>
      <c r="U3959" s="5">
        <f>IF(Таблица1[[#This Row],[ТТН]]&gt;0,Таблица1[[#This Row],[Ставка за ТТН]]*Таблица1[[#This Row],[ТТН]],0)</f>
        <v>0</v>
      </c>
    </row>
    <row r="3960" spans="1:21" x14ac:dyDescent="0.25">
      <c r="A3960" t="s">
        <v>84</v>
      </c>
      <c r="B3960" s="24">
        <v>16</v>
      </c>
      <c r="C3960" t="s">
        <v>210</v>
      </c>
      <c r="D3960" t="s">
        <v>12</v>
      </c>
      <c r="E3960" t="s">
        <v>215</v>
      </c>
      <c r="F3960" t="s">
        <v>66</v>
      </c>
      <c r="H3960" t="s">
        <v>10</v>
      </c>
      <c r="I3960" t="s">
        <v>219</v>
      </c>
      <c r="J3960">
        <v>22</v>
      </c>
      <c r="N3960">
        <f>Таблица1[[#This Row],[Часов на заказчика  в работе]]+Таблица1[[#This Row],[Часов на заказчика  дежурство]]</f>
        <v>0</v>
      </c>
      <c r="O396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0" s="9">
        <v>162000</v>
      </c>
      <c r="R3960" s="9"/>
      <c r="S3960" s="5">
        <v>1</v>
      </c>
      <c r="T396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табеле]])*S3960,0)</f>
        <v>10800</v>
      </c>
      <c r="U3960" s="5">
        <f>IF(Таблица1[[#This Row],[ТТН]]&gt;0,Таблица1[[#This Row],[Ставка за ТТН]]*Таблица1[[#This Row],[ТТН]],0)</f>
        <v>0</v>
      </c>
    </row>
    <row r="3961" spans="1:21" x14ac:dyDescent="0.25">
      <c r="A3961" t="s">
        <v>84</v>
      </c>
      <c r="B3961" s="24">
        <v>17</v>
      </c>
      <c r="C3961" t="s">
        <v>210</v>
      </c>
      <c r="D3961" t="s">
        <v>12</v>
      </c>
      <c r="E3961" t="s">
        <v>215</v>
      </c>
      <c r="F3961" t="s">
        <v>66</v>
      </c>
      <c r="H3961" t="s">
        <v>10</v>
      </c>
      <c r="I3961" t="s">
        <v>219</v>
      </c>
      <c r="J3961">
        <v>11</v>
      </c>
      <c r="K3961">
        <v>1</v>
      </c>
      <c r="N3961">
        <f>Таблица1[[#This Row],[Часов на заказчика  в работе]]+Таблица1[[#This Row],[Часов на заказчика  дежурство]]</f>
        <v>0</v>
      </c>
      <c r="O396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1" s="9">
        <v>162000</v>
      </c>
      <c r="R3961" s="9">
        <v>5000</v>
      </c>
      <c r="S3961" s="5">
        <v>1</v>
      </c>
      <c r="T396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табеле]])*S3961,0)</f>
        <v>5400</v>
      </c>
      <c r="U3961" s="5">
        <f>IF(Таблица1[[#This Row],[ТТН]]&gt;0,Таблица1[[#This Row],[Ставка за ТТН]]*Таблица1[[#This Row],[ТТН]],0)</f>
        <v>5000</v>
      </c>
    </row>
    <row r="3962" spans="1:21" x14ac:dyDescent="0.25">
      <c r="A3962" t="s">
        <v>84</v>
      </c>
      <c r="B3962" s="24">
        <v>18</v>
      </c>
      <c r="C3962" t="s">
        <v>210</v>
      </c>
      <c r="D3962" t="s">
        <v>12</v>
      </c>
      <c r="E3962" t="s">
        <v>215</v>
      </c>
      <c r="F3962" t="s">
        <v>66</v>
      </c>
      <c r="H3962" t="s">
        <v>10</v>
      </c>
      <c r="I3962" t="s">
        <v>219</v>
      </c>
      <c r="J3962">
        <v>22</v>
      </c>
      <c r="N3962">
        <f>Таблица1[[#This Row],[Часов на заказчика  в работе]]+Таблица1[[#This Row],[Часов на заказчика  дежурство]]</f>
        <v>0</v>
      </c>
      <c r="O396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2" s="9">
        <v>162000</v>
      </c>
      <c r="R3962" s="9"/>
      <c r="S3962" s="5">
        <v>1</v>
      </c>
      <c r="T396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табеле]])*S3962,0)</f>
        <v>10800</v>
      </c>
      <c r="U3962" s="5">
        <f>IF(Таблица1[[#This Row],[ТТН]]&gt;0,Таблица1[[#This Row],[Ставка за ТТН]]*Таблица1[[#This Row],[ТТН]],0)</f>
        <v>0</v>
      </c>
    </row>
    <row r="3963" spans="1:21" x14ac:dyDescent="0.25">
      <c r="A3963" t="s">
        <v>84</v>
      </c>
      <c r="B3963" s="24">
        <v>19</v>
      </c>
      <c r="C3963" t="s">
        <v>210</v>
      </c>
      <c r="D3963" t="s">
        <v>12</v>
      </c>
      <c r="E3963" t="s">
        <v>215</v>
      </c>
      <c r="F3963" t="s">
        <v>66</v>
      </c>
      <c r="H3963" t="s">
        <v>10</v>
      </c>
      <c r="I3963" t="s">
        <v>219</v>
      </c>
      <c r="J3963">
        <v>11</v>
      </c>
      <c r="N3963">
        <f>Таблица1[[#This Row],[Часов на заказчика  в работе]]+Таблица1[[#This Row],[Часов на заказчика  дежурство]]</f>
        <v>0</v>
      </c>
      <c r="O396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3" s="9">
        <v>162000</v>
      </c>
      <c r="R3963" s="9"/>
      <c r="S3963" s="5">
        <v>1</v>
      </c>
      <c r="T396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табеле]])*S3963,0)</f>
        <v>5400</v>
      </c>
      <c r="U3963" s="5">
        <f>IF(Таблица1[[#This Row],[ТТН]]&gt;0,Таблица1[[#This Row],[Ставка за ТТН]]*Таблица1[[#This Row],[ТТН]],0)</f>
        <v>0</v>
      </c>
    </row>
    <row r="3964" spans="1:21" x14ac:dyDescent="0.25">
      <c r="A3964" t="s">
        <v>84</v>
      </c>
      <c r="B3964" s="24">
        <v>20</v>
      </c>
      <c r="C3964" t="s">
        <v>210</v>
      </c>
      <c r="D3964" t="s">
        <v>12</v>
      </c>
      <c r="E3964" t="s">
        <v>215</v>
      </c>
      <c r="F3964" t="s">
        <v>66</v>
      </c>
      <c r="H3964" t="s">
        <v>10</v>
      </c>
      <c r="I3964" t="s">
        <v>219</v>
      </c>
      <c r="J3964">
        <v>22</v>
      </c>
      <c r="N3964">
        <f>Таблица1[[#This Row],[Часов на заказчика  в работе]]+Таблица1[[#This Row],[Часов на заказчика  дежурство]]</f>
        <v>0</v>
      </c>
      <c r="O396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4" s="9">
        <v>162000</v>
      </c>
      <c r="R3964" s="9"/>
      <c r="S3964" s="5">
        <v>1</v>
      </c>
      <c r="T396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табеле]])*S3964,0)</f>
        <v>10800</v>
      </c>
      <c r="U3964" s="5">
        <f>IF(Таблица1[[#This Row],[ТТН]]&gt;0,Таблица1[[#This Row],[Ставка за ТТН]]*Таблица1[[#This Row],[ТТН]],0)</f>
        <v>0</v>
      </c>
    </row>
    <row r="3965" spans="1:21" x14ac:dyDescent="0.25">
      <c r="A3965" t="s">
        <v>84</v>
      </c>
      <c r="B3965" s="24">
        <v>21</v>
      </c>
      <c r="C3965" t="s">
        <v>210</v>
      </c>
      <c r="D3965" t="s">
        <v>12</v>
      </c>
      <c r="E3965" t="s">
        <v>214</v>
      </c>
      <c r="F3965" t="s">
        <v>66</v>
      </c>
      <c r="H3965" t="s">
        <v>10</v>
      </c>
      <c r="I3965" t="s">
        <v>217</v>
      </c>
      <c r="J3965">
        <v>11</v>
      </c>
      <c r="N3965">
        <f>Таблица1[[#This Row],[Часов на заказчика  в работе]]+Таблица1[[#This Row],[Часов на заказчика  дежурство]]</f>
        <v>0</v>
      </c>
      <c r="O396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5" s="9">
        <v>135000</v>
      </c>
      <c r="R3965" s="9"/>
      <c r="S3965" s="5">
        <v>1</v>
      </c>
      <c r="T396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табеле]])*S3965,0)</f>
        <v>4500</v>
      </c>
      <c r="U3965" s="5">
        <f>IF(Таблица1[[#This Row],[ТТН]]&gt;0,Таблица1[[#This Row],[Ставка за ТТН]]*Таблица1[[#This Row],[ТТН]],0)</f>
        <v>0</v>
      </c>
    </row>
    <row r="3966" spans="1:21" x14ac:dyDescent="0.25">
      <c r="A3966" t="s">
        <v>84</v>
      </c>
      <c r="B3966" s="24">
        <v>22</v>
      </c>
      <c r="C3966" t="s">
        <v>210</v>
      </c>
      <c r="D3966" t="s">
        <v>12</v>
      </c>
      <c r="E3966" t="s">
        <v>214</v>
      </c>
      <c r="F3966" t="s">
        <v>66</v>
      </c>
      <c r="H3966" t="s">
        <v>10</v>
      </c>
      <c r="I3966" t="s">
        <v>220</v>
      </c>
      <c r="J3966">
        <v>11</v>
      </c>
      <c r="L3966">
        <v>11</v>
      </c>
      <c r="N3966">
        <f>Таблица1[[#This Row],[Часов на заказчика  в работе]]+Таблица1[[#This Row],[Часов на заказчика  дежурство]]</f>
        <v>11</v>
      </c>
      <c r="O396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6" s="9">
        <v>135000</v>
      </c>
      <c r="R3966" s="9"/>
      <c r="S3966" s="5">
        <v>1</v>
      </c>
      <c r="T396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табеле]])*S3966,0)</f>
        <v>4500</v>
      </c>
      <c r="U3966" s="5">
        <f>IF(Таблица1[[#This Row],[ТТН]]&gt;0,Таблица1[[#This Row],[Ставка за ТТН]]*Таблица1[[#This Row],[ТТН]],0)</f>
        <v>0</v>
      </c>
    </row>
    <row r="3967" spans="1:21" x14ac:dyDescent="0.25">
      <c r="A3967" t="s">
        <v>84</v>
      </c>
      <c r="B3967" s="24">
        <v>23</v>
      </c>
      <c r="C3967" t="s">
        <v>210</v>
      </c>
      <c r="D3967" t="s">
        <v>12</v>
      </c>
      <c r="E3967" t="s">
        <v>214</v>
      </c>
      <c r="F3967" t="s">
        <v>66</v>
      </c>
      <c r="H3967" t="s">
        <v>10</v>
      </c>
      <c r="I3967" t="s">
        <v>220</v>
      </c>
      <c r="J3967">
        <v>22</v>
      </c>
      <c r="L3967">
        <v>22</v>
      </c>
      <c r="N3967">
        <f>Таблица1[[#This Row],[Часов на заказчика  в работе]]+Таблица1[[#This Row],[Часов на заказчика  дежурство]]</f>
        <v>22</v>
      </c>
      <c r="O396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7" s="9">
        <v>135000</v>
      </c>
      <c r="R3967" s="9"/>
      <c r="S3967" s="5">
        <v>1</v>
      </c>
      <c r="T396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табеле]])*S3967,0)</f>
        <v>9000</v>
      </c>
      <c r="U3967" s="5">
        <f>IF(Таблица1[[#This Row],[ТТН]]&gt;0,Таблица1[[#This Row],[Ставка за ТТН]]*Таблица1[[#This Row],[ТТН]],0)</f>
        <v>0</v>
      </c>
    </row>
    <row r="3968" spans="1:21" x14ac:dyDescent="0.25">
      <c r="A3968" t="s">
        <v>84</v>
      </c>
      <c r="B3968" s="24">
        <v>24</v>
      </c>
      <c r="C3968" t="s">
        <v>210</v>
      </c>
      <c r="D3968" t="s">
        <v>12</v>
      </c>
      <c r="E3968" t="s">
        <v>214</v>
      </c>
      <c r="F3968" t="s">
        <v>66</v>
      </c>
      <c r="H3968" t="s">
        <v>23</v>
      </c>
      <c r="I3968" t="s">
        <v>217</v>
      </c>
      <c r="J3968">
        <v>11</v>
      </c>
      <c r="N3968">
        <f>Таблица1[[#This Row],[Часов на заказчика  в работе]]+Таблица1[[#This Row],[Часов на заказчика  дежурство]]</f>
        <v>0</v>
      </c>
      <c r="O396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8" s="9">
        <v>135000</v>
      </c>
      <c r="R3968" s="9"/>
      <c r="S3968" s="5">
        <v>1</v>
      </c>
      <c r="T396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табеле]])*S3968,0)</f>
        <v>4500</v>
      </c>
      <c r="U3968" s="5">
        <f>IF(Таблица1[[#This Row],[ТТН]]&gt;0,Таблица1[[#This Row],[Ставка за ТТН]]*Таблица1[[#This Row],[ТТН]],0)</f>
        <v>0</v>
      </c>
    </row>
    <row r="3969" spans="1:22" x14ac:dyDescent="0.25">
      <c r="A3969" t="s">
        <v>84</v>
      </c>
      <c r="B3969" s="24">
        <v>25</v>
      </c>
      <c r="C3969" t="s">
        <v>210</v>
      </c>
      <c r="D3969" t="s">
        <v>12</v>
      </c>
      <c r="E3969" t="s">
        <v>214</v>
      </c>
      <c r="F3969" t="s">
        <v>66</v>
      </c>
      <c r="H3969" t="s">
        <v>23</v>
      </c>
      <c r="I3969" t="s">
        <v>217</v>
      </c>
      <c r="J3969">
        <v>11</v>
      </c>
      <c r="N3969">
        <f>Таблица1[[#This Row],[Часов на заказчика  в работе]]+Таблица1[[#This Row],[Часов на заказчика  дежурство]]</f>
        <v>0</v>
      </c>
      <c r="O396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69" s="9">
        <v>135000</v>
      </c>
      <c r="R3969" s="9"/>
      <c r="S3969" s="5">
        <v>1</v>
      </c>
      <c r="T396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табеле]])*S3969,0)</f>
        <v>4500</v>
      </c>
      <c r="U3969" s="5">
        <f>IF(Таблица1[[#This Row],[ТТН]]&gt;0,Таблица1[[#This Row],[Ставка за ТТН]]*Таблица1[[#This Row],[ТТН]],0)</f>
        <v>0</v>
      </c>
    </row>
    <row r="3970" spans="1:22" x14ac:dyDescent="0.25">
      <c r="A3970" t="s">
        <v>84</v>
      </c>
      <c r="B3970" s="24">
        <v>26</v>
      </c>
      <c r="C3970" t="s">
        <v>210</v>
      </c>
      <c r="D3970" t="s">
        <v>12</v>
      </c>
      <c r="E3970" t="s">
        <v>214</v>
      </c>
      <c r="F3970" t="s">
        <v>66</v>
      </c>
      <c r="H3970" t="s">
        <v>10</v>
      </c>
      <c r="I3970" t="s">
        <v>220</v>
      </c>
      <c r="J3970">
        <v>22</v>
      </c>
      <c r="L3970">
        <v>22</v>
      </c>
      <c r="N3970">
        <f>Таблица1[[#This Row],[Часов на заказчика  в работе]]+Таблица1[[#This Row],[Часов на заказчика  дежурство]]</f>
        <v>22</v>
      </c>
      <c r="O397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0" s="9">
        <v>135000</v>
      </c>
      <c r="R3970" s="9"/>
      <c r="S3970" s="5">
        <v>1</v>
      </c>
      <c r="T397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табеле]])*S3970,0)</f>
        <v>9000</v>
      </c>
      <c r="U3970" s="5">
        <f>IF(Таблица1[[#This Row],[ТТН]]&gt;0,Таблица1[[#This Row],[Ставка за ТТН]]*Таблица1[[#This Row],[ТТН]],0)</f>
        <v>0</v>
      </c>
    </row>
    <row r="3971" spans="1:22" x14ac:dyDescent="0.25">
      <c r="A3971" t="s">
        <v>84</v>
      </c>
      <c r="B3971" s="24">
        <v>27</v>
      </c>
      <c r="C3971" t="s">
        <v>210</v>
      </c>
      <c r="D3971" t="s">
        <v>12</v>
      </c>
      <c r="E3971" t="s">
        <v>214</v>
      </c>
      <c r="F3971" t="s">
        <v>66</v>
      </c>
      <c r="H3971" t="s">
        <v>10</v>
      </c>
      <c r="I3971" t="s">
        <v>220</v>
      </c>
      <c r="J3971">
        <v>11</v>
      </c>
      <c r="L3971">
        <v>11</v>
      </c>
      <c r="N3971">
        <f>Таблица1[[#This Row],[Часов на заказчика  в работе]]+Таблица1[[#This Row],[Часов на заказчика  дежурство]]</f>
        <v>11</v>
      </c>
      <c r="O397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1" s="9">
        <v>135000</v>
      </c>
      <c r="R3971" s="9"/>
      <c r="S3971" s="5">
        <v>1</v>
      </c>
      <c r="T397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табеле]])*S3971,0)</f>
        <v>4500</v>
      </c>
      <c r="U3971" s="5">
        <f>IF(Таблица1[[#This Row],[ТТН]]&gt;0,Таблица1[[#This Row],[Ставка за ТТН]]*Таблица1[[#This Row],[ТТН]],0)</f>
        <v>0</v>
      </c>
    </row>
    <row r="3972" spans="1:22" x14ac:dyDescent="0.25">
      <c r="A3972" t="s">
        <v>84</v>
      </c>
      <c r="B3972" s="24">
        <v>28</v>
      </c>
      <c r="C3972" t="s">
        <v>210</v>
      </c>
      <c r="D3972" t="s">
        <v>12</v>
      </c>
      <c r="E3972" t="s">
        <v>214</v>
      </c>
      <c r="F3972" t="s">
        <v>66</v>
      </c>
      <c r="H3972" t="s">
        <v>10</v>
      </c>
      <c r="I3972" t="s">
        <v>220</v>
      </c>
      <c r="J3972">
        <v>11</v>
      </c>
      <c r="L3972">
        <v>11</v>
      </c>
      <c r="N3972">
        <f>Таблица1[[#This Row],[Часов на заказчика  в работе]]+Таблица1[[#This Row],[Часов на заказчика  дежурство]]</f>
        <v>11</v>
      </c>
      <c r="O397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2" s="9">
        <v>135000</v>
      </c>
      <c r="R3972" s="9"/>
      <c r="S3972" s="5">
        <v>1</v>
      </c>
      <c r="T397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табеле]])*S3972,0)</f>
        <v>4500</v>
      </c>
      <c r="U3972" s="5">
        <f>IF(Таблица1[[#This Row],[ТТН]]&gt;0,Таблица1[[#This Row],[Ставка за ТТН]]*Таблица1[[#This Row],[ТТН]],0)</f>
        <v>0</v>
      </c>
    </row>
    <row r="3973" spans="1:22" x14ac:dyDescent="0.25">
      <c r="A3973" t="s">
        <v>84</v>
      </c>
      <c r="B3973" s="24">
        <v>29</v>
      </c>
      <c r="C3973" t="s">
        <v>210</v>
      </c>
      <c r="D3973" t="s">
        <v>12</v>
      </c>
      <c r="E3973" t="s">
        <v>214</v>
      </c>
      <c r="F3973" t="s">
        <v>66</v>
      </c>
      <c r="H3973" t="s">
        <v>10</v>
      </c>
      <c r="I3973" t="s">
        <v>220</v>
      </c>
      <c r="J3973">
        <v>22</v>
      </c>
      <c r="L3973">
        <v>22</v>
      </c>
      <c r="N3973">
        <f>Таблица1[[#This Row],[Часов на заказчика  в работе]]+Таблица1[[#This Row],[Часов на заказчика  дежурство]]</f>
        <v>22</v>
      </c>
      <c r="O397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3" s="9">
        <v>135000</v>
      </c>
      <c r="R3973" s="9"/>
      <c r="S3973" s="5">
        <v>1</v>
      </c>
      <c r="T397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табеле]])*S3973,0)</f>
        <v>9000</v>
      </c>
      <c r="U3973" s="5">
        <f>IF(Таблица1[[#This Row],[ТТН]]&gt;0,Таблица1[[#This Row],[Ставка за ТТН]]*Таблица1[[#This Row],[ТТН]],0)</f>
        <v>0</v>
      </c>
    </row>
    <row r="3974" spans="1:22" x14ac:dyDescent="0.25">
      <c r="A3974" t="s">
        <v>84</v>
      </c>
      <c r="B3974" s="24">
        <v>30</v>
      </c>
      <c r="C3974" t="s">
        <v>211</v>
      </c>
      <c r="D3974" t="s">
        <v>12</v>
      </c>
      <c r="E3974" t="s">
        <v>214</v>
      </c>
      <c r="F3974" t="s">
        <v>66</v>
      </c>
      <c r="H3974" t="s">
        <v>10</v>
      </c>
      <c r="I3974" t="s">
        <v>220</v>
      </c>
      <c r="J3974">
        <v>11</v>
      </c>
      <c r="L3974">
        <v>11</v>
      </c>
      <c r="N3974">
        <f>Таблица1[[#This Row],[Часов на заказчика  в работе]]+Таблица1[[#This Row],[Часов на заказчика  дежурство]]</f>
        <v>11</v>
      </c>
      <c r="O397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4" s="9">
        <v>135000</v>
      </c>
      <c r="R3974" s="9"/>
      <c r="S3974" s="5">
        <v>1</v>
      </c>
      <c r="T397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табеле]])*S3974,0)</f>
        <v>4500</v>
      </c>
      <c r="U3974" s="5">
        <f>IF(Таблица1[[#This Row],[ТТН]]&gt;0,Таблица1[[#This Row],[Ставка за ТТН]]*Таблица1[[#This Row],[ТТН]],0)</f>
        <v>0</v>
      </c>
    </row>
    <row r="3975" spans="1:22" x14ac:dyDescent="0.25">
      <c r="A3975" t="s">
        <v>84</v>
      </c>
      <c r="B3975" s="24">
        <v>1</v>
      </c>
      <c r="C3975" t="s">
        <v>211</v>
      </c>
      <c r="D3975" t="s">
        <v>12</v>
      </c>
      <c r="E3975" t="s">
        <v>215</v>
      </c>
      <c r="F3975" t="s">
        <v>66</v>
      </c>
      <c r="H3975" t="s">
        <v>10</v>
      </c>
      <c r="I3975" t="s">
        <v>219</v>
      </c>
      <c r="J3975">
        <v>11</v>
      </c>
      <c r="K3975">
        <v>1</v>
      </c>
      <c r="N3975">
        <f>Таблица1[[#This Row],[Часов на заказчика  в работе]]+Таблица1[[#This Row],[Часов на заказчика  дежурство]]</f>
        <v>0</v>
      </c>
      <c r="O397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5" s="9">
        <v>162000</v>
      </c>
      <c r="R3975" s="9">
        <v>5000</v>
      </c>
      <c r="S3975" s="5">
        <v>1</v>
      </c>
      <c r="T397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табеле]])*S3975,0)</f>
        <v>5400</v>
      </c>
      <c r="U3975" s="5">
        <f>IF(Таблица1[[#This Row],[ТТН]]&gt;0,Таблица1[[#This Row],[Ставка за ТТН]]*Таблица1[[#This Row],[ТТН]],0)</f>
        <v>5000</v>
      </c>
      <c r="V3975" t="s">
        <v>80</v>
      </c>
    </row>
    <row r="3976" spans="1:22" x14ac:dyDescent="0.25">
      <c r="A3976" t="s">
        <v>84</v>
      </c>
      <c r="B3976" s="24">
        <v>2</v>
      </c>
      <c r="C3976" t="s">
        <v>211</v>
      </c>
      <c r="D3976" t="s">
        <v>12</v>
      </c>
      <c r="E3976" t="s">
        <v>215</v>
      </c>
      <c r="F3976" t="s">
        <v>66</v>
      </c>
      <c r="H3976" t="s">
        <v>10</v>
      </c>
      <c r="I3976" t="s">
        <v>219</v>
      </c>
      <c r="J3976">
        <v>22</v>
      </c>
      <c r="N3976">
        <f>Таблица1[[#This Row],[Часов на заказчика  в работе]]+Таблица1[[#This Row],[Часов на заказчика  дежурство]]</f>
        <v>0</v>
      </c>
      <c r="O397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6" s="9">
        <v>162000</v>
      </c>
      <c r="R3976" s="9"/>
      <c r="S3976" s="5">
        <v>1</v>
      </c>
      <c r="T397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табеле]])*S3976,0)</f>
        <v>10800</v>
      </c>
      <c r="U3976" s="5">
        <f>IF(Таблица1[[#This Row],[ТТН]]&gt;0,Таблица1[[#This Row],[Ставка за ТТН]]*Таблица1[[#This Row],[ТТН]],0)</f>
        <v>0</v>
      </c>
    </row>
    <row r="3977" spans="1:22" x14ac:dyDescent="0.25">
      <c r="A3977" t="s">
        <v>84</v>
      </c>
      <c r="B3977" s="24">
        <v>3</v>
      </c>
      <c r="C3977" t="s">
        <v>211</v>
      </c>
      <c r="D3977" t="s">
        <v>12</v>
      </c>
      <c r="E3977" t="s">
        <v>215</v>
      </c>
      <c r="F3977" t="s">
        <v>66</v>
      </c>
      <c r="H3977" t="s">
        <v>10</v>
      </c>
      <c r="I3977" t="s">
        <v>219</v>
      </c>
      <c r="J3977">
        <v>22</v>
      </c>
      <c r="K3977">
        <v>1</v>
      </c>
      <c r="N3977">
        <f>Таблица1[[#This Row],[Часов на заказчика  в работе]]+Таблица1[[#This Row],[Часов на заказчика  дежурство]]</f>
        <v>0</v>
      </c>
      <c r="O397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7" s="9">
        <v>162000</v>
      </c>
      <c r="R3977" s="9">
        <v>2000</v>
      </c>
      <c r="S3977" s="5">
        <v>1</v>
      </c>
      <c r="T397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табеле]])*S3977,0)</f>
        <v>10800</v>
      </c>
      <c r="U3977" s="5">
        <f>IF(Таблица1[[#This Row],[ТТН]]&gt;0,Таблица1[[#This Row],[Ставка за ТТН]]*Таблица1[[#This Row],[ТТН]],0)</f>
        <v>2000</v>
      </c>
    </row>
    <row r="3978" spans="1:22" x14ac:dyDescent="0.25">
      <c r="A3978" t="s">
        <v>84</v>
      </c>
      <c r="B3978" s="24">
        <v>4</v>
      </c>
      <c r="C3978" t="s">
        <v>211</v>
      </c>
      <c r="D3978" t="s">
        <v>12</v>
      </c>
      <c r="E3978" t="s">
        <v>215</v>
      </c>
      <c r="F3978" t="s">
        <v>66</v>
      </c>
      <c r="H3978" t="s">
        <v>10</v>
      </c>
      <c r="I3978" t="s">
        <v>219</v>
      </c>
      <c r="J3978">
        <v>11</v>
      </c>
      <c r="K3978">
        <v>1</v>
      </c>
      <c r="N3978">
        <f>Таблица1[[#This Row],[Часов на заказчика  в работе]]+Таблица1[[#This Row],[Часов на заказчика  дежурство]]</f>
        <v>0</v>
      </c>
      <c r="O397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8" s="9">
        <v>162000</v>
      </c>
      <c r="R3978" s="9">
        <v>2000</v>
      </c>
      <c r="S3978" s="5">
        <v>1</v>
      </c>
      <c r="T397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табеле]])*S3978,0)</f>
        <v>5400</v>
      </c>
      <c r="U3978" s="5">
        <f>IF(Таблица1[[#This Row],[ТТН]]&gt;0,Таблица1[[#This Row],[Ставка за ТТН]]*Таблица1[[#This Row],[ТТН]],0)</f>
        <v>2000</v>
      </c>
    </row>
    <row r="3979" spans="1:22" x14ac:dyDescent="0.25">
      <c r="A3979" t="s">
        <v>84</v>
      </c>
      <c r="B3979" s="24">
        <v>5</v>
      </c>
      <c r="C3979" t="s">
        <v>211</v>
      </c>
      <c r="D3979" t="s">
        <v>12</v>
      </c>
      <c r="E3979" t="s">
        <v>215</v>
      </c>
      <c r="F3979" t="s">
        <v>66</v>
      </c>
      <c r="H3979" t="s">
        <v>10</v>
      </c>
      <c r="I3979" t="s">
        <v>219</v>
      </c>
      <c r="J3979">
        <v>11</v>
      </c>
      <c r="K3979">
        <v>1</v>
      </c>
      <c r="N3979">
        <f>Таблица1[[#This Row],[Часов на заказчика  в работе]]+Таблица1[[#This Row],[Часов на заказчика  дежурство]]</f>
        <v>0</v>
      </c>
      <c r="O397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79" s="9">
        <v>162000</v>
      </c>
      <c r="R3979" s="9">
        <v>2000</v>
      </c>
      <c r="S3979" s="5">
        <v>1</v>
      </c>
      <c r="T397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табеле]])*S3979,0)</f>
        <v>5400</v>
      </c>
      <c r="U3979" s="5">
        <f>IF(Таблица1[[#This Row],[ТТН]]&gt;0,Таблица1[[#This Row],[Ставка за ТТН]]*Таблица1[[#This Row],[ТТН]],0)</f>
        <v>2000</v>
      </c>
    </row>
    <row r="3980" spans="1:22" x14ac:dyDescent="0.25">
      <c r="A3980" t="s">
        <v>84</v>
      </c>
      <c r="B3980" s="24">
        <v>6</v>
      </c>
      <c r="C3980" t="s">
        <v>211</v>
      </c>
      <c r="D3980" t="s">
        <v>12</v>
      </c>
      <c r="E3980" t="s">
        <v>215</v>
      </c>
      <c r="F3980" t="s">
        <v>66</v>
      </c>
      <c r="H3980" t="s">
        <v>10</v>
      </c>
      <c r="I3980" t="s">
        <v>219</v>
      </c>
      <c r="J3980">
        <v>11</v>
      </c>
      <c r="N3980">
        <f>Таблица1[[#This Row],[Часов на заказчика  в работе]]+Таблица1[[#This Row],[Часов на заказчика  дежурство]]</f>
        <v>0</v>
      </c>
      <c r="O398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0" s="9">
        <v>162000</v>
      </c>
      <c r="R3980" s="9"/>
      <c r="S3980" s="5">
        <v>1</v>
      </c>
      <c r="T398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табеле]])*S3980,0)</f>
        <v>5400</v>
      </c>
      <c r="U3980" s="5">
        <f>IF(Таблица1[[#This Row],[ТТН]]&gt;0,Таблица1[[#This Row],[Ставка за ТТН]]*Таблица1[[#This Row],[ТТН]],0)</f>
        <v>0</v>
      </c>
    </row>
    <row r="3981" spans="1:22" x14ac:dyDescent="0.25">
      <c r="A3981" t="s">
        <v>84</v>
      </c>
      <c r="B3981" s="24">
        <v>7</v>
      </c>
      <c r="C3981" t="s">
        <v>211</v>
      </c>
      <c r="D3981" t="s">
        <v>12</v>
      </c>
      <c r="E3981" t="s">
        <v>215</v>
      </c>
      <c r="F3981" t="s">
        <v>66</v>
      </c>
      <c r="H3981" t="s">
        <v>10</v>
      </c>
      <c r="I3981" t="s">
        <v>219</v>
      </c>
      <c r="J3981">
        <v>11</v>
      </c>
      <c r="N3981">
        <f>Таблица1[[#This Row],[Часов на заказчика  в работе]]+Таблица1[[#This Row],[Часов на заказчика  дежурство]]</f>
        <v>0</v>
      </c>
      <c r="O398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1" s="9">
        <v>162000</v>
      </c>
      <c r="R3981" s="9"/>
      <c r="S3981" s="5">
        <v>1</v>
      </c>
      <c r="T398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табеле]])*S3981,0)</f>
        <v>5400</v>
      </c>
      <c r="U3981" s="5">
        <f>IF(Таблица1[[#This Row],[ТТН]]&gt;0,Таблица1[[#This Row],[Ставка за ТТН]]*Таблица1[[#This Row],[ТТН]],0)</f>
        <v>0</v>
      </c>
    </row>
    <row r="3982" spans="1:22" x14ac:dyDescent="0.25">
      <c r="A3982" t="s">
        <v>84</v>
      </c>
      <c r="B3982" s="24">
        <v>8</v>
      </c>
      <c r="C3982" t="s">
        <v>211</v>
      </c>
      <c r="D3982" t="s">
        <v>12</v>
      </c>
      <c r="E3982" t="s">
        <v>215</v>
      </c>
      <c r="F3982" t="s">
        <v>66</v>
      </c>
      <c r="H3982" t="s">
        <v>10</v>
      </c>
      <c r="I3982" t="s">
        <v>219</v>
      </c>
      <c r="J3982">
        <v>11</v>
      </c>
      <c r="K3982">
        <v>1</v>
      </c>
      <c r="N3982">
        <f>Таблица1[[#This Row],[Часов на заказчика  в работе]]+Таблица1[[#This Row],[Часов на заказчика  дежурство]]</f>
        <v>0</v>
      </c>
      <c r="O398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2" s="9">
        <v>162000</v>
      </c>
      <c r="R3982" s="9">
        <v>2000</v>
      </c>
      <c r="S3982" s="5">
        <v>1</v>
      </c>
      <c r="T398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табеле]])*S3982,0)</f>
        <v>5400</v>
      </c>
      <c r="U3982" s="5">
        <f>IF(Таблица1[[#This Row],[ТТН]]&gt;0,Таблица1[[#This Row],[Ставка за ТТН]]*Таблица1[[#This Row],[ТТН]],0)</f>
        <v>2000</v>
      </c>
    </row>
    <row r="3983" spans="1:22" x14ac:dyDescent="0.25">
      <c r="A3983" t="s">
        <v>84</v>
      </c>
      <c r="B3983" s="24">
        <v>9</v>
      </c>
      <c r="C3983" t="s">
        <v>211</v>
      </c>
      <c r="D3983" t="s">
        <v>12</v>
      </c>
      <c r="E3983" t="s">
        <v>215</v>
      </c>
      <c r="F3983" t="s">
        <v>66</v>
      </c>
      <c r="H3983" t="s">
        <v>10</v>
      </c>
      <c r="I3983" t="s">
        <v>219</v>
      </c>
      <c r="J3983">
        <v>22</v>
      </c>
      <c r="K3983">
        <v>2</v>
      </c>
      <c r="N3983">
        <f>Таблица1[[#This Row],[Часов на заказчика  в работе]]+Таблица1[[#This Row],[Часов на заказчика  дежурство]]</f>
        <v>0</v>
      </c>
      <c r="O398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3" s="9">
        <v>162000</v>
      </c>
      <c r="R3983" s="9">
        <v>2000</v>
      </c>
      <c r="S3983" s="5">
        <v>1</v>
      </c>
      <c r="T398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табеле]])*S3983,0)</f>
        <v>10800</v>
      </c>
      <c r="U3983" s="5">
        <f>IF(Таблица1[[#This Row],[ТТН]]&gt;0,Таблица1[[#This Row],[Ставка за ТТН]]*Таблица1[[#This Row],[ТТН]],0)</f>
        <v>4000</v>
      </c>
    </row>
    <row r="3984" spans="1:22" x14ac:dyDescent="0.25">
      <c r="A3984" t="s">
        <v>84</v>
      </c>
      <c r="B3984" s="24">
        <v>10</v>
      </c>
      <c r="C3984" t="s">
        <v>211</v>
      </c>
      <c r="D3984" t="s">
        <v>12</v>
      </c>
      <c r="E3984" t="s">
        <v>215</v>
      </c>
      <c r="F3984" t="s">
        <v>66</v>
      </c>
      <c r="H3984" t="s">
        <v>10</v>
      </c>
      <c r="I3984" t="s">
        <v>219</v>
      </c>
      <c r="J3984">
        <v>11</v>
      </c>
      <c r="N3984">
        <f>Таблица1[[#This Row],[Часов на заказчика  в работе]]+Таблица1[[#This Row],[Часов на заказчика  дежурство]]</f>
        <v>0</v>
      </c>
      <c r="O398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4" s="9">
        <v>162000</v>
      </c>
      <c r="R3984" s="9"/>
      <c r="S3984" s="5">
        <v>1</v>
      </c>
      <c r="T398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табеле]])*S3984,0)</f>
        <v>5400</v>
      </c>
      <c r="U3984" s="5">
        <f>IF(Таблица1[[#This Row],[ТТН]]&gt;0,Таблица1[[#This Row],[Ставка за ТТН]]*Таблица1[[#This Row],[ТТН]],0)</f>
        <v>0</v>
      </c>
    </row>
    <row r="3985" spans="1:21" x14ac:dyDescent="0.25">
      <c r="A3985" t="s">
        <v>84</v>
      </c>
      <c r="B3985" s="24">
        <v>11</v>
      </c>
      <c r="C3985" t="s">
        <v>211</v>
      </c>
      <c r="D3985" t="s">
        <v>12</v>
      </c>
      <c r="E3985" t="s">
        <v>215</v>
      </c>
      <c r="F3985" t="s">
        <v>66</v>
      </c>
      <c r="H3985" t="s">
        <v>10</v>
      </c>
      <c r="I3985" t="s">
        <v>219</v>
      </c>
      <c r="J3985">
        <v>22</v>
      </c>
      <c r="N3985">
        <f>Таблица1[[#This Row],[Часов на заказчика  в работе]]+Таблица1[[#This Row],[Часов на заказчика  дежурство]]</f>
        <v>0</v>
      </c>
      <c r="O398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5" s="9">
        <v>162000</v>
      </c>
      <c r="R3985" s="9"/>
      <c r="S3985" s="5">
        <v>1</v>
      </c>
      <c r="T398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табеле]])*S3985,0)</f>
        <v>10800</v>
      </c>
      <c r="U3985" s="5">
        <f>IF(Таблица1[[#This Row],[ТТН]]&gt;0,Таблица1[[#This Row],[Ставка за ТТН]]*Таблица1[[#This Row],[ТТН]],0)</f>
        <v>0</v>
      </c>
    </row>
    <row r="3986" spans="1:21" x14ac:dyDescent="0.25">
      <c r="A3986" t="s">
        <v>84</v>
      </c>
      <c r="B3986" s="24">
        <v>12</v>
      </c>
      <c r="C3986" t="s">
        <v>211</v>
      </c>
      <c r="D3986" t="s">
        <v>12</v>
      </c>
      <c r="E3986" t="s">
        <v>215</v>
      </c>
      <c r="F3986" t="s">
        <v>66</v>
      </c>
      <c r="H3986" t="s">
        <v>10</v>
      </c>
      <c r="I3986" t="s">
        <v>219</v>
      </c>
      <c r="J3986">
        <v>11</v>
      </c>
      <c r="N3986">
        <f>Таблица1[[#This Row],[Часов на заказчика  в работе]]+Таблица1[[#This Row],[Часов на заказчика  дежурство]]</f>
        <v>0</v>
      </c>
      <c r="O398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6" s="9">
        <v>162000</v>
      </c>
      <c r="R3986" s="9"/>
      <c r="S3986" s="5">
        <v>1</v>
      </c>
      <c r="T398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табеле]])*S3986,0)</f>
        <v>5400</v>
      </c>
      <c r="U3986" s="5">
        <f>IF(Таблица1[[#This Row],[ТТН]]&gt;0,Таблица1[[#This Row],[Ставка за ТТН]]*Таблица1[[#This Row],[ТТН]],0)</f>
        <v>0</v>
      </c>
    </row>
    <row r="3987" spans="1:21" x14ac:dyDescent="0.25">
      <c r="A3987" t="s">
        <v>84</v>
      </c>
      <c r="B3987" s="24">
        <v>13</v>
      </c>
      <c r="C3987" t="s">
        <v>211</v>
      </c>
      <c r="D3987" t="s">
        <v>12</v>
      </c>
      <c r="E3987" t="s">
        <v>215</v>
      </c>
      <c r="F3987" t="s">
        <v>66</v>
      </c>
      <c r="H3987" t="s">
        <v>10</v>
      </c>
      <c r="I3987" t="s">
        <v>219</v>
      </c>
      <c r="J3987">
        <v>11</v>
      </c>
      <c r="N3987">
        <f>Таблица1[[#This Row],[Часов на заказчика  в работе]]+Таблица1[[#This Row],[Часов на заказчика  дежурство]]</f>
        <v>0</v>
      </c>
      <c r="O398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7" s="9">
        <v>162000</v>
      </c>
      <c r="R3987" s="9"/>
      <c r="S3987" s="5">
        <v>1</v>
      </c>
      <c r="T398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табеле]])*S3987,0)</f>
        <v>5400</v>
      </c>
      <c r="U3987" s="5">
        <f>IF(Таблица1[[#This Row],[ТТН]]&gt;0,Таблица1[[#This Row],[Ставка за ТТН]]*Таблица1[[#This Row],[ТТН]],0)</f>
        <v>0</v>
      </c>
    </row>
    <row r="3988" spans="1:21" x14ac:dyDescent="0.25">
      <c r="A3988" t="s">
        <v>84</v>
      </c>
      <c r="B3988" s="24">
        <v>14</v>
      </c>
      <c r="C3988" t="s">
        <v>211</v>
      </c>
      <c r="D3988" t="s">
        <v>12</v>
      </c>
      <c r="E3988" t="s">
        <v>215</v>
      </c>
      <c r="F3988" t="s">
        <v>66</v>
      </c>
      <c r="H3988" t="s">
        <v>10</v>
      </c>
      <c r="I3988" t="s">
        <v>219</v>
      </c>
      <c r="J3988">
        <v>11</v>
      </c>
      <c r="N3988">
        <f>Таблица1[[#This Row],[Часов на заказчика  в работе]]+Таблица1[[#This Row],[Часов на заказчика  дежурство]]</f>
        <v>0</v>
      </c>
      <c r="O398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8" s="9">
        <v>162000</v>
      </c>
      <c r="R3988" s="9"/>
      <c r="S3988" s="5">
        <v>1</v>
      </c>
      <c r="T398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табеле]])*S3988,0)</f>
        <v>5400</v>
      </c>
      <c r="U3988" s="5">
        <f>IF(Таблица1[[#This Row],[ТТН]]&gt;0,Таблица1[[#This Row],[Ставка за ТТН]]*Таблица1[[#This Row],[ТТН]],0)</f>
        <v>0</v>
      </c>
    </row>
    <row r="3989" spans="1:21" x14ac:dyDescent="0.25">
      <c r="A3989" t="s">
        <v>84</v>
      </c>
      <c r="B3989" s="24">
        <v>15</v>
      </c>
      <c r="C3989" t="s">
        <v>211</v>
      </c>
      <c r="D3989" t="s">
        <v>12</v>
      </c>
      <c r="E3989" t="s">
        <v>215</v>
      </c>
      <c r="F3989" t="s">
        <v>66</v>
      </c>
      <c r="H3989" t="s">
        <v>24</v>
      </c>
      <c r="I3989" t="s">
        <v>217</v>
      </c>
      <c r="J3989">
        <v>8</v>
      </c>
      <c r="N3989">
        <f>Таблица1[[#This Row],[Часов на заказчика  в работе]]+Таблица1[[#This Row],[Часов на заказчика  дежурство]]</f>
        <v>0</v>
      </c>
      <c r="O398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89" s="9">
        <v>162000</v>
      </c>
      <c r="R3989" s="9"/>
      <c r="S3989" s="5">
        <v>1</v>
      </c>
      <c r="T398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табеле]])*S3989,0)</f>
        <v>0</v>
      </c>
      <c r="U3989" s="5">
        <f>IF(Таблица1[[#This Row],[ТТН]]&gt;0,Таблица1[[#This Row],[Ставка за ТТН]]*Таблица1[[#This Row],[ТТН]],0)</f>
        <v>0</v>
      </c>
    </row>
    <row r="3990" spans="1:21" x14ac:dyDescent="0.25">
      <c r="A3990" t="s">
        <v>84</v>
      </c>
      <c r="B3990" s="24">
        <v>16</v>
      </c>
      <c r="C3990" t="s">
        <v>211</v>
      </c>
      <c r="D3990" t="s">
        <v>12</v>
      </c>
      <c r="E3990" t="s">
        <v>215</v>
      </c>
      <c r="F3990" t="s">
        <v>66</v>
      </c>
      <c r="H3990" t="s">
        <v>24</v>
      </c>
      <c r="I3990" t="s">
        <v>217</v>
      </c>
      <c r="J3990">
        <v>8</v>
      </c>
      <c r="N3990">
        <f>Таблица1[[#This Row],[Часов на заказчика  в работе]]+Таблица1[[#This Row],[Часов на заказчика  дежурство]]</f>
        <v>0</v>
      </c>
      <c r="O399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0" s="9">
        <v>162000</v>
      </c>
      <c r="R3990" s="9"/>
      <c r="S3990" s="5">
        <v>1</v>
      </c>
      <c r="T399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табеле]])*S3990,0)</f>
        <v>0</v>
      </c>
      <c r="U3990" s="5">
        <f>IF(Таблица1[[#This Row],[ТТН]]&gt;0,Таблица1[[#This Row],[Ставка за ТТН]]*Таблица1[[#This Row],[ТТН]],0)</f>
        <v>0</v>
      </c>
    </row>
    <row r="3991" spans="1:21" x14ac:dyDescent="0.25">
      <c r="A3991" t="s">
        <v>84</v>
      </c>
      <c r="B3991" s="24">
        <v>17</v>
      </c>
      <c r="C3991" t="s">
        <v>211</v>
      </c>
      <c r="D3991" t="s">
        <v>12</v>
      </c>
      <c r="E3991" t="s">
        <v>215</v>
      </c>
      <c r="F3991" t="s">
        <v>66</v>
      </c>
      <c r="H3991" t="s">
        <v>29</v>
      </c>
      <c r="I3991" t="s">
        <v>217</v>
      </c>
      <c r="J3991">
        <v>8</v>
      </c>
      <c r="N3991">
        <f>Таблица1[[#This Row],[Часов на заказчика  в работе]]+Таблица1[[#This Row],[Часов на заказчика  дежурство]]</f>
        <v>0</v>
      </c>
      <c r="O399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1" s="9">
        <v>162000</v>
      </c>
      <c r="R3991" s="9"/>
      <c r="S3991" s="5">
        <v>1</v>
      </c>
      <c r="T399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табеле]])*S3991,0)</f>
        <v>0</v>
      </c>
      <c r="U3991" s="5">
        <f>IF(Таблица1[[#This Row],[ТТН]]&gt;0,Таблица1[[#This Row],[Ставка за ТТН]]*Таблица1[[#This Row],[ТТН]],0)</f>
        <v>0</v>
      </c>
    </row>
    <row r="3992" spans="1:21" x14ac:dyDescent="0.25">
      <c r="A3992" t="s">
        <v>84</v>
      </c>
      <c r="B3992" s="24">
        <v>18</v>
      </c>
      <c r="C3992" t="s">
        <v>211</v>
      </c>
      <c r="D3992" t="s">
        <v>12</v>
      </c>
      <c r="E3992" t="s">
        <v>215</v>
      </c>
      <c r="F3992" t="s">
        <v>66</v>
      </c>
      <c r="H3992" t="s">
        <v>29</v>
      </c>
      <c r="I3992" t="s">
        <v>217</v>
      </c>
      <c r="J3992">
        <v>8</v>
      </c>
      <c r="N3992">
        <f>Таблица1[[#This Row],[Часов на заказчика  в работе]]+Таблица1[[#This Row],[Часов на заказчика  дежурство]]</f>
        <v>0</v>
      </c>
      <c r="O399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2" s="9">
        <v>162000</v>
      </c>
      <c r="R3992" s="9"/>
      <c r="S3992" s="5">
        <v>1</v>
      </c>
      <c r="T399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табеле]])*S3992,0)</f>
        <v>0</v>
      </c>
      <c r="U3992" s="5">
        <f>IF(Таблица1[[#This Row],[ТТН]]&gt;0,Таблица1[[#This Row],[Ставка за ТТН]]*Таблица1[[#This Row],[ТТН]],0)</f>
        <v>0</v>
      </c>
    </row>
    <row r="3993" spans="1:21" x14ac:dyDescent="0.25">
      <c r="A3993" t="s">
        <v>84</v>
      </c>
      <c r="B3993" s="24">
        <v>19</v>
      </c>
      <c r="C3993" t="s">
        <v>211</v>
      </c>
      <c r="D3993" t="s">
        <v>12</v>
      </c>
      <c r="E3993" t="s">
        <v>215</v>
      </c>
      <c r="F3993" t="s">
        <v>66</v>
      </c>
      <c r="H3993" t="s">
        <v>29</v>
      </c>
      <c r="I3993" t="s">
        <v>217</v>
      </c>
      <c r="J3993">
        <v>8</v>
      </c>
      <c r="N3993">
        <f>Таблица1[[#This Row],[Часов на заказчика  в работе]]+Таблица1[[#This Row],[Часов на заказчика  дежурство]]</f>
        <v>0</v>
      </c>
      <c r="O399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3" s="9">
        <v>162000</v>
      </c>
      <c r="R3993" s="9"/>
      <c r="S3993" s="5">
        <v>1</v>
      </c>
      <c r="T399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табеле]])*S3993,0)</f>
        <v>0</v>
      </c>
      <c r="U3993" s="5">
        <f>IF(Таблица1[[#This Row],[ТТН]]&gt;0,Таблица1[[#This Row],[Ставка за ТТН]]*Таблица1[[#This Row],[ТТН]],0)</f>
        <v>0</v>
      </c>
    </row>
    <row r="3994" spans="1:21" x14ac:dyDescent="0.25">
      <c r="A3994" t="s">
        <v>84</v>
      </c>
      <c r="B3994" s="24">
        <v>20</v>
      </c>
      <c r="C3994" t="s">
        <v>211</v>
      </c>
      <c r="D3994" t="s">
        <v>12</v>
      </c>
      <c r="E3994" t="s">
        <v>215</v>
      </c>
      <c r="F3994" t="s">
        <v>66</v>
      </c>
      <c r="H3994" t="s">
        <v>30</v>
      </c>
      <c r="I3994" t="s">
        <v>217</v>
      </c>
      <c r="J3994">
        <v>1</v>
      </c>
      <c r="N3994">
        <f>Таблица1[[#This Row],[Часов на заказчика  в работе]]+Таблица1[[#This Row],[Часов на заказчика  дежурство]]</f>
        <v>0</v>
      </c>
      <c r="O399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4" s="9">
        <v>162000</v>
      </c>
      <c r="R3994" s="9"/>
      <c r="S3994" s="5">
        <v>1</v>
      </c>
      <c r="T399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табеле]])*S3994,0)</f>
        <v>0</v>
      </c>
      <c r="U3994" s="5">
        <f>IF(Таблица1[[#This Row],[ТТН]]&gt;0,Таблица1[[#This Row],[Ставка за ТТН]]*Таблица1[[#This Row],[ТТН]],0)</f>
        <v>0</v>
      </c>
    </row>
    <row r="3995" spans="1:21" x14ac:dyDescent="0.25">
      <c r="A3995" t="s">
        <v>84</v>
      </c>
      <c r="B3995" s="24">
        <v>21</v>
      </c>
      <c r="C3995" t="s">
        <v>211</v>
      </c>
      <c r="D3995" t="s">
        <v>12</v>
      </c>
      <c r="E3995" t="s">
        <v>215</v>
      </c>
      <c r="F3995" t="s">
        <v>66</v>
      </c>
      <c r="H3995" t="s">
        <v>30</v>
      </c>
      <c r="I3995" t="s">
        <v>217</v>
      </c>
      <c r="J3995">
        <v>1</v>
      </c>
      <c r="N3995">
        <f>Таблица1[[#This Row],[Часов на заказчика  в работе]]+Таблица1[[#This Row],[Часов на заказчика  дежурство]]</f>
        <v>0</v>
      </c>
      <c r="O399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5" s="9">
        <v>162000</v>
      </c>
      <c r="R3995" s="9"/>
      <c r="S3995" s="5">
        <v>1</v>
      </c>
      <c r="T399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табеле]])*S3995,0)</f>
        <v>0</v>
      </c>
      <c r="U3995" s="5">
        <f>IF(Таблица1[[#This Row],[ТТН]]&gt;0,Таблица1[[#This Row],[Ставка за ТТН]]*Таблица1[[#This Row],[ТТН]],0)</f>
        <v>0</v>
      </c>
    </row>
    <row r="3996" spans="1:21" x14ac:dyDescent="0.25">
      <c r="A3996" t="s">
        <v>84</v>
      </c>
      <c r="B3996" s="24">
        <v>22</v>
      </c>
      <c r="C3996" t="s">
        <v>211</v>
      </c>
      <c r="D3996" t="s">
        <v>12</v>
      </c>
      <c r="E3996" t="s">
        <v>215</v>
      </c>
      <c r="F3996" t="s">
        <v>66</v>
      </c>
      <c r="H3996" t="s">
        <v>29</v>
      </c>
      <c r="I3996" t="s">
        <v>217</v>
      </c>
      <c r="J3996">
        <v>8</v>
      </c>
      <c r="N3996">
        <f>Таблица1[[#This Row],[Часов на заказчика  в работе]]+Таблица1[[#This Row],[Часов на заказчика  дежурство]]</f>
        <v>0</v>
      </c>
      <c r="O399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6" s="9">
        <v>162000</v>
      </c>
      <c r="R3996" s="9"/>
      <c r="S3996" s="5">
        <v>1</v>
      </c>
      <c r="T399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табеле]])*S3996,0)</f>
        <v>0</v>
      </c>
      <c r="U3996" s="5">
        <f>IF(Таблица1[[#This Row],[ТТН]]&gt;0,Таблица1[[#This Row],[Ставка за ТТН]]*Таблица1[[#This Row],[ТТН]],0)</f>
        <v>0</v>
      </c>
    </row>
    <row r="3997" spans="1:21" x14ac:dyDescent="0.25">
      <c r="A3997" t="s">
        <v>84</v>
      </c>
      <c r="B3997" s="24">
        <v>23</v>
      </c>
      <c r="C3997" t="s">
        <v>211</v>
      </c>
      <c r="D3997" t="s">
        <v>12</v>
      </c>
      <c r="E3997" t="s">
        <v>215</v>
      </c>
      <c r="F3997" t="s">
        <v>66</v>
      </c>
      <c r="H3997" t="s">
        <v>29</v>
      </c>
      <c r="I3997" t="s">
        <v>217</v>
      </c>
      <c r="J3997">
        <v>8</v>
      </c>
      <c r="N3997">
        <f>Таблица1[[#This Row],[Часов на заказчика  в работе]]+Таблица1[[#This Row],[Часов на заказчика  дежурство]]</f>
        <v>0</v>
      </c>
      <c r="O399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7" s="9">
        <v>162000</v>
      </c>
      <c r="R3997" s="9"/>
      <c r="S3997" s="5">
        <v>1</v>
      </c>
      <c r="T399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табеле]])*S3997,0)</f>
        <v>0</v>
      </c>
      <c r="U3997" s="5">
        <f>IF(Таблица1[[#This Row],[ТТН]]&gt;0,Таблица1[[#This Row],[Ставка за ТТН]]*Таблица1[[#This Row],[ТТН]],0)</f>
        <v>0</v>
      </c>
    </row>
    <row r="3998" spans="1:21" x14ac:dyDescent="0.25">
      <c r="A3998" t="s">
        <v>84</v>
      </c>
      <c r="B3998" s="24">
        <v>24</v>
      </c>
      <c r="C3998" t="s">
        <v>211</v>
      </c>
      <c r="D3998" t="s">
        <v>12</v>
      </c>
      <c r="E3998" t="s">
        <v>215</v>
      </c>
      <c r="F3998" t="s">
        <v>66</v>
      </c>
      <c r="H3998" t="s">
        <v>29</v>
      </c>
      <c r="I3998" t="s">
        <v>217</v>
      </c>
      <c r="J3998">
        <v>8</v>
      </c>
      <c r="N3998">
        <f>Таблица1[[#This Row],[Часов на заказчика  в работе]]+Таблица1[[#This Row],[Часов на заказчика  дежурство]]</f>
        <v>0</v>
      </c>
      <c r="O399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8" s="9">
        <v>162000</v>
      </c>
      <c r="R3998" s="9"/>
      <c r="S3998" s="5">
        <v>1</v>
      </c>
      <c r="T399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табеле]])*S3998,0)</f>
        <v>0</v>
      </c>
      <c r="U3998" s="5">
        <f>IF(Таблица1[[#This Row],[ТТН]]&gt;0,Таблица1[[#This Row],[Ставка за ТТН]]*Таблица1[[#This Row],[ТТН]],0)</f>
        <v>0</v>
      </c>
    </row>
    <row r="3999" spans="1:21" x14ac:dyDescent="0.25">
      <c r="A3999" t="s">
        <v>84</v>
      </c>
      <c r="B3999" s="24">
        <v>25</v>
      </c>
      <c r="C3999" t="s">
        <v>211</v>
      </c>
      <c r="D3999" t="s">
        <v>12</v>
      </c>
      <c r="E3999" t="s">
        <v>215</v>
      </c>
      <c r="F3999" t="s">
        <v>66</v>
      </c>
      <c r="H3999" t="s">
        <v>29</v>
      </c>
      <c r="I3999" t="s">
        <v>217</v>
      </c>
      <c r="J3999">
        <v>8</v>
      </c>
      <c r="N3999">
        <f>Таблица1[[#This Row],[Часов на заказчика  в работе]]+Таблица1[[#This Row],[Часов на заказчика  дежурство]]</f>
        <v>0</v>
      </c>
      <c r="O399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3999" s="9">
        <v>162000</v>
      </c>
      <c r="R3999" s="9"/>
      <c r="S3999" s="5">
        <v>1</v>
      </c>
      <c r="T399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табеле]])*S3999,0)</f>
        <v>0</v>
      </c>
      <c r="U3999" s="5">
        <f>IF(Таблица1[[#This Row],[ТТН]]&gt;0,Таблица1[[#This Row],[Ставка за ТТН]]*Таблица1[[#This Row],[ТТН]],0)</f>
        <v>0</v>
      </c>
    </row>
    <row r="4000" spans="1:21" x14ac:dyDescent="0.25">
      <c r="A4000" t="s">
        <v>84</v>
      </c>
      <c r="B4000" s="24">
        <v>26</v>
      </c>
      <c r="C4000" t="s">
        <v>211</v>
      </c>
      <c r="D4000" t="s">
        <v>12</v>
      </c>
      <c r="E4000" t="s">
        <v>215</v>
      </c>
      <c r="F4000" t="s">
        <v>66</v>
      </c>
      <c r="H4000" t="s">
        <v>29</v>
      </c>
      <c r="I4000" t="s">
        <v>217</v>
      </c>
      <c r="J4000">
        <v>8</v>
      </c>
      <c r="N4000">
        <f>Таблица1[[#This Row],[Часов на заказчика  в работе]]+Таблица1[[#This Row],[Часов на заказчика  дежурство]]</f>
        <v>0</v>
      </c>
      <c r="O400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0" s="9">
        <v>162000</v>
      </c>
      <c r="R4000" s="9"/>
      <c r="S4000" s="5">
        <v>1</v>
      </c>
      <c r="T400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табеле]])*S4000,0)</f>
        <v>0</v>
      </c>
      <c r="U4000" s="5">
        <f>IF(Таблица1[[#This Row],[ТТН]]&gt;0,Таблица1[[#This Row],[Ставка за ТТН]]*Таблица1[[#This Row],[ТТН]],0)</f>
        <v>0</v>
      </c>
    </row>
    <row r="4001" spans="1:22" x14ac:dyDescent="0.25">
      <c r="A4001" t="s">
        <v>84</v>
      </c>
      <c r="B4001" s="24">
        <v>27</v>
      </c>
      <c r="C4001" t="s">
        <v>211</v>
      </c>
      <c r="D4001" t="s">
        <v>12</v>
      </c>
      <c r="E4001" t="s">
        <v>215</v>
      </c>
      <c r="F4001" t="s">
        <v>66</v>
      </c>
      <c r="H4001" t="s">
        <v>30</v>
      </c>
      <c r="I4001" t="s">
        <v>217</v>
      </c>
      <c r="J4001">
        <v>1</v>
      </c>
      <c r="N4001">
        <f>Таблица1[[#This Row],[Часов на заказчика  в работе]]+Таблица1[[#This Row],[Часов на заказчика  дежурство]]</f>
        <v>0</v>
      </c>
      <c r="O400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1" s="9">
        <v>162000</v>
      </c>
      <c r="R4001" s="9"/>
      <c r="S4001" s="5">
        <v>1</v>
      </c>
      <c r="T400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табеле]])*S4001,0)</f>
        <v>0</v>
      </c>
      <c r="U4001" s="5">
        <f>IF(Таблица1[[#This Row],[ТТН]]&gt;0,Таблица1[[#This Row],[Ставка за ТТН]]*Таблица1[[#This Row],[ТТН]],0)</f>
        <v>0</v>
      </c>
    </row>
    <row r="4002" spans="1:22" x14ac:dyDescent="0.25">
      <c r="A4002" t="s">
        <v>84</v>
      </c>
      <c r="B4002" s="24">
        <v>28</v>
      </c>
      <c r="C4002" t="s">
        <v>211</v>
      </c>
      <c r="D4002" t="s">
        <v>12</v>
      </c>
      <c r="E4002" t="s">
        <v>215</v>
      </c>
      <c r="F4002" t="s">
        <v>66</v>
      </c>
      <c r="H4002" t="s">
        <v>30</v>
      </c>
      <c r="I4002" t="s">
        <v>217</v>
      </c>
      <c r="J4002">
        <v>1</v>
      </c>
      <c r="N4002">
        <f>Таблица1[[#This Row],[Часов на заказчика  в работе]]+Таблица1[[#This Row],[Часов на заказчика  дежурство]]</f>
        <v>0</v>
      </c>
      <c r="O400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2" s="9">
        <v>162000</v>
      </c>
      <c r="R4002" s="9"/>
      <c r="S4002" s="5">
        <v>1</v>
      </c>
      <c r="T400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табеле]])*S4002,0)</f>
        <v>0</v>
      </c>
      <c r="U4002" s="5">
        <f>IF(Таблица1[[#This Row],[ТТН]]&gt;0,Таблица1[[#This Row],[Ставка за ТТН]]*Таблица1[[#This Row],[ТТН]],0)</f>
        <v>0</v>
      </c>
    </row>
    <row r="4003" spans="1:22" x14ac:dyDescent="0.25">
      <c r="A4003" t="s">
        <v>84</v>
      </c>
      <c r="B4003" s="24">
        <v>29</v>
      </c>
      <c r="C4003" t="s">
        <v>211</v>
      </c>
      <c r="D4003" t="s">
        <v>12</v>
      </c>
      <c r="E4003" t="s">
        <v>215</v>
      </c>
      <c r="F4003" t="s">
        <v>66</v>
      </c>
      <c r="H4003" t="s">
        <v>29</v>
      </c>
      <c r="I4003" t="s">
        <v>217</v>
      </c>
      <c r="J4003">
        <v>8</v>
      </c>
      <c r="N4003">
        <f>Таблица1[[#This Row],[Часов на заказчика  в работе]]+Таблица1[[#This Row],[Часов на заказчика  дежурство]]</f>
        <v>0</v>
      </c>
      <c r="O400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3" s="9">
        <v>162000</v>
      </c>
      <c r="R4003" s="9"/>
      <c r="S4003" s="5">
        <v>1</v>
      </c>
      <c r="T400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табеле]])*S4003,0)</f>
        <v>0</v>
      </c>
      <c r="U4003" s="5">
        <f>IF(Таблица1[[#This Row],[ТТН]]&gt;0,Таблица1[[#This Row],[Ставка за ТТН]]*Таблица1[[#This Row],[ТТН]],0)</f>
        <v>0</v>
      </c>
    </row>
    <row r="4004" spans="1:22" x14ac:dyDescent="0.25">
      <c r="A4004" t="s">
        <v>84</v>
      </c>
      <c r="B4004" s="24">
        <v>30</v>
      </c>
      <c r="C4004" t="s">
        <v>212</v>
      </c>
      <c r="D4004" t="s">
        <v>12</v>
      </c>
      <c r="E4004" t="s">
        <v>215</v>
      </c>
      <c r="F4004" t="s">
        <v>66</v>
      </c>
      <c r="H4004" t="s">
        <v>29</v>
      </c>
      <c r="I4004" t="s">
        <v>217</v>
      </c>
      <c r="J4004">
        <v>8</v>
      </c>
      <c r="N4004">
        <f>Таблица1[[#This Row],[Часов на заказчика  в работе]]+Таблица1[[#This Row],[Часов на заказчика  дежурство]]</f>
        <v>0</v>
      </c>
      <c r="O400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4" s="9">
        <v>162000</v>
      </c>
      <c r="R4004" s="9"/>
      <c r="S4004" s="5">
        <v>1</v>
      </c>
      <c r="T400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табеле]])*S4004,0)</f>
        <v>0</v>
      </c>
      <c r="U4004" s="5">
        <f>IF(Таблица1[[#This Row],[ТТН]]&gt;0,Таблица1[[#This Row],[Ставка за ТТН]]*Таблица1[[#This Row],[ТТН]],0)</f>
        <v>0</v>
      </c>
    </row>
    <row r="4005" spans="1:22" x14ac:dyDescent="0.25">
      <c r="A4005" t="s">
        <v>84</v>
      </c>
      <c r="B4005" s="24">
        <v>1</v>
      </c>
      <c r="C4005" t="s">
        <v>212</v>
      </c>
      <c r="D4005" t="s">
        <v>32</v>
      </c>
      <c r="E4005" t="s">
        <v>216</v>
      </c>
      <c r="F4005" t="s">
        <v>31</v>
      </c>
      <c r="H4005" t="s">
        <v>10</v>
      </c>
      <c r="I4005" t="s">
        <v>221</v>
      </c>
      <c r="J4005">
        <v>22</v>
      </c>
      <c r="L4005">
        <v>22</v>
      </c>
      <c r="N4005">
        <f>Таблица1[[#This Row],[Часов на заказчика  в работе]]+Таблица1[[#This Row],[Часов на заказчика  дежурство]]</f>
        <v>22</v>
      </c>
      <c r="O400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5" s="9">
        <v>160000</v>
      </c>
      <c r="R4005" s="9"/>
      <c r="S4005" s="5">
        <v>1</v>
      </c>
      <c r="T400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табеле]])*S4005,0)</f>
        <v>10666.666666666668</v>
      </c>
      <c r="U4005" s="5">
        <f>IF(Таблица1[[#This Row],[ТТН]]&gt;0,Таблица1[[#This Row],[Ставка за ТТН]]*Таблица1[[#This Row],[ТТН]],0)</f>
        <v>0</v>
      </c>
      <c r="V4005" t="s">
        <v>87</v>
      </c>
    </row>
    <row r="4006" spans="1:22" x14ac:dyDescent="0.25">
      <c r="A4006" t="s">
        <v>84</v>
      </c>
      <c r="B4006" s="24">
        <v>2</v>
      </c>
      <c r="C4006" t="s">
        <v>212</v>
      </c>
      <c r="D4006" t="s">
        <v>32</v>
      </c>
      <c r="E4006" t="s">
        <v>216</v>
      </c>
      <c r="F4006" t="s">
        <v>31</v>
      </c>
      <c r="H4006" t="s">
        <v>10</v>
      </c>
      <c r="I4006" t="s">
        <v>221</v>
      </c>
      <c r="J4006">
        <v>22</v>
      </c>
      <c r="L4006">
        <v>22</v>
      </c>
      <c r="N4006">
        <f>Таблица1[[#This Row],[Часов на заказчика  в работе]]+Таблица1[[#This Row],[Часов на заказчика  дежурство]]</f>
        <v>22</v>
      </c>
      <c r="O400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6" s="9">
        <v>160000</v>
      </c>
      <c r="R4006" s="9"/>
      <c r="S4006" s="5">
        <v>1</v>
      </c>
      <c r="T400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табеле]])*S4006,0)</f>
        <v>10666.666666666668</v>
      </c>
      <c r="U4006" s="5">
        <f>IF(Таблица1[[#This Row],[ТТН]]&gt;0,Таблица1[[#This Row],[Ставка за ТТН]]*Таблица1[[#This Row],[ТТН]],0)</f>
        <v>0</v>
      </c>
      <c r="V4006" t="s">
        <v>87</v>
      </c>
    </row>
    <row r="4007" spans="1:22" x14ac:dyDescent="0.25">
      <c r="A4007" t="s">
        <v>84</v>
      </c>
      <c r="B4007" s="24">
        <v>3</v>
      </c>
      <c r="C4007" t="s">
        <v>212</v>
      </c>
      <c r="D4007" t="s">
        <v>32</v>
      </c>
      <c r="E4007" t="s">
        <v>216</v>
      </c>
      <c r="F4007" t="s">
        <v>31</v>
      </c>
      <c r="H4007" t="s">
        <v>10</v>
      </c>
      <c r="I4007" t="s">
        <v>221</v>
      </c>
      <c r="J4007">
        <v>22</v>
      </c>
      <c r="L4007">
        <v>22</v>
      </c>
      <c r="N4007">
        <f>Таблица1[[#This Row],[Часов на заказчика  в работе]]+Таблица1[[#This Row],[Часов на заказчика  дежурство]]</f>
        <v>22</v>
      </c>
      <c r="O400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7" s="9">
        <v>160000</v>
      </c>
      <c r="R4007" s="9"/>
      <c r="S4007" s="5">
        <v>1</v>
      </c>
      <c r="T400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табеле]])*S4007,0)</f>
        <v>10666.666666666668</v>
      </c>
      <c r="U4007" s="5">
        <f>IF(Таблица1[[#This Row],[ТТН]]&gt;0,Таблица1[[#This Row],[Ставка за ТТН]]*Таблица1[[#This Row],[ТТН]],0)</f>
        <v>0</v>
      </c>
      <c r="V4007" t="s">
        <v>87</v>
      </c>
    </row>
    <row r="4008" spans="1:22" x14ac:dyDescent="0.25">
      <c r="A4008" t="s">
        <v>84</v>
      </c>
      <c r="B4008" s="24">
        <v>4</v>
      </c>
      <c r="C4008" t="s">
        <v>212</v>
      </c>
      <c r="D4008" t="s">
        <v>32</v>
      </c>
      <c r="E4008" t="s">
        <v>216</v>
      </c>
      <c r="F4008" t="s">
        <v>31</v>
      </c>
      <c r="H4008" t="s">
        <v>10</v>
      </c>
      <c r="I4008" t="s">
        <v>221</v>
      </c>
      <c r="J4008">
        <v>22</v>
      </c>
      <c r="L4008">
        <v>22</v>
      </c>
      <c r="N4008">
        <f>Таблица1[[#This Row],[Часов на заказчика  в работе]]+Таблица1[[#This Row],[Часов на заказчика  дежурство]]</f>
        <v>22</v>
      </c>
      <c r="O400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8" s="9">
        <v>160000</v>
      </c>
      <c r="R4008" s="9"/>
      <c r="S4008" s="5">
        <v>1</v>
      </c>
      <c r="T400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табеле]])*S4008,0)</f>
        <v>10666.666666666668</v>
      </c>
      <c r="U4008" s="5">
        <f>IF(Таблица1[[#This Row],[ТТН]]&gt;0,Таблица1[[#This Row],[Ставка за ТТН]]*Таблица1[[#This Row],[ТТН]],0)</f>
        <v>0</v>
      </c>
      <c r="V4008" t="s">
        <v>87</v>
      </c>
    </row>
    <row r="4009" spans="1:22" x14ac:dyDescent="0.25">
      <c r="A4009" t="s">
        <v>84</v>
      </c>
      <c r="B4009" s="24">
        <v>5</v>
      </c>
      <c r="C4009" t="s">
        <v>212</v>
      </c>
      <c r="D4009" t="s">
        <v>32</v>
      </c>
      <c r="E4009" t="s">
        <v>216</v>
      </c>
      <c r="F4009" t="s">
        <v>31</v>
      </c>
      <c r="H4009" t="s">
        <v>10</v>
      </c>
      <c r="I4009" t="s">
        <v>221</v>
      </c>
      <c r="J4009">
        <v>11</v>
      </c>
      <c r="L4009">
        <v>11</v>
      </c>
      <c r="N4009">
        <f>Таблица1[[#This Row],[Часов на заказчика  в работе]]+Таблица1[[#This Row],[Часов на заказчика  дежурство]]</f>
        <v>11</v>
      </c>
      <c r="O400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09" s="9">
        <v>160000</v>
      </c>
      <c r="R4009" s="9"/>
      <c r="S4009" s="5">
        <v>1</v>
      </c>
      <c r="T400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табеле]])*S4009,0)</f>
        <v>5333.3333333333339</v>
      </c>
      <c r="U4009" s="5">
        <f>IF(Таблица1[[#This Row],[ТТН]]&gt;0,Таблица1[[#This Row],[Ставка за ТТН]]*Таблица1[[#This Row],[ТТН]],0)</f>
        <v>0</v>
      </c>
    </row>
    <row r="4010" spans="1:22" x14ac:dyDescent="0.25">
      <c r="A4010" t="s">
        <v>84</v>
      </c>
      <c r="B4010" s="24">
        <v>6</v>
      </c>
      <c r="C4010" t="s">
        <v>212</v>
      </c>
      <c r="D4010" t="s">
        <v>32</v>
      </c>
      <c r="E4010" t="s">
        <v>216</v>
      </c>
      <c r="F4010" t="s">
        <v>31</v>
      </c>
      <c r="H4010" t="s">
        <v>10</v>
      </c>
      <c r="I4010" t="s">
        <v>221</v>
      </c>
      <c r="J4010">
        <v>11</v>
      </c>
      <c r="L4010">
        <v>11</v>
      </c>
      <c r="N4010">
        <f>Таблица1[[#This Row],[Часов на заказчика  в работе]]+Таблица1[[#This Row],[Часов на заказчика  дежурство]]</f>
        <v>11</v>
      </c>
      <c r="O401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0" s="9">
        <v>160000</v>
      </c>
      <c r="R4010" s="9"/>
      <c r="S4010" s="5">
        <v>1</v>
      </c>
      <c r="T401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табеле]])*S4010,0)</f>
        <v>5333.3333333333339</v>
      </c>
      <c r="U4010" s="5">
        <f>IF(Таблица1[[#This Row],[ТТН]]&gt;0,Таблица1[[#This Row],[Ставка за ТТН]]*Таблица1[[#This Row],[ТТН]],0)</f>
        <v>0</v>
      </c>
    </row>
    <row r="4011" spans="1:22" x14ac:dyDescent="0.25">
      <c r="A4011" t="s">
        <v>84</v>
      </c>
      <c r="B4011" s="24">
        <v>7</v>
      </c>
      <c r="C4011" t="s">
        <v>212</v>
      </c>
      <c r="D4011" t="s">
        <v>32</v>
      </c>
      <c r="E4011" t="s">
        <v>216</v>
      </c>
      <c r="F4011" t="s">
        <v>31</v>
      </c>
      <c r="H4011" t="s">
        <v>10</v>
      </c>
      <c r="I4011" t="s">
        <v>221</v>
      </c>
      <c r="J4011">
        <v>22</v>
      </c>
      <c r="L4011">
        <v>22</v>
      </c>
      <c r="N4011">
        <f>Таблица1[[#This Row],[Часов на заказчика  в работе]]+Таблица1[[#This Row],[Часов на заказчика  дежурство]]</f>
        <v>22</v>
      </c>
      <c r="O401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1" s="9">
        <v>160000</v>
      </c>
      <c r="R4011" s="9"/>
      <c r="S4011" s="5">
        <v>1</v>
      </c>
      <c r="T401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табеле]])*S4011,0)</f>
        <v>10666.666666666668</v>
      </c>
      <c r="U4011" s="5">
        <f>IF(Таблица1[[#This Row],[ТТН]]&gt;0,Таблица1[[#This Row],[Ставка за ТТН]]*Таблица1[[#This Row],[ТТН]],0)</f>
        <v>0</v>
      </c>
      <c r="V4011" t="s">
        <v>87</v>
      </c>
    </row>
    <row r="4012" spans="1:22" x14ac:dyDescent="0.25">
      <c r="A4012" t="s">
        <v>84</v>
      </c>
      <c r="B4012" s="24">
        <v>8</v>
      </c>
      <c r="C4012" t="s">
        <v>212</v>
      </c>
      <c r="D4012" t="s">
        <v>32</v>
      </c>
      <c r="E4012" t="s">
        <v>216</v>
      </c>
      <c r="F4012" t="s">
        <v>31</v>
      </c>
      <c r="H4012" t="s">
        <v>10</v>
      </c>
      <c r="I4012" t="s">
        <v>221</v>
      </c>
      <c r="J4012">
        <v>22</v>
      </c>
      <c r="L4012">
        <v>22</v>
      </c>
      <c r="N4012">
        <f>Таблица1[[#This Row],[Часов на заказчика  в работе]]+Таблица1[[#This Row],[Часов на заказчика  дежурство]]</f>
        <v>22</v>
      </c>
      <c r="O401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2" s="9">
        <v>160000</v>
      </c>
      <c r="R4012" s="9"/>
      <c r="S4012" s="5">
        <v>1</v>
      </c>
      <c r="T401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табеле]])*S4012,0)</f>
        <v>10666.666666666668</v>
      </c>
      <c r="U4012" s="5">
        <f>IF(Таблица1[[#This Row],[ТТН]]&gt;0,Таблица1[[#This Row],[Ставка за ТТН]]*Таблица1[[#This Row],[ТТН]],0)</f>
        <v>0</v>
      </c>
      <c r="V4012" t="s">
        <v>87</v>
      </c>
    </row>
    <row r="4013" spans="1:22" x14ac:dyDescent="0.25">
      <c r="A4013" t="s">
        <v>84</v>
      </c>
      <c r="B4013" s="24">
        <v>9</v>
      </c>
      <c r="C4013" t="s">
        <v>212</v>
      </c>
      <c r="D4013" t="s">
        <v>32</v>
      </c>
      <c r="E4013" t="s">
        <v>216</v>
      </c>
      <c r="F4013" t="s">
        <v>31</v>
      </c>
      <c r="H4013" t="s">
        <v>10</v>
      </c>
      <c r="I4013" t="s">
        <v>221</v>
      </c>
      <c r="J4013">
        <v>22</v>
      </c>
      <c r="L4013">
        <v>22</v>
      </c>
      <c r="N4013">
        <f>Таблица1[[#This Row],[Часов на заказчика  в работе]]+Таблица1[[#This Row],[Часов на заказчика  дежурство]]</f>
        <v>22</v>
      </c>
      <c r="O401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3" s="9">
        <v>160000</v>
      </c>
      <c r="R4013" s="9"/>
      <c r="S4013" s="5">
        <v>1</v>
      </c>
      <c r="T401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табеле]])*S4013,0)</f>
        <v>10666.666666666668</v>
      </c>
      <c r="U4013" s="5">
        <f>IF(Таблица1[[#This Row],[ТТН]]&gt;0,Таблица1[[#This Row],[Ставка за ТТН]]*Таблица1[[#This Row],[ТТН]],0)</f>
        <v>0</v>
      </c>
      <c r="V4013" t="s">
        <v>87</v>
      </c>
    </row>
    <row r="4014" spans="1:22" x14ac:dyDescent="0.25">
      <c r="A4014" t="s">
        <v>84</v>
      </c>
      <c r="B4014" s="24">
        <v>10</v>
      </c>
      <c r="C4014" t="s">
        <v>212</v>
      </c>
      <c r="D4014" t="s">
        <v>32</v>
      </c>
      <c r="E4014" t="s">
        <v>216</v>
      </c>
      <c r="F4014" t="s">
        <v>31</v>
      </c>
      <c r="H4014" t="s">
        <v>10</v>
      </c>
      <c r="I4014" t="s">
        <v>221</v>
      </c>
      <c r="J4014">
        <v>22</v>
      </c>
      <c r="L4014">
        <v>22</v>
      </c>
      <c r="N4014">
        <f>Таблица1[[#This Row],[Часов на заказчика  в работе]]+Таблица1[[#This Row],[Часов на заказчика  дежурство]]</f>
        <v>22</v>
      </c>
      <c r="O401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4" s="9">
        <v>160000</v>
      </c>
      <c r="R4014" s="9"/>
      <c r="S4014" s="5">
        <v>1</v>
      </c>
      <c r="T401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табеле]])*S4014,0)</f>
        <v>10666.666666666668</v>
      </c>
      <c r="U4014" s="5">
        <f>IF(Таблица1[[#This Row],[ТТН]]&gt;0,Таблица1[[#This Row],[Ставка за ТТН]]*Таблица1[[#This Row],[ТТН]],0)</f>
        <v>0</v>
      </c>
      <c r="V4014" t="s">
        <v>87</v>
      </c>
    </row>
    <row r="4015" spans="1:22" x14ac:dyDescent="0.25">
      <c r="A4015" t="s">
        <v>84</v>
      </c>
      <c r="B4015" s="24">
        <v>11</v>
      </c>
      <c r="C4015" t="s">
        <v>212</v>
      </c>
      <c r="D4015" t="s">
        <v>32</v>
      </c>
      <c r="E4015" t="s">
        <v>216</v>
      </c>
      <c r="F4015" t="s">
        <v>31</v>
      </c>
      <c r="H4015" t="s">
        <v>10</v>
      </c>
      <c r="I4015" t="s">
        <v>221</v>
      </c>
      <c r="J4015">
        <v>11</v>
      </c>
      <c r="L4015">
        <v>11</v>
      </c>
      <c r="N4015">
        <f>Таблица1[[#This Row],[Часов на заказчика  в работе]]+Таблица1[[#This Row],[Часов на заказчика  дежурство]]</f>
        <v>11</v>
      </c>
      <c r="O401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5" s="9">
        <v>160000</v>
      </c>
      <c r="R4015" s="9"/>
      <c r="S4015" s="5">
        <v>1</v>
      </c>
      <c r="T401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табеле]])*S4015,0)</f>
        <v>5333.3333333333339</v>
      </c>
      <c r="U4015" s="5">
        <f>IF(Таблица1[[#This Row],[ТТН]]&gt;0,Таблица1[[#This Row],[Ставка за ТТН]]*Таблица1[[#This Row],[ТТН]],0)</f>
        <v>0</v>
      </c>
    </row>
    <row r="4016" spans="1:22" x14ac:dyDescent="0.25">
      <c r="A4016" t="s">
        <v>84</v>
      </c>
      <c r="B4016" s="24">
        <v>12</v>
      </c>
      <c r="C4016" t="s">
        <v>212</v>
      </c>
      <c r="D4016" t="s">
        <v>32</v>
      </c>
      <c r="E4016" t="s">
        <v>216</v>
      </c>
      <c r="F4016" t="s">
        <v>31</v>
      </c>
      <c r="H4016" t="s">
        <v>10</v>
      </c>
      <c r="I4016" t="s">
        <v>221</v>
      </c>
      <c r="J4016">
        <v>22</v>
      </c>
      <c r="L4016">
        <v>22</v>
      </c>
      <c r="N4016">
        <f>Таблица1[[#This Row],[Часов на заказчика  в работе]]+Таблица1[[#This Row],[Часов на заказчика  дежурство]]</f>
        <v>22</v>
      </c>
      <c r="O401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6" s="9">
        <v>160000</v>
      </c>
      <c r="R4016" s="9"/>
      <c r="S4016" s="5">
        <v>1</v>
      </c>
      <c r="T401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табеле]])*S4016,0)</f>
        <v>10666.666666666668</v>
      </c>
      <c r="U4016" s="5">
        <f>IF(Таблица1[[#This Row],[ТТН]]&gt;0,Таблица1[[#This Row],[Ставка за ТТН]]*Таблица1[[#This Row],[ТТН]],0)</f>
        <v>0</v>
      </c>
      <c r="V4016" t="s">
        <v>87</v>
      </c>
    </row>
    <row r="4017" spans="1:22" x14ac:dyDescent="0.25">
      <c r="A4017" t="s">
        <v>84</v>
      </c>
      <c r="B4017" s="24">
        <v>13</v>
      </c>
      <c r="C4017" t="s">
        <v>212</v>
      </c>
      <c r="D4017" t="s">
        <v>32</v>
      </c>
      <c r="E4017" t="s">
        <v>216</v>
      </c>
      <c r="F4017" t="s">
        <v>31</v>
      </c>
      <c r="H4017" t="s">
        <v>10</v>
      </c>
      <c r="I4017" t="s">
        <v>221</v>
      </c>
      <c r="J4017">
        <v>11</v>
      </c>
      <c r="L4017">
        <v>11</v>
      </c>
      <c r="N4017">
        <f>Таблица1[[#This Row],[Часов на заказчика  в работе]]+Таблица1[[#This Row],[Часов на заказчика  дежурство]]</f>
        <v>11</v>
      </c>
      <c r="O401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7" s="9">
        <v>160000</v>
      </c>
      <c r="R4017" s="9"/>
      <c r="S4017" s="5">
        <v>1</v>
      </c>
      <c r="T401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табеле]])*S4017,0)</f>
        <v>5333.3333333333339</v>
      </c>
      <c r="U4017" s="5">
        <f>IF(Таблица1[[#This Row],[ТТН]]&gt;0,Таблица1[[#This Row],[Ставка за ТТН]]*Таблица1[[#This Row],[ТТН]],0)</f>
        <v>0</v>
      </c>
    </row>
    <row r="4018" spans="1:22" ht="14.25" customHeight="1" x14ac:dyDescent="0.25">
      <c r="A4018" t="s">
        <v>84</v>
      </c>
      <c r="B4018" s="24">
        <v>14</v>
      </c>
      <c r="C4018" t="s">
        <v>212</v>
      </c>
      <c r="D4018" t="s">
        <v>32</v>
      </c>
      <c r="E4018" t="s">
        <v>216</v>
      </c>
      <c r="F4018" t="s">
        <v>31</v>
      </c>
      <c r="H4018" t="s">
        <v>10</v>
      </c>
      <c r="I4018" t="s">
        <v>221</v>
      </c>
      <c r="J4018">
        <v>22</v>
      </c>
      <c r="L4018">
        <v>22</v>
      </c>
      <c r="N4018">
        <f>Таблица1[[#This Row],[Часов на заказчика  в работе]]+Таблица1[[#This Row],[Часов на заказчика  дежурство]]</f>
        <v>22</v>
      </c>
      <c r="O401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8" s="9">
        <v>160000</v>
      </c>
      <c r="R4018" s="9"/>
      <c r="S4018" s="5">
        <v>1</v>
      </c>
      <c r="T401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табеле]])*S4018,0)</f>
        <v>10666.666666666668</v>
      </c>
      <c r="U4018" s="5">
        <f>IF(Таблица1[[#This Row],[ТТН]]&gt;0,Таблица1[[#This Row],[Ставка за ТТН]]*Таблица1[[#This Row],[ТТН]],0)</f>
        <v>0</v>
      </c>
      <c r="V4018" t="s">
        <v>87</v>
      </c>
    </row>
    <row r="4019" spans="1:22" x14ac:dyDescent="0.25">
      <c r="A4019" t="s">
        <v>84</v>
      </c>
      <c r="B4019" s="24">
        <v>15</v>
      </c>
      <c r="C4019" t="s">
        <v>212</v>
      </c>
      <c r="D4019" t="s">
        <v>32</v>
      </c>
      <c r="E4019" t="s">
        <v>216</v>
      </c>
      <c r="F4019" t="s">
        <v>31</v>
      </c>
      <c r="H4019" t="s">
        <v>10</v>
      </c>
      <c r="I4019" t="s">
        <v>221</v>
      </c>
      <c r="J4019">
        <v>11</v>
      </c>
      <c r="L4019">
        <v>11</v>
      </c>
      <c r="N4019">
        <f>Таблица1[[#This Row],[Часов на заказчика  в работе]]+Таблица1[[#This Row],[Часов на заказчика  дежурство]]</f>
        <v>11</v>
      </c>
      <c r="O401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19" s="9">
        <v>160000</v>
      </c>
      <c r="R4019" s="9"/>
      <c r="S4019" s="5">
        <v>1</v>
      </c>
      <c r="T401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табеле]])*S4019,0)</f>
        <v>5333.3333333333339</v>
      </c>
      <c r="U4019" s="5">
        <f>IF(Таблица1[[#This Row],[ТТН]]&gt;0,Таблица1[[#This Row],[Ставка за ТТН]]*Таблица1[[#This Row],[ТТН]],0)</f>
        <v>0</v>
      </c>
    </row>
    <row r="4020" spans="1:22" x14ac:dyDescent="0.25">
      <c r="A4020" t="s">
        <v>84</v>
      </c>
      <c r="B4020" s="24">
        <v>16</v>
      </c>
      <c r="C4020" t="s">
        <v>212</v>
      </c>
      <c r="D4020" t="s">
        <v>32</v>
      </c>
      <c r="E4020" t="s">
        <v>216</v>
      </c>
      <c r="F4020" t="s">
        <v>31</v>
      </c>
      <c r="H4020" t="s">
        <v>10</v>
      </c>
      <c r="I4020" t="s">
        <v>221</v>
      </c>
      <c r="J4020">
        <v>11</v>
      </c>
      <c r="L4020">
        <v>11</v>
      </c>
      <c r="N4020">
        <f>Таблица1[[#This Row],[Часов на заказчика  в работе]]+Таблица1[[#This Row],[Часов на заказчика  дежурство]]</f>
        <v>11</v>
      </c>
      <c r="O402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0" s="9">
        <v>160000</v>
      </c>
      <c r="R4020" s="9"/>
      <c r="S4020" s="5">
        <v>1</v>
      </c>
      <c r="T402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табеле]])*S4020,0)</f>
        <v>5333.3333333333339</v>
      </c>
      <c r="U4020" s="5">
        <f>IF(Таблица1[[#This Row],[ТТН]]&gt;0,Таблица1[[#This Row],[Ставка за ТТН]]*Таблица1[[#This Row],[ТТН]],0)</f>
        <v>0</v>
      </c>
    </row>
    <row r="4021" spans="1:22" x14ac:dyDescent="0.25">
      <c r="A4021" t="s">
        <v>84</v>
      </c>
      <c r="B4021" s="24">
        <v>17</v>
      </c>
      <c r="C4021" t="s">
        <v>212</v>
      </c>
      <c r="D4021" t="s">
        <v>32</v>
      </c>
      <c r="E4021" t="s">
        <v>216</v>
      </c>
      <c r="F4021" t="s">
        <v>31</v>
      </c>
      <c r="H4021" t="s">
        <v>10</v>
      </c>
      <c r="I4021" t="s">
        <v>221</v>
      </c>
      <c r="J4021">
        <v>11</v>
      </c>
      <c r="L4021">
        <v>11</v>
      </c>
      <c r="N4021">
        <f>Таблица1[[#This Row],[Часов на заказчика  в работе]]+Таблица1[[#This Row],[Часов на заказчика  дежурство]]</f>
        <v>11</v>
      </c>
      <c r="O402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1" s="9">
        <v>160000</v>
      </c>
      <c r="R4021" s="9"/>
      <c r="S4021" s="5">
        <v>1</v>
      </c>
      <c r="T402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табеле]])*S4021,0)</f>
        <v>5333.3333333333339</v>
      </c>
      <c r="U4021" s="5">
        <f>IF(Таблица1[[#This Row],[ТТН]]&gt;0,Таблица1[[#This Row],[Ставка за ТТН]]*Таблица1[[#This Row],[ТТН]],0)</f>
        <v>0</v>
      </c>
    </row>
    <row r="4022" spans="1:22" x14ac:dyDescent="0.25">
      <c r="A4022" t="s">
        <v>84</v>
      </c>
      <c r="B4022" s="24">
        <v>18</v>
      </c>
      <c r="C4022" t="s">
        <v>212</v>
      </c>
      <c r="D4022" t="s">
        <v>32</v>
      </c>
      <c r="E4022" t="s">
        <v>216</v>
      </c>
      <c r="F4022" t="s">
        <v>31</v>
      </c>
      <c r="H4022" t="s">
        <v>10</v>
      </c>
      <c r="I4022" t="s">
        <v>221</v>
      </c>
      <c r="J4022">
        <v>11</v>
      </c>
      <c r="L4022">
        <v>11</v>
      </c>
      <c r="N4022">
        <f>Таблица1[[#This Row],[Часов на заказчика  в работе]]+Таблица1[[#This Row],[Часов на заказчика  дежурство]]</f>
        <v>11</v>
      </c>
      <c r="O402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2" s="9">
        <v>160000</v>
      </c>
      <c r="R4022" s="9"/>
      <c r="S4022" s="5">
        <v>1</v>
      </c>
      <c r="T402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табеле]])*S4022,0)</f>
        <v>5333.3333333333339</v>
      </c>
      <c r="U4022" s="5">
        <f>IF(Таблица1[[#This Row],[ТТН]]&gt;0,Таблица1[[#This Row],[Ставка за ТТН]]*Таблица1[[#This Row],[ТТН]],0)</f>
        <v>0</v>
      </c>
    </row>
    <row r="4023" spans="1:22" x14ac:dyDescent="0.25">
      <c r="A4023" t="s">
        <v>84</v>
      </c>
      <c r="B4023" s="24">
        <v>19</v>
      </c>
      <c r="C4023" t="s">
        <v>212</v>
      </c>
      <c r="D4023" t="s">
        <v>32</v>
      </c>
      <c r="E4023" t="s">
        <v>216</v>
      </c>
      <c r="F4023" t="s">
        <v>31</v>
      </c>
      <c r="H4023" t="s">
        <v>10</v>
      </c>
      <c r="I4023" t="s">
        <v>221</v>
      </c>
      <c r="J4023">
        <v>11</v>
      </c>
      <c r="L4023">
        <v>11</v>
      </c>
      <c r="N4023">
        <f>Таблица1[[#This Row],[Часов на заказчика  в работе]]+Таблица1[[#This Row],[Часов на заказчика  дежурство]]</f>
        <v>11</v>
      </c>
      <c r="O402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3" s="9">
        <v>160000</v>
      </c>
      <c r="R4023" s="9"/>
      <c r="S4023" s="5">
        <v>1</v>
      </c>
      <c r="T402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табеле]])*S4023,0)</f>
        <v>5333.3333333333339</v>
      </c>
      <c r="U4023" s="5">
        <f>IF(Таблица1[[#This Row],[ТТН]]&gt;0,Таблица1[[#This Row],[Ставка за ТТН]]*Таблица1[[#This Row],[ТТН]],0)</f>
        <v>0</v>
      </c>
    </row>
    <row r="4024" spans="1:22" x14ac:dyDescent="0.25">
      <c r="A4024" t="s">
        <v>84</v>
      </c>
      <c r="B4024" s="24">
        <v>20</v>
      </c>
      <c r="C4024" t="s">
        <v>212</v>
      </c>
      <c r="D4024" t="s">
        <v>32</v>
      </c>
      <c r="E4024" t="s">
        <v>216</v>
      </c>
      <c r="F4024" t="s">
        <v>31</v>
      </c>
      <c r="H4024" t="s">
        <v>10</v>
      </c>
      <c r="I4024" t="s">
        <v>221</v>
      </c>
      <c r="J4024">
        <v>11</v>
      </c>
      <c r="L4024">
        <v>11</v>
      </c>
      <c r="N4024">
        <f>Таблица1[[#This Row],[Часов на заказчика  в работе]]+Таблица1[[#This Row],[Часов на заказчика  дежурство]]</f>
        <v>11</v>
      </c>
      <c r="O402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4" s="9">
        <v>160000</v>
      </c>
      <c r="R4024" s="9"/>
      <c r="S4024" s="5">
        <v>1</v>
      </c>
      <c r="T402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табеле]])*S4024,0)</f>
        <v>5333.3333333333339</v>
      </c>
      <c r="U4024" s="5">
        <f>IF(Таблица1[[#This Row],[ТТН]]&gt;0,Таблица1[[#This Row],[Ставка за ТТН]]*Таблица1[[#This Row],[ТТН]],0)</f>
        <v>0</v>
      </c>
    </row>
    <row r="4025" spans="1:22" x14ac:dyDescent="0.25">
      <c r="A4025" t="s">
        <v>84</v>
      </c>
      <c r="B4025" s="24">
        <v>21</v>
      </c>
      <c r="C4025" t="s">
        <v>212</v>
      </c>
      <c r="D4025" t="s">
        <v>32</v>
      </c>
      <c r="E4025" t="s">
        <v>216</v>
      </c>
      <c r="F4025" t="s">
        <v>31</v>
      </c>
      <c r="H4025" t="s">
        <v>10</v>
      </c>
      <c r="I4025" t="s">
        <v>221</v>
      </c>
      <c r="J4025">
        <v>11</v>
      </c>
      <c r="L4025">
        <v>11</v>
      </c>
      <c r="N4025">
        <f>Таблица1[[#This Row],[Часов на заказчика  в работе]]+Таблица1[[#This Row],[Часов на заказчика  дежурство]]</f>
        <v>11</v>
      </c>
      <c r="O4025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5" s="9">
        <v>160000</v>
      </c>
      <c r="R4025" s="9"/>
      <c r="S4025" s="5">
        <v>1</v>
      </c>
      <c r="T4025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табеле]])*S4025,0)</f>
        <v>5333.3333333333339</v>
      </c>
      <c r="U4025" s="5">
        <f>IF(Таблица1[[#This Row],[ТТН]]&gt;0,Таблица1[[#This Row],[Ставка за ТТН]]*Таблица1[[#This Row],[ТТН]],0)</f>
        <v>0</v>
      </c>
    </row>
    <row r="4026" spans="1:22" x14ac:dyDescent="0.25">
      <c r="A4026" t="s">
        <v>84</v>
      </c>
      <c r="B4026" s="24">
        <v>22</v>
      </c>
      <c r="C4026" t="s">
        <v>212</v>
      </c>
      <c r="D4026" t="s">
        <v>32</v>
      </c>
      <c r="E4026" t="s">
        <v>216</v>
      </c>
      <c r="F4026" t="s">
        <v>31</v>
      </c>
      <c r="H4026" t="s">
        <v>10</v>
      </c>
      <c r="I4026" t="s">
        <v>221</v>
      </c>
      <c r="J4026">
        <v>11</v>
      </c>
      <c r="L4026">
        <v>11</v>
      </c>
      <c r="N4026">
        <f>Таблица1[[#This Row],[Часов на заказчика  в работе]]+Таблица1[[#This Row],[Часов на заказчика  дежурство]]</f>
        <v>11</v>
      </c>
      <c r="O4026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6" s="9">
        <v>160000</v>
      </c>
      <c r="R4026" s="9"/>
      <c r="S4026" s="5">
        <v>1</v>
      </c>
      <c r="T4026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табеле]])*S4026,0)</f>
        <v>5333.3333333333339</v>
      </c>
      <c r="U4026" s="5">
        <f>IF(Таблица1[[#This Row],[ТТН]]&gt;0,Таблица1[[#This Row],[Ставка за ТТН]]*Таблица1[[#This Row],[ТТН]],0)</f>
        <v>0</v>
      </c>
    </row>
    <row r="4027" spans="1:22" x14ac:dyDescent="0.25">
      <c r="A4027" t="s">
        <v>84</v>
      </c>
      <c r="B4027" s="24">
        <v>23</v>
      </c>
      <c r="C4027" t="s">
        <v>212</v>
      </c>
      <c r="D4027" t="s">
        <v>32</v>
      </c>
      <c r="E4027" t="s">
        <v>216</v>
      </c>
      <c r="F4027" t="s">
        <v>31</v>
      </c>
      <c r="H4027" t="s">
        <v>10</v>
      </c>
      <c r="I4027" t="s">
        <v>221</v>
      </c>
      <c r="J4027">
        <v>11</v>
      </c>
      <c r="L4027">
        <v>11</v>
      </c>
      <c r="N4027">
        <f>Таблица1[[#This Row],[Часов на заказчика  в работе]]+Таблица1[[#This Row],[Часов на заказчика  дежурство]]</f>
        <v>11</v>
      </c>
      <c r="O4027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7" s="9">
        <v>160000</v>
      </c>
      <c r="R4027" s="9"/>
      <c r="S4027" s="5">
        <v>1</v>
      </c>
      <c r="T4027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табеле]])*S4027,0)</f>
        <v>5333.3333333333339</v>
      </c>
      <c r="U4027" s="5">
        <f>IF(Таблица1[[#This Row],[ТТН]]&gt;0,Таблица1[[#This Row],[Ставка за ТТН]]*Таблица1[[#This Row],[ТТН]],0)</f>
        <v>0</v>
      </c>
    </row>
    <row r="4028" spans="1:22" x14ac:dyDescent="0.25">
      <c r="A4028" t="s">
        <v>84</v>
      </c>
      <c r="B4028" s="24">
        <v>24</v>
      </c>
      <c r="C4028" t="s">
        <v>212</v>
      </c>
      <c r="D4028" t="s">
        <v>32</v>
      </c>
      <c r="E4028" t="s">
        <v>216</v>
      </c>
      <c r="F4028" t="s">
        <v>31</v>
      </c>
      <c r="H4028" t="s">
        <v>10</v>
      </c>
      <c r="I4028" t="s">
        <v>221</v>
      </c>
      <c r="J4028">
        <v>11</v>
      </c>
      <c r="L4028">
        <v>11</v>
      </c>
      <c r="N4028">
        <f>Таблица1[[#This Row],[Часов на заказчика  в работе]]+Таблица1[[#This Row],[Часов на заказчика  дежурство]]</f>
        <v>11</v>
      </c>
      <c r="O4028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8" s="9">
        <v>160000</v>
      </c>
      <c r="R4028" s="9"/>
      <c r="S4028" s="5">
        <v>1</v>
      </c>
      <c r="T4028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табеле]])*S4028,0)</f>
        <v>5333.3333333333339</v>
      </c>
      <c r="U4028" s="5">
        <f>IF(Таблица1[[#This Row],[ТТН]]&gt;0,Таблица1[[#This Row],[Ставка за ТТН]]*Таблица1[[#This Row],[ТТН]],0)</f>
        <v>0</v>
      </c>
    </row>
    <row r="4029" spans="1:22" x14ac:dyDescent="0.25">
      <c r="A4029" t="s">
        <v>84</v>
      </c>
      <c r="B4029" s="24">
        <v>25</v>
      </c>
      <c r="C4029" t="s">
        <v>212</v>
      </c>
      <c r="D4029" t="s">
        <v>32</v>
      </c>
      <c r="E4029" t="s">
        <v>216</v>
      </c>
      <c r="F4029" t="s">
        <v>31</v>
      </c>
      <c r="H4029" t="s">
        <v>10</v>
      </c>
      <c r="I4029" t="s">
        <v>221</v>
      </c>
      <c r="J4029">
        <v>11</v>
      </c>
      <c r="L4029">
        <v>11</v>
      </c>
      <c r="N4029">
        <f>Таблица1[[#This Row],[Часов на заказчика  в работе]]+Таблица1[[#This Row],[Часов на заказчика  дежурство]]</f>
        <v>11</v>
      </c>
      <c r="O4029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29" s="9">
        <v>160000</v>
      </c>
      <c r="R4029" s="9"/>
      <c r="S4029" s="5">
        <v>1</v>
      </c>
      <c r="T4029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табеле]])*S4029,0)</f>
        <v>5333.3333333333339</v>
      </c>
      <c r="U4029" s="5">
        <f>IF(Таблица1[[#This Row],[ТТН]]&gt;0,Таблица1[[#This Row],[Ставка за ТТН]]*Таблица1[[#This Row],[ТТН]],0)</f>
        <v>0</v>
      </c>
    </row>
    <row r="4030" spans="1:22" x14ac:dyDescent="0.25">
      <c r="A4030" t="s">
        <v>84</v>
      </c>
      <c r="B4030" s="24">
        <v>26</v>
      </c>
      <c r="C4030" t="s">
        <v>212</v>
      </c>
      <c r="D4030" t="s">
        <v>32</v>
      </c>
      <c r="E4030" t="s">
        <v>216</v>
      </c>
      <c r="F4030" t="s">
        <v>31</v>
      </c>
      <c r="H4030" t="s">
        <v>10</v>
      </c>
      <c r="I4030" t="s">
        <v>221</v>
      </c>
      <c r="J4030">
        <v>11</v>
      </c>
      <c r="L4030">
        <v>11</v>
      </c>
      <c r="N4030">
        <f>Таблица1[[#This Row],[Часов на заказчика  в работе]]+Таблица1[[#This Row],[Часов на заказчика  дежурство]]</f>
        <v>11</v>
      </c>
      <c r="O4030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0" s="9">
        <v>160000</v>
      </c>
      <c r="R4030" s="9"/>
      <c r="S4030" s="5">
        <v>1</v>
      </c>
      <c r="T4030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табеле]])*S4030,0)</f>
        <v>5333.3333333333339</v>
      </c>
      <c r="U4030" s="5">
        <f>IF(Таблица1[[#This Row],[ТТН]]&gt;0,Таблица1[[#This Row],[Ставка за ТТН]]*Таблица1[[#This Row],[ТТН]],0)</f>
        <v>0</v>
      </c>
    </row>
    <row r="4031" spans="1:22" x14ac:dyDescent="0.25">
      <c r="A4031" t="s">
        <v>84</v>
      </c>
      <c r="B4031" s="24">
        <v>27</v>
      </c>
      <c r="C4031" t="s">
        <v>212</v>
      </c>
      <c r="D4031" t="s">
        <v>32</v>
      </c>
      <c r="E4031" t="s">
        <v>216</v>
      </c>
      <c r="F4031" t="s">
        <v>31</v>
      </c>
      <c r="H4031" t="s">
        <v>10</v>
      </c>
      <c r="I4031" t="s">
        <v>221</v>
      </c>
      <c r="J4031">
        <v>11</v>
      </c>
      <c r="L4031">
        <v>11</v>
      </c>
      <c r="N4031">
        <f>Таблица1[[#This Row],[Часов на заказчика  в работе]]+Таблица1[[#This Row],[Часов на заказчика  дежурство]]</f>
        <v>11</v>
      </c>
      <c r="O4031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1" s="9">
        <v>160000</v>
      </c>
      <c r="R4031" s="9"/>
      <c r="S4031" s="5">
        <v>1</v>
      </c>
      <c r="T4031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табеле]])*S4031,0)</f>
        <v>5333.3333333333339</v>
      </c>
      <c r="U4031" s="5">
        <f>IF(Таблица1[[#This Row],[ТТН]]&gt;0,Таблица1[[#This Row],[Ставка за ТТН]]*Таблица1[[#This Row],[ТТН]],0)</f>
        <v>0</v>
      </c>
    </row>
    <row r="4032" spans="1:22" x14ac:dyDescent="0.25">
      <c r="A4032" t="s">
        <v>84</v>
      </c>
      <c r="B4032" s="24">
        <v>28</v>
      </c>
      <c r="C4032" t="s">
        <v>212</v>
      </c>
      <c r="D4032" t="s">
        <v>32</v>
      </c>
      <c r="E4032" t="s">
        <v>216</v>
      </c>
      <c r="F4032" t="s">
        <v>31</v>
      </c>
      <c r="H4032" t="s">
        <v>10</v>
      </c>
      <c r="I4032" t="s">
        <v>221</v>
      </c>
      <c r="J4032">
        <v>11</v>
      </c>
      <c r="L4032">
        <v>11</v>
      </c>
      <c r="N4032">
        <f>Таблица1[[#This Row],[Часов на заказчика  в работе]]+Таблица1[[#This Row],[Часов на заказчика  дежурство]]</f>
        <v>11</v>
      </c>
      <c r="O4032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2" s="9">
        <v>160000</v>
      </c>
      <c r="R4032" s="9"/>
      <c r="S4032" s="5">
        <v>1</v>
      </c>
      <c r="T4032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табеле]])*S4032,0)</f>
        <v>5333.3333333333339</v>
      </c>
      <c r="U4032" s="5">
        <f>IF(Таблица1[[#This Row],[ТТН]]&gt;0,Таблица1[[#This Row],[Ставка за ТТН]]*Таблица1[[#This Row],[ТТН]],0)</f>
        <v>0</v>
      </c>
    </row>
    <row r="4033" spans="1:22" x14ac:dyDescent="0.25">
      <c r="A4033" t="s">
        <v>84</v>
      </c>
      <c r="B4033" s="24">
        <v>29</v>
      </c>
      <c r="C4033" t="s">
        <v>212</v>
      </c>
      <c r="D4033" t="s">
        <v>32</v>
      </c>
      <c r="E4033" t="s">
        <v>216</v>
      </c>
      <c r="F4033" t="s">
        <v>31</v>
      </c>
      <c r="H4033" t="s">
        <v>24</v>
      </c>
      <c r="I4033" t="s">
        <v>217</v>
      </c>
      <c r="J4033">
        <v>8</v>
      </c>
      <c r="N4033">
        <f>Таблица1[[#This Row],[Часов на заказчика  в работе]]+Таблица1[[#This Row],[Часов на заказчика  дежурство]]</f>
        <v>0</v>
      </c>
      <c r="O4033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3" s="9">
        <v>160000</v>
      </c>
      <c r="R4033" s="9"/>
      <c r="S4033" s="5">
        <v>1</v>
      </c>
      <c r="T4033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табеле]])*S4033,0)</f>
        <v>0</v>
      </c>
      <c r="U4033" s="5">
        <f>IF(Таблица1[[#This Row],[ТТН]]&gt;0,Таблица1[[#This Row],[Ставка за ТТН]]*Таблица1[[#This Row],[ТТН]],0)</f>
        <v>0</v>
      </c>
    </row>
    <row r="4034" spans="1:22" x14ac:dyDescent="0.25">
      <c r="A4034" t="s">
        <v>84</v>
      </c>
      <c r="B4034" s="24">
        <v>30</v>
      </c>
      <c r="C4034" t="str">
        <f ca="1">LEFT(Таблица1[[#This Row],[Сотрудник]],3)</f>
        <v>Коч</v>
      </c>
      <c r="D4034" t="s">
        <v>32</v>
      </c>
      <c r="E4034" t="s">
        <v>216</v>
      </c>
      <c r="F4034" t="s">
        <v>31</v>
      </c>
      <c r="H4034" t="s">
        <v>24</v>
      </c>
      <c r="I4034" t="s">
        <v>217</v>
      </c>
      <c r="J4034">
        <v>8</v>
      </c>
      <c r="N4034">
        <f>Таблица1[[#This Row],[Часов на заказчика  в работе]]+Таблица1[[#This Row],[Часов на заказчика  дежурство]]</f>
        <v>0</v>
      </c>
      <c r="O4034">
        <f>IF(OR(Таблица1[[#This Row],[Заказчик]]="Ун",Таблица1[[#This Row],[Заказчик]]="КР"),0,Таблица1[[#This Row],[Итого часов на заказчика]]-Таблица1[[#This Row],[Часов в табеле]])</f>
        <v>0</v>
      </c>
      <c r="Q4034" s="9">
        <v>160000</v>
      </c>
      <c r="R4034" s="9"/>
      <c r="S4034" s="5">
        <v>1</v>
      </c>
      <c r="T4034" s="12">
        <f>IF(OR(Таблица1[[#This Row],[Статус]]="Работа",Таблица1[[#This Row],[Статус]]="Ремонт",Таблица1[[#This Row],[Статус]]="Актировка",Таблица1[[#This Row],[Статус]]="Дежурство"),(Таблица1[[#This Row],[Ставка руб.]]/330*Таблица1[[#This Row],[Часов в табеле]])*S4034,0)</f>
        <v>0</v>
      </c>
      <c r="U4034" s="5">
        <f>IF(Таблица1[[#This Row],[ТТН]]&gt;0,Таблица1[[#This Row],[Ставка за ТТН]]*Таблица1[[#This Row],[ТТН]],0)</f>
        <v>0</v>
      </c>
    </row>
    <row r="4035" spans="1:22" x14ac:dyDescent="0.25">
      <c r="A4035" t="s">
        <v>34</v>
      </c>
      <c r="B4035">
        <f>SUBTOTAL(103,Таблица1[Число месяца])</f>
        <v>4018</v>
      </c>
      <c r="J4035" s="7">
        <f>SUBTOTAL(109,Таблица1[Часов в табеле])</f>
        <v>41554</v>
      </c>
      <c r="K4035">
        <f>SUBTOTAL(109,Таблица1[ТТН])</f>
        <v>219</v>
      </c>
      <c r="L4035" s="13">
        <f>SUBTOTAL(109,Таблица1[Часов на заказчика  в работе])</f>
        <v>15343</v>
      </c>
      <c r="Q4035" s="9"/>
      <c r="R4035" s="9"/>
      <c r="S4035" s="5"/>
      <c r="T4035" s="12">
        <f>SUBTOTAL(109,Таблица1[ЗП за часы])</f>
        <v>14098981.818181973</v>
      </c>
      <c r="U4035" s="5">
        <f>SUBTOTAL(109,Таблица1[Сумма за ТТН])</f>
        <v>573480</v>
      </c>
      <c r="V4035">
        <f>SUBTOTAL(103,Таблица1[Комментарий])</f>
        <v>57</v>
      </c>
    </row>
  </sheetData>
  <phoneticPr fontId="2" type="noConversion"/>
  <conditionalFormatting sqref="O17:O4034">
    <cfRule type="cellIs" dxfId="215" priority="1741" operator="greaterThan">
      <formula>0</formula>
    </cfRule>
    <cfRule type="cellIs" dxfId="214" priority="1742" operator="lessThan">
      <formula>0</formula>
    </cfRule>
  </conditionalFormatting>
  <dataValidations disablePrompts="1" count="2">
    <dataValidation type="list" allowBlank="1" showInputMessage="1" showErrorMessage="1" sqref="H17:H954 H985:H4034" xr:uid="{8E6982C7-95C0-465C-85D8-DB9D84D17A16}">
      <formula1>$I$2:$I$14</formula1>
    </dataValidation>
    <dataValidation type="list" allowBlank="1" showInputMessage="1" showErrorMessage="1" sqref="I17:I4034" xr:uid="{3BCE4B93-DEFB-4FB9-A559-D72A8B2750BE}">
      <formula1>$J$2:$J$8</formula1>
    </dataValidation>
  </dataValidations>
  <pageMargins left="0.7" right="0.7" top="0.75" bottom="0.75" header="0.3" footer="0.3"/>
  <pageSetup paperSize="9" orientation="portrait" r:id="rId1"/>
  <ignoredErrors>
    <ignoredError sqref="C17:C4034" calculatedColumn="1"/>
    <ignoredError sqref="I17:I4034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3407-8E63-4280-AD54-E7A2250AC424}">
  <dimension ref="A2:E41"/>
  <sheetViews>
    <sheetView zoomScale="90" zoomScaleNormal="90" workbookViewId="0">
      <selection activeCell="I20" sqref="I20"/>
    </sheetView>
  </sheetViews>
  <sheetFormatPr defaultRowHeight="15" x14ac:dyDescent="0.25"/>
  <cols>
    <col min="1" max="1" width="16.5703125" customWidth="1"/>
    <col min="2" max="2" width="33.5703125" customWidth="1"/>
    <col min="3" max="3" width="33.140625" customWidth="1"/>
    <col min="4" max="4" width="28.5703125" customWidth="1"/>
    <col min="5" max="5" width="12.5703125" customWidth="1"/>
    <col min="6" max="33" width="4.5703125" customWidth="1"/>
    <col min="35" max="35" width="11" bestFit="1" customWidth="1"/>
  </cols>
  <sheetData>
    <row r="2" spans="1:5" x14ac:dyDescent="0.25">
      <c r="A2">
        <f>COUNTA(A3:A121)</f>
        <v>3</v>
      </c>
    </row>
    <row r="3" spans="1:5" ht="45" x14ac:dyDescent="0.25">
      <c r="A3" s="11" t="s">
        <v>27</v>
      </c>
      <c r="B3" s="3" t="s">
        <v>3</v>
      </c>
      <c r="C3" s="3" t="s">
        <v>1</v>
      </c>
      <c r="D3" s="3" t="s">
        <v>213</v>
      </c>
      <c r="E3" s="2" t="s">
        <v>21</v>
      </c>
    </row>
    <row r="4" spans="1:5" x14ac:dyDescent="0.25">
      <c r="A4" t="s">
        <v>214</v>
      </c>
      <c r="B4" t="s">
        <v>31</v>
      </c>
      <c r="C4" t="s">
        <v>32</v>
      </c>
      <c r="D4" t="s">
        <v>114</v>
      </c>
      <c r="E4" s="25">
        <v>243</v>
      </c>
    </row>
    <row r="5" spans="1:5" x14ac:dyDescent="0.25">
      <c r="D5" t="s">
        <v>111</v>
      </c>
      <c r="E5" s="25">
        <v>22</v>
      </c>
    </row>
    <row r="6" spans="1:5" x14ac:dyDescent="0.25">
      <c r="D6" t="s">
        <v>115</v>
      </c>
      <c r="E6" s="25">
        <v>327</v>
      </c>
    </row>
    <row r="7" spans="1:5" x14ac:dyDescent="0.25">
      <c r="D7" t="s">
        <v>124</v>
      </c>
      <c r="E7" s="25">
        <v>11</v>
      </c>
    </row>
    <row r="8" spans="1:5" x14ac:dyDescent="0.25">
      <c r="D8" t="s">
        <v>116</v>
      </c>
      <c r="E8" s="25">
        <v>11</v>
      </c>
    </row>
    <row r="9" spans="1:5" x14ac:dyDescent="0.25">
      <c r="D9" t="s">
        <v>110</v>
      </c>
      <c r="E9" s="25">
        <v>495</v>
      </c>
    </row>
    <row r="10" spans="1:5" x14ac:dyDescent="0.25">
      <c r="D10" t="s">
        <v>123</v>
      </c>
      <c r="E10" s="25">
        <v>275</v>
      </c>
    </row>
    <row r="11" spans="1:5" x14ac:dyDescent="0.25">
      <c r="B11" t="s">
        <v>9</v>
      </c>
      <c r="C11" t="s">
        <v>79</v>
      </c>
      <c r="D11" t="s">
        <v>189</v>
      </c>
      <c r="E11" s="25">
        <v>11</v>
      </c>
    </row>
    <row r="12" spans="1:5" x14ac:dyDescent="0.25">
      <c r="D12" t="s">
        <v>188</v>
      </c>
      <c r="E12" s="25">
        <v>131</v>
      </c>
    </row>
    <row r="13" spans="1:5" x14ac:dyDescent="0.25">
      <c r="C13" t="s">
        <v>9</v>
      </c>
      <c r="D13" t="s">
        <v>102</v>
      </c>
      <c r="E13" s="25">
        <v>8</v>
      </c>
    </row>
    <row r="14" spans="1:5" x14ac:dyDescent="0.25">
      <c r="D14" t="s">
        <v>118</v>
      </c>
      <c r="E14" s="25">
        <v>253</v>
      </c>
    </row>
    <row r="15" spans="1:5" x14ac:dyDescent="0.25">
      <c r="D15" t="s">
        <v>101</v>
      </c>
      <c r="E15" s="25">
        <v>199</v>
      </c>
    </row>
    <row r="16" spans="1:5" x14ac:dyDescent="0.25">
      <c r="B16" t="s">
        <v>33</v>
      </c>
      <c r="C16" t="s">
        <v>33</v>
      </c>
      <c r="D16" t="s">
        <v>112</v>
      </c>
      <c r="E16" s="25">
        <v>1</v>
      </c>
    </row>
    <row r="17" spans="2:5" x14ac:dyDescent="0.25">
      <c r="D17" t="s">
        <v>111</v>
      </c>
      <c r="E17" s="25">
        <v>99</v>
      </c>
    </row>
    <row r="18" spans="2:5" x14ac:dyDescent="0.25">
      <c r="D18" t="s">
        <v>125</v>
      </c>
      <c r="E18" s="25">
        <v>319</v>
      </c>
    </row>
    <row r="19" spans="2:5" x14ac:dyDescent="0.25">
      <c r="D19" t="s">
        <v>126</v>
      </c>
      <c r="E19" s="25">
        <v>11</v>
      </c>
    </row>
    <row r="20" spans="2:5" x14ac:dyDescent="0.25">
      <c r="B20" t="s">
        <v>28</v>
      </c>
      <c r="C20" t="s">
        <v>28</v>
      </c>
      <c r="D20" t="s">
        <v>106</v>
      </c>
      <c r="E20" s="25">
        <v>169</v>
      </c>
    </row>
    <row r="21" spans="2:5" x14ac:dyDescent="0.25">
      <c r="D21" t="s">
        <v>117</v>
      </c>
      <c r="E21" s="25">
        <v>8</v>
      </c>
    </row>
    <row r="22" spans="2:5" x14ac:dyDescent="0.25">
      <c r="D22" t="s">
        <v>109</v>
      </c>
      <c r="E22" s="25">
        <v>169</v>
      </c>
    </row>
    <row r="23" spans="2:5" x14ac:dyDescent="0.25">
      <c r="D23" t="s">
        <v>120</v>
      </c>
      <c r="E23" s="25">
        <v>693</v>
      </c>
    </row>
    <row r="24" spans="2:5" x14ac:dyDescent="0.25">
      <c r="D24" t="s">
        <v>119</v>
      </c>
      <c r="E24" s="25">
        <v>150</v>
      </c>
    </row>
    <row r="25" spans="2:5" x14ac:dyDescent="0.25">
      <c r="D25" t="s">
        <v>121</v>
      </c>
      <c r="E25" s="25">
        <v>11</v>
      </c>
    </row>
    <row r="26" spans="2:5" x14ac:dyDescent="0.25">
      <c r="D26" t="s">
        <v>107</v>
      </c>
      <c r="E26" s="25">
        <v>346</v>
      </c>
    </row>
    <row r="27" spans="2:5" x14ac:dyDescent="0.25">
      <c r="D27" t="s">
        <v>108</v>
      </c>
      <c r="E27" s="25">
        <v>30</v>
      </c>
    </row>
    <row r="28" spans="2:5" x14ac:dyDescent="0.25">
      <c r="D28" t="s">
        <v>125</v>
      </c>
      <c r="E28" s="25">
        <v>11</v>
      </c>
    </row>
    <row r="29" spans="2:5" x14ac:dyDescent="0.25">
      <c r="D29" t="s">
        <v>124</v>
      </c>
      <c r="E29" s="25">
        <v>385</v>
      </c>
    </row>
    <row r="30" spans="2:5" x14ac:dyDescent="0.25">
      <c r="D30" t="s">
        <v>116</v>
      </c>
      <c r="E30" s="25">
        <v>169</v>
      </c>
    </row>
    <row r="31" spans="2:5" x14ac:dyDescent="0.25">
      <c r="D31" t="s">
        <v>110</v>
      </c>
      <c r="E31" s="25">
        <v>8</v>
      </c>
    </row>
    <row r="32" spans="2:5" x14ac:dyDescent="0.25">
      <c r="B32" t="s">
        <v>66</v>
      </c>
      <c r="C32" t="s">
        <v>12</v>
      </c>
      <c r="D32" t="s">
        <v>210</v>
      </c>
      <c r="E32" s="25">
        <v>132</v>
      </c>
    </row>
    <row r="33" spans="1:5" x14ac:dyDescent="0.25">
      <c r="D33" t="s">
        <v>117</v>
      </c>
      <c r="E33" s="25">
        <v>319</v>
      </c>
    </row>
    <row r="34" spans="1:5" x14ac:dyDescent="0.25">
      <c r="D34" t="s">
        <v>174</v>
      </c>
      <c r="E34" s="25">
        <v>139</v>
      </c>
    </row>
    <row r="35" spans="1:5" x14ac:dyDescent="0.25">
      <c r="D35" t="s">
        <v>211</v>
      </c>
      <c r="E35" s="25">
        <v>11</v>
      </c>
    </row>
    <row r="36" spans="1:5" x14ac:dyDescent="0.25">
      <c r="D36" t="s">
        <v>118</v>
      </c>
      <c r="E36" s="25">
        <v>8</v>
      </c>
    </row>
    <row r="37" spans="1:5" x14ac:dyDescent="0.25">
      <c r="D37" t="s">
        <v>175</v>
      </c>
      <c r="E37" s="25">
        <v>11</v>
      </c>
    </row>
    <row r="38" spans="1:5" x14ac:dyDescent="0.25">
      <c r="B38" t="s">
        <v>13</v>
      </c>
      <c r="C38" t="s">
        <v>12</v>
      </c>
      <c r="D38" t="s">
        <v>104</v>
      </c>
      <c r="E38" s="25">
        <v>519</v>
      </c>
    </row>
    <row r="39" spans="1:5" x14ac:dyDescent="0.25">
      <c r="D39" t="s">
        <v>105</v>
      </c>
      <c r="E39" s="25">
        <v>6</v>
      </c>
    </row>
    <row r="40" spans="1:5" x14ac:dyDescent="0.25">
      <c r="D40" t="s">
        <v>103</v>
      </c>
      <c r="E40" s="25">
        <v>176</v>
      </c>
    </row>
    <row r="41" spans="1:5" x14ac:dyDescent="0.25">
      <c r="A41" t="s">
        <v>17</v>
      </c>
      <c r="E41" s="25">
        <v>5886</v>
      </c>
    </row>
  </sheetData>
  <pageMargins left="0.25" right="0.25" top="0.75" bottom="0.75" header="0.3" footer="0.3"/>
  <pageSetup paperSize="9" scale="79" fitToHeight="0" orientation="portrait" r:id="rId2"/>
  <rowBreaks count="1" manualBreakCount="1">
    <brk id="47" max="4" man="1"/>
  </rowBreaks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36D-87BA-4BE0-B54F-5EA8B8E40D10}">
  <sheetPr>
    <pageSetUpPr fitToPage="1"/>
  </sheetPr>
  <dimension ref="A1:AI67"/>
  <sheetViews>
    <sheetView tabSelected="1" zoomScale="80" zoomScaleNormal="80" workbookViewId="0">
      <selection activeCell="G12" sqref="G12"/>
    </sheetView>
  </sheetViews>
  <sheetFormatPr defaultRowHeight="15" x14ac:dyDescent="0.25"/>
  <cols>
    <col min="1" max="1" width="21.7109375" bestFit="1" customWidth="1"/>
    <col min="2" max="2" width="13.5703125" bestFit="1" customWidth="1"/>
    <col min="3" max="3" width="10.28515625" bestFit="1" customWidth="1"/>
    <col min="4" max="4" width="16.7109375" customWidth="1"/>
    <col min="5" max="5" width="14.42578125" customWidth="1"/>
    <col min="6" max="6" width="10.28515625" customWidth="1"/>
    <col min="7" max="7" width="16.7109375" bestFit="1" customWidth="1"/>
    <col min="8" max="8" width="15.42578125" customWidth="1"/>
    <col min="9" max="9" width="12.5703125" customWidth="1"/>
    <col min="10" max="12" width="5" customWidth="1"/>
    <col min="13" max="13" width="5.140625" customWidth="1"/>
    <col min="14" max="27" width="5" customWidth="1"/>
    <col min="28" max="28" width="4.85546875" customWidth="1"/>
    <col min="29" max="32" width="5" customWidth="1"/>
    <col min="33" max="33" width="7.5703125" customWidth="1"/>
    <col min="34" max="35" width="7.85546875" customWidth="1"/>
    <col min="36" max="36" width="29.7109375" bestFit="1" customWidth="1"/>
    <col min="37" max="37" width="19.140625" bestFit="1" customWidth="1"/>
    <col min="38" max="38" width="29.7109375" bestFit="1" customWidth="1"/>
    <col min="39" max="39" width="19.140625" bestFit="1" customWidth="1"/>
    <col min="40" max="40" width="29.7109375" bestFit="1" customWidth="1"/>
    <col min="41" max="41" width="19.140625" bestFit="1" customWidth="1"/>
    <col min="42" max="42" width="29.7109375" bestFit="1" customWidth="1"/>
    <col min="43" max="43" width="19.140625" bestFit="1" customWidth="1"/>
    <col min="44" max="44" width="29.7109375" bestFit="1" customWidth="1"/>
    <col min="45" max="45" width="19.140625" bestFit="1" customWidth="1"/>
    <col min="46" max="46" width="29.7109375" bestFit="1" customWidth="1"/>
    <col min="47" max="47" width="19.140625" bestFit="1" customWidth="1"/>
    <col min="48" max="48" width="29.7109375" bestFit="1" customWidth="1"/>
    <col min="49" max="49" width="19.140625" bestFit="1" customWidth="1"/>
    <col min="50" max="50" width="29.7109375" bestFit="1" customWidth="1"/>
    <col min="51" max="51" width="19.140625" bestFit="1" customWidth="1"/>
    <col min="52" max="52" width="29.7109375" bestFit="1" customWidth="1"/>
    <col min="53" max="53" width="19.140625" bestFit="1" customWidth="1"/>
    <col min="54" max="54" width="29.7109375" bestFit="1" customWidth="1"/>
    <col min="55" max="55" width="19.140625" bestFit="1" customWidth="1"/>
    <col min="56" max="56" width="29.7109375" bestFit="1" customWidth="1"/>
    <col min="57" max="57" width="19.140625" bestFit="1" customWidth="1"/>
    <col min="58" max="58" width="29.7109375" bestFit="1" customWidth="1"/>
    <col min="59" max="59" width="19.140625" bestFit="1" customWidth="1"/>
    <col min="60" max="60" width="29.7109375" bestFit="1" customWidth="1"/>
    <col min="61" max="61" width="19.140625" bestFit="1" customWidth="1"/>
    <col min="62" max="62" width="29.7109375" bestFit="1" customWidth="1"/>
    <col min="63" max="63" width="19.140625" bestFit="1" customWidth="1"/>
    <col min="64" max="64" width="34.42578125" bestFit="1" customWidth="1"/>
    <col min="65" max="65" width="23.85546875" bestFit="1" customWidth="1"/>
  </cols>
  <sheetData>
    <row r="1" spans="1:35" ht="23.25" customHeight="1" x14ac:dyDescent="0.25"/>
    <row r="3" spans="1:35" x14ac:dyDescent="0.25">
      <c r="A3" s="3" t="s">
        <v>21</v>
      </c>
      <c r="E3" s="3" t="s">
        <v>18</v>
      </c>
    </row>
    <row r="4" spans="1:35" x14ac:dyDescent="0.25">
      <c r="A4" s="3" t="s">
        <v>27</v>
      </c>
      <c r="B4" s="3" t="s">
        <v>4</v>
      </c>
      <c r="C4" s="3" t="s">
        <v>3</v>
      </c>
      <c r="D4" s="3" t="s">
        <v>2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 t="s">
        <v>17</v>
      </c>
    </row>
    <row r="5" spans="1:35" x14ac:dyDescent="0.25">
      <c r="A5" t="s">
        <v>214</v>
      </c>
      <c r="B5" t="s">
        <v>38</v>
      </c>
      <c r="C5" t="s">
        <v>66</v>
      </c>
      <c r="D5" t="s">
        <v>20</v>
      </c>
      <c r="E5" s="25"/>
      <c r="F5" s="25"/>
      <c r="G5" s="25"/>
      <c r="H5" s="25"/>
      <c r="I5" s="25">
        <v>11</v>
      </c>
      <c r="J5" s="25"/>
      <c r="K5" s="25"/>
      <c r="L5" s="25"/>
      <c r="M5" s="25"/>
      <c r="N5" s="25"/>
      <c r="O5" s="25"/>
      <c r="P5" s="25"/>
      <c r="Q5" s="25">
        <v>11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>
        <v>22</v>
      </c>
    </row>
    <row r="6" spans="1:35" x14ac:dyDescent="0.25">
      <c r="B6" t="s">
        <v>24</v>
      </c>
      <c r="C6" t="s">
        <v>66</v>
      </c>
      <c r="D6" t="s">
        <v>20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>
        <v>8</v>
      </c>
      <c r="U6" s="25"/>
      <c r="V6" s="25"/>
      <c r="W6" s="25"/>
      <c r="X6" s="25">
        <v>16</v>
      </c>
      <c r="Y6" s="25">
        <v>16</v>
      </c>
      <c r="Z6" s="25">
        <v>8</v>
      </c>
      <c r="AA6" s="25">
        <v>8</v>
      </c>
      <c r="AB6" s="25"/>
      <c r="AC6" s="25"/>
      <c r="AD6" s="25"/>
      <c r="AE6" s="25"/>
      <c r="AF6" s="25"/>
      <c r="AG6" s="25"/>
      <c r="AH6" s="25"/>
      <c r="AI6" s="25">
        <v>56</v>
      </c>
    </row>
    <row r="7" spans="1:35" x14ac:dyDescent="0.25">
      <c r="B7" t="s">
        <v>30</v>
      </c>
      <c r="C7" t="s">
        <v>66</v>
      </c>
      <c r="D7" t="s">
        <v>20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>
        <v>1</v>
      </c>
      <c r="AF7" s="25">
        <v>1</v>
      </c>
      <c r="AG7" s="25"/>
      <c r="AH7" s="25"/>
      <c r="AI7" s="25">
        <v>2</v>
      </c>
    </row>
    <row r="8" spans="1:35" x14ac:dyDescent="0.25">
      <c r="B8" t="s">
        <v>29</v>
      </c>
      <c r="C8" t="s">
        <v>66</v>
      </c>
      <c r="D8" t="s">
        <v>20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>
        <v>8</v>
      </c>
      <c r="AA8" s="25">
        <v>8</v>
      </c>
      <c r="AB8" s="25">
        <v>8</v>
      </c>
      <c r="AC8" s="25">
        <v>8</v>
      </c>
      <c r="AD8" s="25">
        <v>8</v>
      </c>
      <c r="AE8" s="25"/>
      <c r="AF8" s="25"/>
      <c r="AG8" s="25">
        <v>8</v>
      </c>
      <c r="AH8" s="25">
        <v>8</v>
      </c>
      <c r="AI8" s="25">
        <v>56</v>
      </c>
    </row>
    <row r="9" spans="1:35" x14ac:dyDescent="0.25">
      <c r="B9" t="s">
        <v>10</v>
      </c>
      <c r="C9" t="s">
        <v>66</v>
      </c>
      <c r="D9" t="s">
        <v>20</v>
      </c>
      <c r="E9" s="25">
        <v>11</v>
      </c>
      <c r="F9" s="25">
        <v>11</v>
      </c>
      <c r="G9" s="25">
        <v>11</v>
      </c>
      <c r="H9" s="25">
        <v>11</v>
      </c>
      <c r="I9" s="25"/>
      <c r="J9" s="25">
        <v>11</v>
      </c>
      <c r="K9" s="25">
        <v>11</v>
      </c>
      <c r="L9" s="25">
        <v>11</v>
      </c>
      <c r="M9" s="25">
        <v>11</v>
      </c>
      <c r="N9" s="25">
        <v>11</v>
      </c>
      <c r="O9" s="25">
        <v>11</v>
      </c>
      <c r="P9" s="25">
        <v>11</v>
      </c>
      <c r="Q9" s="25">
        <v>11</v>
      </c>
      <c r="R9" s="25">
        <v>22</v>
      </c>
      <c r="S9" s="25">
        <v>11</v>
      </c>
      <c r="T9" s="25">
        <v>11</v>
      </c>
      <c r="U9" s="25">
        <v>11</v>
      </c>
      <c r="V9" s="25">
        <v>22</v>
      </c>
      <c r="W9" s="25">
        <v>22</v>
      </c>
      <c r="X9" s="25"/>
      <c r="Y9" s="25">
        <v>11</v>
      </c>
      <c r="Z9" s="25">
        <v>11</v>
      </c>
      <c r="AA9" s="25">
        <v>22</v>
      </c>
      <c r="AB9" s="25"/>
      <c r="AC9" s="25">
        <v>11</v>
      </c>
      <c r="AD9" s="25">
        <v>33</v>
      </c>
      <c r="AE9" s="25">
        <v>22</v>
      </c>
      <c r="AF9" s="25">
        <v>22</v>
      </c>
      <c r="AG9" s="25">
        <v>33</v>
      </c>
      <c r="AH9" s="25">
        <v>22</v>
      </c>
      <c r="AI9" s="25">
        <v>418</v>
      </c>
    </row>
    <row r="10" spans="1:35" x14ac:dyDescent="0.25">
      <c r="B10" t="s">
        <v>23</v>
      </c>
      <c r="C10" t="s">
        <v>66</v>
      </c>
      <c r="D10" t="s">
        <v>20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>
        <v>11</v>
      </c>
      <c r="AC10" s="25">
        <v>11</v>
      </c>
      <c r="AD10" s="25"/>
      <c r="AE10" s="25"/>
      <c r="AF10" s="25"/>
      <c r="AG10" s="25"/>
      <c r="AH10" s="25"/>
      <c r="AI10" s="25">
        <v>22</v>
      </c>
    </row>
    <row r="11" spans="1:35" x14ac:dyDescent="0.25">
      <c r="B11" t="s">
        <v>50</v>
      </c>
      <c r="C11" t="s">
        <v>66</v>
      </c>
      <c r="D11" t="s">
        <v>20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>
        <v>11</v>
      </c>
      <c r="V11" s="25">
        <v>11</v>
      </c>
      <c r="W11" s="25">
        <v>11</v>
      </c>
      <c r="X11" s="25"/>
      <c r="Y11" s="25"/>
      <c r="Z11" s="25"/>
      <c r="AA11" s="25"/>
      <c r="AB11" s="25">
        <v>11</v>
      </c>
      <c r="AC11" s="25"/>
      <c r="AD11" s="25"/>
      <c r="AE11" s="25"/>
      <c r="AF11" s="25"/>
      <c r="AG11" s="25"/>
      <c r="AH11" s="25"/>
      <c r="AI11" s="25">
        <v>44</v>
      </c>
    </row>
    <row r="12" spans="1:35" x14ac:dyDescent="0.25">
      <c r="A12" t="s">
        <v>215</v>
      </c>
      <c r="B12" t="s">
        <v>38</v>
      </c>
      <c r="C12" t="s">
        <v>66</v>
      </c>
      <c r="D12" t="s">
        <v>20</v>
      </c>
      <c r="E12" s="25"/>
      <c r="F12" s="25"/>
      <c r="G12" s="25">
        <v>33</v>
      </c>
      <c r="H12" s="25"/>
      <c r="I12" s="25"/>
      <c r="J12" s="25">
        <v>22</v>
      </c>
      <c r="K12" s="25">
        <v>22</v>
      </c>
      <c r="L12" s="25"/>
      <c r="M12" s="25"/>
      <c r="N12" s="25"/>
      <c r="O12" s="25"/>
      <c r="P12" s="25">
        <v>11</v>
      </c>
      <c r="Q12" s="25">
        <v>11</v>
      </c>
      <c r="R12" s="25"/>
      <c r="S12" s="25"/>
      <c r="T12" s="25"/>
      <c r="U12" s="25"/>
      <c r="V12" s="25"/>
      <c r="W12" s="25"/>
      <c r="X12" s="25">
        <v>11</v>
      </c>
      <c r="Y12" s="25"/>
      <c r="Z12" s="25"/>
      <c r="AA12" s="25"/>
      <c r="AB12" s="25"/>
      <c r="AC12" s="25"/>
      <c r="AD12" s="25"/>
      <c r="AE12" s="25"/>
      <c r="AF12" s="25">
        <v>11</v>
      </c>
      <c r="AG12" s="25">
        <v>11</v>
      </c>
      <c r="AH12" s="25"/>
      <c r="AI12" s="25">
        <v>132</v>
      </c>
    </row>
    <row r="13" spans="1:35" x14ac:dyDescent="0.25">
      <c r="B13" t="s">
        <v>24</v>
      </c>
      <c r="C13" t="s">
        <v>66</v>
      </c>
      <c r="D13" t="s">
        <v>20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>
        <v>8</v>
      </c>
      <c r="T13" s="25">
        <v>8</v>
      </c>
      <c r="U13" s="25"/>
      <c r="V13" s="25"/>
      <c r="W13" s="25"/>
      <c r="X13" s="25"/>
      <c r="Y13" s="25"/>
      <c r="Z13" s="25"/>
      <c r="AA13" s="25">
        <v>8</v>
      </c>
      <c r="AB13" s="25">
        <v>8</v>
      </c>
      <c r="AC13" s="25"/>
      <c r="AD13" s="25"/>
      <c r="AE13" s="25"/>
      <c r="AF13" s="25">
        <v>8</v>
      </c>
      <c r="AG13" s="25">
        <v>16</v>
      </c>
      <c r="AH13" s="25">
        <v>8</v>
      </c>
      <c r="AI13" s="25">
        <v>64</v>
      </c>
    </row>
    <row r="14" spans="1:35" x14ac:dyDescent="0.25">
      <c r="B14" t="s">
        <v>30</v>
      </c>
      <c r="C14" t="s">
        <v>66</v>
      </c>
      <c r="D14" t="s">
        <v>20</v>
      </c>
      <c r="E14" s="25"/>
      <c r="F14" s="25"/>
      <c r="G14" s="25"/>
      <c r="H14" s="25"/>
      <c r="I14" s="25"/>
      <c r="J14" s="25">
        <v>1</v>
      </c>
      <c r="K14" s="25">
        <v>1</v>
      </c>
      <c r="L14" s="25"/>
      <c r="M14" s="25"/>
      <c r="N14" s="25"/>
      <c r="O14" s="25"/>
      <c r="P14" s="25"/>
      <c r="Q14" s="25">
        <v>1</v>
      </c>
      <c r="R14" s="25">
        <v>1</v>
      </c>
      <c r="S14" s="25"/>
      <c r="T14" s="25"/>
      <c r="U14" s="25"/>
      <c r="V14" s="25"/>
      <c r="W14" s="25">
        <v>1</v>
      </c>
      <c r="X14" s="25">
        <v>3</v>
      </c>
      <c r="Y14" s="25">
        <v>4</v>
      </c>
      <c r="Z14" s="25">
        <v>2</v>
      </c>
      <c r="AA14" s="25">
        <v>1</v>
      </c>
      <c r="AB14" s="25">
        <v>1</v>
      </c>
      <c r="AC14" s="25"/>
      <c r="AD14" s="25"/>
      <c r="AE14" s="25">
        <v>3</v>
      </c>
      <c r="AF14" s="25">
        <v>2</v>
      </c>
      <c r="AG14" s="25"/>
      <c r="AH14" s="25"/>
      <c r="AI14" s="25">
        <v>21</v>
      </c>
    </row>
    <row r="15" spans="1:35" x14ac:dyDescent="0.25">
      <c r="B15" t="s">
        <v>29</v>
      </c>
      <c r="C15" t="s">
        <v>66</v>
      </c>
      <c r="D15" t="s">
        <v>20</v>
      </c>
      <c r="E15" s="25">
        <v>8</v>
      </c>
      <c r="F15" s="25">
        <v>8</v>
      </c>
      <c r="G15" s="25">
        <v>8</v>
      </c>
      <c r="H15" s="25">
        <v>8</v>
      </c>
      <c r="I15" s="25">
        <v>8</v>
      </c>
      <c r="J15" s="25"/>
      <c r="K15" s="25"/>
      <c r="L15" s="25">
        <v>8</v>
      </c>
      <c r="M15" s="25">
        <v>8</v>
      </c>
      <c r="N15" s="25">
        <v>8</v>
      </c>
      <c r="O15" s="25">
        <v>8</v>
      </c>
      <c r="P15" s="25">
        <v>8</v>
      </c>
      <c r="Q15" s="25"/>
      <c r="R15" s="25"/>
      <c r="S15" s="25">
        <v>8</v>
      </c>
      <c r="T15" s="25">
        <v>8</v>
      </c>
      <c r="U15" s="25">
        <v>16</v>
      </c>
      <c r="V15" s="25">
        <v>16</v>
      </c>
      <c r="W15" s="25">
        <v>16</v>
      </c>
      <c r="X15" s="25"/>
      <c r="Y15" s="25"/>
      <c r="Z15" s="25">
        <v>16</v>
      </c>
      <c r="AA15" s="25">
        <v>16</v>
      </c>
      <c r="AB15" s="25">
        <v>8</v>
      </c>
      <c r="AC15" s="25">
        <v>16</v>
      </c>
      <c r="AD15" s="25">
        <v>16</v>
      </c>
      <c r="AE15" s="25"/>
      <c r="AF15" s="25"/>
      <c r="AG15" s="25">
        <v>16</v>
      </c>
      <c r="AH15" s="25">
        <v>24</v>
      </c>
      <c r="AI15" s="25">
        <v>256</v>
      </c>
    </row>
    <row r="16" spans="1:35" x14ac:dyDescent="0.25">
      <c r="B16" t="s">
        <v>10</v>
      </c>
      <c r="C16" t="s">
        <v>66</v>
      </c>
      <c r="D16" t="s">
        <v>20</v>
      </c>
      <c r="E16" s="25">
        <v>176</v>
      </c>
      <c r="F16" s="25">
        <v>253</v>
      </c>
      <c r="G16" s="25">
        <v>187</v>
      </c>
      <c r="H16" s="25">
        <v>187</v>
      </c>
      <c r="I16" s="25">
        <v>220</v>
      </c>
      <c r="J16" s="25">
        <v>165</v>
      </c>
      <c r="K16" s="25">
        <v>220</v>
      </c>
      <c r="L16" s="25">
        <v>220</v>
      </c>
      <c r="M16" s="25">
        <v>209</v>
      </c>
      <c r="N16" s="25">
        <v>209</v>
      </c>
      <c r="O16" s="25">
        <v>231</v>
      </c>
      <c r="P16" s="25">
        <v>220</v>
      </c>
      <c r="Q16" s="25">
        <v>198</v>
      </c>
      <c r="R16" s="25">
        <v>220</v>
      </c>
      <c r="S16" s="25">
        <v>176</v>
      </c>
      <c r="T16" s="25">
        <v>176</v>
      </c>
      <c r="U16" s="25">
        <v>187</v>
      </c>
      <c r="V16" s="25">
        <v>176</v>
      </c>
      <c r="W16" s="25">
        <v>176</v>
      </c>
      <c r="X16" s="25">
        <v>198</v>
      </c>
      <c r="Y16" s="25">
        <v>132</v>
      </c>
      <c r="Z16" s="25">
        <v>176</v>
      </c>
      <c r="AA16" s="25">
        <v>121</v>
      </c>
      <c r="AB16" s="25">
        <v>165</v>
      </c>
      <c r="AC16" s="25">
        <v>165</v>
      </c>
      <c r="AD16" s="25">
        <v>176</v>
      </c>
      <c r="AE16" s="25">
        <v>143</v>
      </c>
      <c r="AF16" s="25">
        <v>110</v>
      </c>
      <c r="AG16" s="25">
        <v>121</v>
      </c>
      <c r="AH16" s="25">
        <v>132</v>
      </c>
      <c r="AI16" s="25">
        <v>5445</v>
      </c>
    </row>
    <row r="17" spans="1:35" x14ac:dyDescent="0.25">
      <c r="B17" t="s">
        <v>23</v>
      </c>
      <c r="C17" t="s">
        <v>66</v>
      </c>
      <c r="D17" t="s">
        <v>20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>
        <v>22</v>
      </c>
      <c r="T17" s="25">
        <v>22</v>
      </c>
      <c r="U17" s="25">
        <v>11</v>
      </c>
      <c r="V17" s="25">
        <v>22</v>
      </c>
      <c r="W17" s="25">
        <v>22</v>
      </c>
      <c r="X17" s="25">
        <v>11</v>
      </c>
      <c r="Y17" s="25">
        <v>22</v>
      </c>
      <c r="Z17" s="25"/>
      <c r="AA17" s="25"/>
      <c r="AB17" s="25"/>
      <c r="AC17" s="25"/>
      <c r="AD17" s="25">
        <v>11</v>
      </c>
      <c r="AE17" s="25"/>
      <c r="AF17" s="25"/>
      <c r="AG17" s="25"/>
      <c r="AH17" s="25"/>
      <c r="AI17" s="25">
        <v>143</v>
      </c>
    </row>
    <row r="18" spans="1:35" x14ac:dyDescent="0.25">
      <c r="B18" t="s">
        <v>44</v>
      </c>
      <c r="C18" t="s">
        <v>66</v>
      </c>
      <c r="D18" t="s">
        <v>20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25">
        <v>1</v>
      </c>
      <c r="AI18" s="25">
        <v>7</v>
      </c>
    </row>
    <row r="19" spans="1:35" x14ac:dyDescent="0.25">
      <c r="A19" t="s">
        <v>216</v>
      </c>
      <c r="B19" t="s">
        <v>38</v>
      </c>
      <c r="C19" t="s">
        <v>66</v>
      </c>
      <c r="D19" t="s">
        <v>20</v>
      </c>
      <c r="E19" s="25"/>
      <c r="F19" s="25"/>
      <c r="G19" s="25"/>
      <c r="H19" s="25"/>
      <c r="I19" s="25">
        <v>11</v>
      </c>
      <c r="J19" s="25">
        <v>11</v>
      </c>
      <c r="K19" s="25"/>
      <c r="L19" s="25"/>
      <c r="M19" s="25"/>
      <c r="N19" s="25"/>
      <c r="O19" s="25"/>
      <c r="P19" s="25">
        <v>11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>
        <v>33</v>
      </c>
    </row>
    <row r="20" spans="1:35" x14ac:dyDescent="0.25">
      <c r="B20" t="s">
        <v>24</v>
      </c>
      <c r="C20" t="s">
        <v>66</v>
      </c>
      <c r="D20" t="s">
        <v>20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>
        <v>8</v>
      </c>
      <c r="P20" s="25">
        <v>8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>
        <v>16</v>
      </c>
    </row>
    <row r="21" spans="1:35" x14ac:dyDescent="0.25">
      <c r="B21" t="s">
        <v>30</v>
      </c>
      <c r="C21" t="s">
        <v>66</v>
      </c>
      <c r="D21" t="s">
        <v>20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>
        <v>1</v>
      </c>
      <c r="R21" s="25">
        <v>1</v>
      </c>
      <c r="S21" s="25"/>
      <c r="T21" s="25"/>
      <c r="U21" s="25"/>
      <c r="V21" s="25"/>
      <c r="W21" s="25"/>
      <c r="X21" s="25">
        <v>1</v>
      </c>
      <c r="Y21" s="25">
        <v>1</v>
      </c>
      <c r="Z21" s="25"/>
      <c r="AA21" s="25"/>
      <c r="AB21" s="25"/>
      <c r="AC21" s="25"/>
      <c r="AD21" s="25"/>
      <c r="AE21" s="25">
        <v>1</v>
      </c>
      <c r="AF21" s="25">
        <v>1</v>
      </c>
      <c r="AG21" s="25"/>
      <c r="AH21" s="25"/>
      <c r="AI21" s="25">
        <v>6</v>
      </c>
    </row>
    <row r="22" spans="1:35" x14ac:dyDescent="0.25">
      <c r="B22" t="s">
        <v>29</v>
      </c>
      <c r="C22" t="s">
        <v>66</v>
      </c>
      <c r="D22" t="s">
        <v>20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>
        <v>8</v>
      </c>
      <c r="T22" s="25">
        <v>8</v>
      </c>
      <c r="U22" s="25">
        <v>8</v>
      </c>
      <c r="V22" s="25">
        <v>8</v>
      </c>
      <c r="W22" s="25">
        <v>8</v>
      </c>
      <c r="X22" s="25"/>
      <c r="Y22" s="25"/>
      <c r="Z22" s="25">
        <v>8</v>
      </c>
      <c r="AA22" s="25">
        <v>8</v>
      </c>
      <c r="AB22" s="25">
        <v>8</v>
      </c>
      <c r="AC22" s="25">
        <v>8</v>
      </c>
      <c r="AD22" s="25">
        <v>8</v>
      </c>
      <c r="AE22" s="25"/>
      <c r="AF22" s="25"/>
      <c r="AG22" s="25">
        <v>8</v>
      </c>
      <c r="AH22" s="25">
        <v>8</v>
      </c>
      <c r="AI22" s="25">
        <v>96</v>
      </c>
    </row>
    <row r="23" spans="1:35" x14ac:dyDescent="0.25">
      <c r="B23" t="s">
        <v>10</v>
      </c>
      <c r="C23" t="s">
        <v>66</v>
      </c>
      <c r="D23" t="s">
        <v>20</v>
      </c>
      <c r="E23" s="25">
        <v>22</v>
      </c>
      <c r="F23" s="25">
        <v>22</v>
      </c>
      <c r="G23" s="25">
        <v>22</v>
      </c>
      <c r="H23" s="25">
        <v>33</v>
      </c>
      <c r="I23" s="25">
        <v>11</v>
      </c>
      <c r="J23" s="25">
        <v>11</v>
      </c>
      <c r="K23" s="25">
        <v>11</v>
      </c>
      <c r="L23" s="25">
        <v>11</v>
      </c>
      <c r="M23" s="25">
        <v>11</v>
      </c>
      <c r="N23" s="25">
        <v>22</v>
      </c>
      <c r="O23" s="25">
        <v>22</v>
      </c>
      <c r="P23" s="25"/>
      <c r="Q23" s="25">
        <v>11</v>
      </c>
      <c r="R23" s="25">
        <v>22</v>
      </c>
      <c r="S23" s="25">
        <v>22</v>
      </c>
      <c r="T23" s="25">
        <v>22</v>
      </c>
      <c r="U23" s="25">
        <v>11</v>
      </c>
      <c r="V23" s="25">
        <v>22</v>
      </c>
      <c r="W23" s="25">
        <v>22</v>
      </c>
      <c r="X23" s="25">
        <v>22</v>
      </c>
      <c r="Y23" s="25">
        <v>22</v>
      </c>
      <c r="Z23" s="25">
        <v>11</v>
      </c>
      <c r="AA23" s="25">
        <v>22</v>
      </c>
      <c r="AB23" s="25">
        <v>22</v>
      </c>
      <c r="AC23" s="25">
        <v>22</v>
      </c>
      <c r="AD23" s="25">
        <v>11</v>
      </c>
      <c r="AE23" s="25">
        <v>11</v>
      </c>
      <c r="AF23" s="25">
        <v>11</v>
      </c>
      <c r="AG23" s="25">
        <v>11</v>
      </c>
      <c r="AH23" s="25">
        <v>11</v>
      </c>
      <c r="AI23" s="25">
        <v>506</v>
      </c>
    </row>
    <row r="24" spans="1:35" s="2" customFormat="1" x14ac:dyDescent="0.25">
      <c r="A24"/>
      <c r="B24" t="s">
        <v>23</v>
      </c>
      <c r="C24" t="s">
        <v>66</v>
      </c>
      <c r="D24" t="s">
        <v>20</v>
      </c>
      <c r="E24" s="25"/>
      <c r="F24" s="25"/>
      <c r="G24" s="25"/>
      <c r="H24" s="25"/>
      <c r="I24" s="25"/>
      <c r="J24" s="25"/>
      <c r="K24" s="25">
        <v>11</v>
      </c>
      <c r="L24" s="25">
        <v>11</v>
      </c>
      <c r="M24" s="25">
        <v>11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>
        <v>33</v>
      </c>
    </row>
    <row r="25" spans="1:35" x14ac:dyDescent="0.25">
      <c r="B25" t="s">
        <v>70</v>
      </c>
      <c r="C25" t="s">
        <v>66</v>
      </c>
      <c r="D25" t="s">
        <v>20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>
        <v>11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>
        <v>11</v>
      </c>
    </row>
    <row r="26" spans="1:35" x14ac:dyDescent="0.25">
      <c r="A26" t="s">
        <v>17</v>
      </c>
      <c r="E26" s="25">
        <v>217</v>
      </c>
      <c r="F26" s="25">
        <v>294</v>
      </c>
      <c r="G26" s="25">
        <v>261</v>
      </c>
      <c r="H26" s="25">
        <v>239</v>
      </c>
      <c r="I26" s="25">
        <v>261</v>
      </c>
      <c r="J26" s="25">
        <v>221</v>
      </c>
      <c r="K26" s="25">
        <v>276</v>
      </c>
      <c r="L26" s="25">
        <v>261</v>
      </c>
      <c r="M26" s="25">
        <v>250</v>
      </c>
      <c r="N26" s="25">
        <v>250</v>
      </c>
      <c r="O26" s="25">
        <v>280</v>
      </c>
      <c r="P26" s="25">
        <v>269</v>
      </c>
      <c r="Q26" s="25">
        <v>255</v>
      </c>
      <c r="R26" s="25">
        <v>266</v>
      </c>
      <c r="S26" s="25">
        <v>255</v>
      </c>
      <c r="T26" s="25">
        <v>263</v>
      </c>
      <c r="U26" s="25">
        <v>255</v>
      </c>
      <c r="V26" s="25">
        <v>277</v>
      </c>
      <c r="W26" s="25">
        <v>278</v>
      </c>
      <c r="X26" s="25">
        <v>262</v>
      </c>
      <c r="Y26" s="25">
        <v>208</v>
      </c>
      <c r="Z26" s="25">
        <v>240</v>
      </c>
      <c r="AA26" s="25">
        <v>214</v>
      </c>
      <c r="AB26" s="25">
        <v>243</v>
      </c>
      <c r="AC26" s="25">
        <v>242</v>
      </c>
      <c r="AD26" s="25">
        <v>264</v>
      </c>
      <c r="AE26" s="25">
        <v>182</v>
      </c>
      <c r="AF26" s="25">
        <v>167</v>
      </c>
      <c r="AG26" s="25">
        <v>225</v>
      </c>
      <c r="AH26" s="25">
        <v>214</v>
      </c>
      <c r="AI26" s="25">
        <v>7389</v>
      </c>
    </row>
    <row r="31" spans="1:35" ht="45" x14ac:dyDescent="0.25">
      <c r="A31" s="11" t="s">
        <v>223</v>
      </c>
      <c r="B31" s="2" t="s">
        <v>21</v>
      </c>
      <c r="C31" s="2" t="s">
        <v>224</v>
      </c>
      <c r="D31" s="28" t="s">
        <v>54</v>
      </c>
      <c r="E31" s="28" t="s">
        <v>225</v>
      </c>
    </row>
    <row r="32" spans="1:35" x14ac:dyDescent="0.25">
      <c r="A32" s="19" t="s">
        <v>216</v>
      </c>
      <c r="B32" s="25">
        <v>8262</v>
      </c>
      <c r="C32" s="25"/>
      <c r="D32" s="29">
        <v>1319900.0000000037</v>
      </c>
      <c r="E32" s="29">
        <v>0</v>
      </c>
    </row>
    <row r="33" spans="1:5" x14ac:dyDescent="0.25">
      <c r="A33" s="27" t="s">
        <v>38</v>
      </c>
      <c r="B33" s="25">
        <v>77</v>
      </c>
      <c r="C33" s="25"/>
      <c r="D33" s="29">
        <v>31833.333333333336</v>
      </c>
      <c r="E33" s="29">
        <v>0</v>
      </c>
    </row>
    <row r="34" spans="1:5" x14ac:dyDescent="0.25">
      <c r="A34" s="27" t="s">
        <v>48</v>
      </c>
      <c r="B34" s="25">
        <v>24</v>
      </c>
      <c r="C34" s="25"/>
      <c r="D34" s="29">
        <v>0</v>
      </c>
      <c r="E34" s="29">
        <v>0</v>
      </c>
    </row>
    <row r="35" spans="1:5" x14ac:dyDescent="0.25">
      <c r="A35" s="27" t="s">
        <v>24</v>
      </c>
      <c r="B35" s="25">
        <v>312</v>
      </c>
      <c r="C35" s="25"/>
      <c r="D35" s="29">
        <v>0</v>
      </c>
      <c r="E35" s="29">
        <v>0</v>
      </c>
    </row>
    <row r="36" spans="1:5" x14ac:dyDescent="0.25">
      <c r="A36" s="27" t="s">
        <v>30</v>
      </c>
      <c r="B36" s="25">
        <v>54</v>
      </c>
      <c r="C36" s="25"/>
      <c r="D36" s="29">
        <v>0</v>
      </c>
      <c r="E36" s="29">
        <v>0</v>
      </c>
    </row>
    <row r="37" spans="1:5" x14ac:dyDescent="0.25">
      <c r="A37" s="27" t="s">
        <v>70</v>
      </c>
      <c r="B37" s="25">
        <v>11</v>
      </c>
      <c r="C37" s="25"/>
      <c r="D37" s="29">
        <v>4500</v>
      </c>
      <c r="E37" s="29">
        <v>0</v>
      </c>
    </row>
    <row r="38" spans="1:5" x14ac:dyDescent="0.25">
      <c r="A38" s="27" t="s">
        <v>29</v>
      </c>
      <c r="B38" s="25">
        <v>1144</v>
      </c>
      <c r="C38" s="25"/>
      <c r="D38" s="29">
        <v>0</v>
      </c>
      <c r="E38" s="29">
        <v>0</v>
      </c>
    </row>
    <row r="39" spans="1:5" x14ac:dyDescent="0.25">
      <c r="A39" s="27" t="s">
        <v>44</v>
      </c>
      <c r="B39" s="25">
        <v>90</v>
      </c>
      <c r="C39" s="25"/>
      <c r="D39" s="29">
        <v>0</v>
      </c>
      <c r="E39" s="29">
        <v>0</v>
      </c>
    </row>
    <row r="40" spans="1:5" x14ac:dyDescent="0.25">
      <c r="A40" s="27" t="s">
        <v>81</v>
      </c>
      <c r="B40" s="25">
        <v>35</v>
      </c>
      <c r="C40" s="25"/>
      <c r="D40" s="29">
        <v>0</v>
      </c>
      <c r="E40" s="29">
        <v>0</v>
      </c>
    </row>
    <row r="41" spans="1:5" x14ac:dyDescent="0.25">
      <c r="A41" s="27" t="s">
        <v>52</v>
      </c>
      <c r="B41" s="25">
        <v>36</v>
      </c>
      <c r="C41" s="25"/>
      <c r="D41" s="29">
        <v>0</v>
      </c>
      <c r="E41" s="29">
        <v>0</v>
      </c>
    </row>
    <row r="42" spans="1:5" x14ac:dyDescent="0.25">
      <c r="A42" s="27" t="s">
        <v>10</v>
      </c>
      <c r="B42" s="25">
        <v>6402</v>
      </c>
      <c r="C42" s="25"/>
      <c r="D42" s="29">
        <v>1253233.3333333372</v>
      </c>
      <c r="E42" s="29">
        <v>0</v>
      </c>
    </row>
    <row r="43" spans="1:5" x14ac:dyDescent="0.25">
      <c r="A43" s="27" t="s">
        <v>23</v>
      </c>
      <c r="B43" s="25">
        <v>77</v>
      </c>
      <c r="C43" s="25"/>
      <c r="D43" s="29">
        <v>30333.333333333332</v>
      </c>
      <c r="E43" s="29">
        <v>0</v>
      </c>
    </row>
    <row r="44" spans="1:5" x14ac:dyDescent="0.25">
      <c r="A44" s="19" t="s">
        <v>215</v>
      </c>
      <c r="B44" s="25">
        <v>27406</v>
      </c>
      <c r="C44" s="25">
        <v>219</v>
      </c>
      <c r="D44" s="29">
        <v>11367972.72727271</v>
      </c>
      <c r="E44" s="29">
        <v>573480</v>
      </c>
    </row>
    <row r="45" spans="1:5" x14ac:dyDescent="0.25">
      <c r="A45" s="27" t="s">
        <v>38</v>
      </c>
      <c r="B45" s="25">
        <v>935</v>
      </c>
      <c r="C45" s="25"/>
      <c r="D45" s="29">
        <v>428566.66666666645</v>
      </c>
      <c r="E45" s="29">
        <v>0</v>
      </c>
    </row>
    <row r="46" spans="1:5" x14ac:dyDescent="0.25">
      <c r="A46" s="27" t="s">
        <v>24</v>
      </c>
      <c r="B46" s="25">
        <v>800</v>
      </c>
      <c r="C46" s="25"/>
      <c r="D46" s="29">
        <v>0</v>
      </c>
      <c r="E46" s="29">
        <v>0</v>
      </c>
    </row>
    <row r="47" spans="1:5" x14ac:dyDescent="0.25">
      <c r="A47" s="27" t="s">
        <v>30</v>
      </c>
      <c r="B47" s="25">
        <v>131</v>
      </c>
      <c r="C47" s="25"/>
      <c r="D47" s="29">
        <v>0</v>
      </c>
      <c r="E47" s="29">
        <v>0</v>
      </c>
    </row>
    <row r="48" spans="1:5" x14ac:dyDescent="0.25">
      <c r="A48" s="27" t="s">
        <v>70</v>
      </c>
      <c r="B48" s="25">
        <v>328</v>
      </c>
      <c r="C48" s="25"/>
      <c r="D48" s="29">
        <v>151121.21212121207</v>
      </c>
      <c r="E48" s="29">
        <v>0</v>
      </c>
    </row>
    <row r="49" spans="1:5" x14ac:dyDescent="0.25">
      <c r="A49" s="27" t="s">
        <v>29</v>
      </c>
      <c r="B49" s="25">
        <v>2064</v>
      </c>
      <c r="C49" s="25"/>
      <c r="D49" s="29">
        <v>0</v>
      </c>
      <c r="E49" s="29">
        <v>0</v>
      </c>
    </row>
    <row r="50" spans="1:5" x14ac:dyDescent="0.25">
      <c r="A50" s="27" t="s">
        <v>44</v>
      </c>
      <c r="B50" s="25">
        <v>55</v>
      </c>
      <c r="C50" s="25"/>
      <c r="D50" s="29">
        <v>0</v>
      </c>
      <c r="E50" s="29">
        <v>0</v>
      </c>
    </row>
    <row r="51" spans="1:5" x14ac:dyDescent="0.25">
      <c r="A51" s="27" t="s">
        <v>50</v>
      </c>
      <c r="B51" s="25">
        <v>176</v>
      </c>
      <c r="C51" s="25"/>
      <c r="D51" s="29">
        <v>0</v>
      </c>
      <c r="E51" s="29">
        <v>0</v>
      </c>
    </row>
    <row r="52" spans="1:5" x14ac:dyDescent="0.25">
      <c r="A52" s="27" t="s">
        <v>52</v>
      </c>
      <c r="B52" s="25">
        <v>32</v>
      </c>
      <c r="C52" s="25"/>
      <c r="D52" s="29">
        <v>0</v>
      </c>
      <c r="E52" s="29">
        <v>0</v>
      </c>
    </row>
    <row r="53" spans="1:5" x14ac:dyDescent="0.25">
      <c r="A53" s="27" t="s">
        <v>10</v>
      </c>
      <c r="B53" s="25">
        <v>22313</v>
      </c>
      <c r="C53" s="25">
        <v>219</v>
      </c>
      <c r="D53" s="29">
        <v>10499884.848484831</v>
      </c>
      <c r="E53" s="29">
        <v>573480</v>
      </c>
    </row>
    <row r="54" spans="1:5" x14ac:dyDescent="0.25">
      <c r="A54" s="27" t="s">
        <v>23</v>
      </c>
      <c r="B54" s="25">
        <v>572</v>
      </c>
      <c r="C54" s="25"/>
      <c r="D54" s="29">
        <v>288400</v>
      </c>
      <c r="E54" s="29">
        <v>0</v>
      </c>
    </row>
    <row r="55" spans="1:5" x14ac:dyDescent="0.25">
      <c r="A55" s="27" t="s">
        <v>20</v>
      </c>
      <c r="B55" s="25"/>
      <c r="C55" s="25"/>
      <c r="D55" s="29">
        <v>0</v>
      </c>
      <c r="E55" s="29">
        <v>0</v>
      </c>
    </row>
    <row r="56" spans="1:5" x14ac:dyDescent="0.25">
      <c r="A56" s="19" t="s">
        <v>214</v>
      </c>
      <c r="B56" s="25">
        <v>5886</v>
      </c>
      <c r="C56" s="25"/>
      <c r="D56" s="29">
        <v>1411109.0909090864</v>
      </c>
      <c r="E56" s="29">
        <v>0</v>
      </c>
    </row>
    <row r="57" spans="1:5" x14ac:dyDescent="0.25">
      <c r="A57" s="27" t="s">
        <v>38</v>
      </c>
      <c r="B57" s="25">
        <v>33</v>
      </c>
      <c r="C57" s="25"/>
      <c r="D57" s="29">
        <v>14333.333333333334</v>
      </c>
      <c r="E57" s="29">
        <v>0</v>
      </c>
    </row>
    <row r="58" spans="1:5" x14ac:dyDescent="0.25">
      <c r="A58" s="27" t="s">
        <v>48</v>
      </c>
      <c r="B58" s="25">
        <v>16</v>
      </c>
      <c r="C58" s="25"/>
      <c r="D58" s="29">
        <v>0</v>
      </c>
      <c r="E58" s="29">
        <v>0</v>
      </c>
    </row>
    <row r="59" spans="1:5" x14ac:dyDescent="0.25">
      <c r="A59" s="27" t="s">
        <v>24</v>
      </c>
      <c r="B59" s="25">
        <v>349</v>
      </c>
      <c r="C59" s="25"/>
      <c r="D59" s="29">
        <v>0</v>
      </c>
      <c r="E59" s="29">
        <v>0</v>
      </c>
    </row>
    <row r="60" spans="1:5" x14ac:dyDescent="0.25">
      <c r="A60" s="27" t="s">
        <v>30</v>
      </c>
      <c r="B60" s="25">
        <v>55</v>
      </c>
      <c r="C60" s="25"/>
      <c r="D60" s="29">
        <v>0</v>
      </c>
      <c r="E60" s="29">
        <v>0</v>
      </c>
    </row>
    <row r="61" spans="1:5" x14ac:dyDescent="0.25">
      <c r="A61" s="27" t="s">
        <v>70</v>
      </c>
      <c r="B61" s="25">
        <v>207</v>
      </c>
      <c r="C61" s="25"/>
      <c r="D61" s="29">
        <v>62727.272727272706</v>
      </c>
      <c r="E61" s="29">
        <v>0</v>
      </c>
    </row>
    <row r="62" spans="1:5" x14ac:dyDescent="0.25">
      <c r="A62" s="27" t="s">
        <v>29</v>
      </c>
      <c r="B62" s="25">
        <v>992</v>
      </c>
      <c r="C62" s="25"/>
      <c r="D62" s="29">
        <v>0</v>
      </c>
      <c r="E62" s="29">
        <v>0</v>
      </c>
    </row>
    <row r="63" spans="1:5" x14ac:dyDescent="0.25">
      <c r="A63" s="27" t="s">
        <v>44</v>
      </c>
      <c r="B63" s="25">
        <v>16</v>
      </c>
      <c r="C63" s="25"/>
      <c r="D63" s="29">
        <v>0</v>
      </c>
      <c r="E63" s="29">
        <v>0</v>
      </c>
    </row>
    <row r="64" spans="1:5" x14ac:dyDescent="0.25">
      <c r="A64" s="27" t="s">
        <v>50</v>
      </c>
      <c r="B64" s="25">
        <v>77</v>
      </c>
      <c r="C64" s="25"/>
      <c r="D64" s="29">
        <v>0</v>
      </c>
      <c r="E64" s="29">
        <v>0</v>
      </c>
    </row>
    <row r="65" spans="1:5" x14ac:dyDescent="0.25">
      <c r="A65" s="27" t="s">
        <v>10</v>
      </c>
      <c r="B65" s="25">
        <v>4119</v>
      </c>
      <c r="C65" s="25"/>
      <c r="D65" s="29">
        <v>1325048.4848484804</v>
      </c>
      <c r="E65" s="29">
        <v>0</v>
      </c>
    </row>
    <row r="66" spans="1:5" x14ac:dyDescent="0.25">
      <c r="A66" s="27" t="s">
        <v>23</v>
      </c>
      <c r="B66" s="25">
        <v>22</v>
      </c>
      <c r="C66" s="25"/>
      <c r="D66" s="29">
        <v>9000</v>
      </c>
      <c r="E66" s="29">
        <v>0</v>
      </c>
    </row>
    <row r="67" spans="1:5" x14ac:dyDescent="0.25">
      <c r="A67" s="19" t="s">
        <v>17</v>
      </c>
      <c r="B67" s="25">
        <v>41554</v>
      </c>
      <c r="C67" s="25">
        <v>219</v>
      </c>
      <c r="D67" s="29">
        <v>14098981.818181802</v>
      </c>
      <c r="E67" s="29">
        <v>573480</v>
      </c>
    </row>
  </sheetData>
  <pageMargins left="0.25" right="0.25" top="0.75" bottom="0.75" header="0.3" footer="0.3"/>
  <pageSetup paperSize="9" scale="50" orientation="landscape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7F26-DFA6-403D-9747-13C6646C6AAF}">
  <sheetPr>
    <pageSetUpPr fitToPage="1"/>
  </sheetPr>
  <dimension ref="A1:AL137"/>
  <sheetViews>
    <sheetView zoomScale="70" zoomScaleNormal="70" workbookViewId="0">
      <selection activeCell="B15" sqref="B15"/>
    </sheetView>
  </sheetViews>
  <sheetFormatPr defaultRowHeight="15" x14ac:dyDescent="0.25"/>
  <cols>
    <col min="1" max="1" width="12.5703125" customWidth="1"/>
    <col min="2" max="2" width="15.28515625" customWidth="1"/>
    <col min="3" max="3" width="21.42578125" customWidth="1"/>
    <col min="4" max="4" width="14.5703125" customWidth="1"/>
    <col min="5" max="5" width="11.85546875" customWidth="1"/>
    <col min="6" max="6" width="15.85546875" customWidth="1"/>
    <col min="7" max="35" width="4.28515625" customWidth="1"/>
    <col min="36" max="36" width="6.42578125" bestFit="1" customWidth="1"/>
    <col min="37" max="37" width="11.85546875" customWidth="1"/>
  </cols>
  <sheetData>
    <row r="1" spans="1:36" x14ac:dyDescent="0.25">
      <c r="A1" s="3" t="s">
        <v>27</v>
      </c>
      <c r="B1" t="s">
        <v>83</v>
      </c>
    </row>
    <row r="3" spans="1:36" x14ac:dyDescent="0.25">
      <c r="A3" s="3" t="s">
        <v>21</v>
      </c>
      <c r="F3" s="3" t="s">
        <v>18</v>
      </c>
    </row>
    <row r="4" spans="1:36" ht="30" x14ac:dyDescent="0.25">
      <c r="A4" s="3" t="s">
        <v>8</v>
      </c>
      <c r="B4" s="3" t="s">
        <v>1</v>
      </c>
      <c r="C4" s="3" t="s">
        <v>3</v>
      </c>
      <c r="D4" s="3" t="s">
        <v>2</v>
      </c>
      <c r="E4" s="3" t="s">
        <v>4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  <c r="AJ4" s="1" t="s">
        <v>17</v>
      </c>
    </row>
    <row r="5" spans="1:36" x14ac:dyDescent="0.25">
      <c r="A5">
        <v>1</v>
      </c>
      <c r="B5" t="s">
        <v>12</v>
      </c>
      <c r="C5" t="s">
        <v>13</v>
      </c>
      <c r="D5" t="s">
        <v>20</v>
      </c>
      <c r="E5" t="s">
        <v>10</v>
      </c>
      <c r="F5" s="25">
        <v>22</v>
      </c>
      <c r="G5" s="25">
        <v>11</v>
      </c>
      <c r="H5" s="25">
        <v>11</v>
      </c>
      <c r="I5" s="25">
        <v>27</v>
      </c>
      <c r="J5" s="25">
        <v>22</v>
      </c>
      <c r="K5" s="25">
        <v>22</v>
      </c>
      <c r="L5" s="25">
        <v>22</v>
      </c>
      <c r="M5" s="25">
        <v>22</v>
      </c>
      <c r="N5" s="25">
        <v>22</v>
      </c>
      <c r="O5" s="25">
        <v>22</v>
      </c>
      <c r="P5" s="25">
        <v>33</v>
      </c>
      <c r="Q5" s="25">
        <v>33</v>
      </c>
      <c r="R5" s="25">
        <v>22</v>
      </c>
      <c r="S5" s="25">
        <v>33</v>
      </c>
      <c r="T5" s="25">
        <v>33</v>
      </c>
      <c r="U5" s="25">
        <v>33</v>
      </c>
      <c r="V5" s="25">
        <v>33</v>
      </c>
      <c r="W5" s="25">
        <v>33</v>
      </c>
      <c r="X5" s="25">
        <v>33</v>
      </c>
      <c r="Y5" s="25">
        <v>16</v>
      </c>
      <c r="Z5" s="25">
        <v>33</v>
      </c>
      <c r="AA5" s="25">
        <v>28</v>
      </c>
      <c r="AB5" s="25">
        <v>28</v>
      </c>
      <c r="AC5" s="25">
        <v>22</v>
      </c>
      <c r="AD5" s="25">
        <v>17</v>
      </c>
      <c r="AE5" s="25">
        <v>6</v>
      </c>
      <c r="AF5" s="25">
        <v>6</v>
      </c>
      <c r="AG5" s="25">
        <v>6</v>
      </c>
      <c r="AH5" s="25">
        <v>6</v>
      </c>
      <c r="AI5" s="25">
        <v>27</v>
      </c>
      <c r="AJ5" s="25">
        <v>684</v>
      </c>
    </row>
    <row r="6" spans="1:36" x14ac:dyDescent="0.25">
      <c r="E6" t="s">
        <v>20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x14ac:dyDescent="0.25">
      <c r="E7" t="s">
        <v>24</v>
      </c>
      <c r="F7" s="25"/>
      <c r="G7" s="25">
        <v>8</v>
      </c>
      <c r="H7" s="25">
        <v>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>
        <v>8</v>
      </c>
      <c r="AJ7" s="25">
        <v>24</v>
      </c>
    </row>
    <row r="8" spans="1:36" x14ac:dyDescent="0.25">
      <c r="E8" t="s">
        <v>23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>
        <v>11</v>
      </c>
      <c r="AF8" s="25">
        <v>11</v>
      </c>
      <c r="AG8" s="25">
        <v>11</v>
      </c>
      <c r="AH8" s="25"/>
      <c r="AI8" s="25"/>
      <c r="AJ8" s="25">
        <v>33</v>
      </c>
    </row>
    <row r="9" spans="1:36" x14ac:dyDescent="0.25">
      <c r="E9" t="s">
        <v>29</v>
      </c>
      <c r="F9" s="25">
        <v>8</v>
      </c>
      <c r="G9" s="25">
        <v>8</v>
      </c>
      <c r="H9" s="25">
        <v>8</v>
      </c>
      <c r="I9" s="25">
        <v>8</v>
      </c>
      <c r="J9" s="25">
        <v>8</v>
      </c>
      <c r="K9" s="25"/>
      <c r="L9" s="25"/>
      <c r="M9" s="25">
        <v>8</v>
      </c>
      <c r="N9" s="25">
        <v>8</v>
      </c>
      <c r="O9" s="25">
        <v>8</v>
      </c>
      <c r="P9" s="25">
        <v>8</v>
      </c>
      <c r="Q9" s="25">
        <v>8</v>
      </c>
      <c r="R9" s="25"/>
      <c r="S9" s="25"/>
      <c r="T9" s="25">
        <v>8</v>
      </c>
      <c r="U9" s="25">
        <v>8</v>
      </c>
      <c r="V9" s="25">
        <v>8</v>
      </c>
      <c r="W9" s="25">
        <v>8</v>
      </c>
      <c r="X9" s="25">
        <v>8</v>
      </c>
      <c r="Y9" s="25"/>
      <c r="Z9" s="25"/>
      <c r="AA9" s="25">
        <v>8</v>
      </c>
      <c r="AB9" s="25">
        <v>8</v>
      </c>
      <c r="AC9" s="25">
        <v>8</v>
      </c>
      <c r="AD9" s="25">
        <v>8</v>
      </c>
      <c r="AE9" s="25">
        <v>8</v>
      </c>
      <c r="AF9" s="25"/>
      <c r="AG9" s="25"/>
      <c r="AH9" s="25">
        <v>8</v>
      </c>
      <c r="AI9" s="25"/>
      <c r="AJ9" s="25">
        <v>168</v>
      </c>
    </row>
    <row r="10" spans="1:36" x14ac:dyDescent="0.25">
      <c r="E10" t="s">
        <v>30</v>
      </c>
      <c r="F10" s="25"/>
      <c r="G10" s="25"/>
      <c r="H10" s="25"/>
      <c r="I10" s="25"/>
      <c r="J10" s="25"/>
      <c r="K10" s="25">
        <v>1</v>
      </c>
      <c r="L10" s="25">
        <v>1</v>
      </c>
      <c r="M10" s="25"/>
      <c r="N10" s="25"/>
      <c r="O10" s="25"/>
      <c r="P10" s="25"/>
      <c r="Q10" s="25"/>
      <c r="R10" s="25">
        <v>1</v>
      </c>
      <c r="S10" s="25">
        <v>1</v>
      </c>
      <c r="T10" s="25"/>
      <c r="U10" s="25"/>
      <c r="V10" s="25"/>
      <c r="W10" s="25"/>
      <c r="X10" s="25"/>
      <c r="Y10" s="25">
        <v>1</v>
      </c>
      <c r="Z10" s="25">
        <v>1</v>
      </c>
      <c r="AA10" s="25"/>
      <c r="AB10" s="25"/>
      <c r="AC10" s="25"/>
      <c r="AD10" s="25"/>
      <c r="AE10" s="25"/>
      <c r="AF10" s="25">
        <v>1</v>
      </c>
      <c r="AG10" s="25">
        <v>1</v>
      </c>
      <c r="AH10" s="25"/>
      <c r="AI10" s="25"/>
      <c r="AJ10" s="25">
        <v>8</v>
      </c>
    </row>
    <row r="11" spans="1:36" x14ac:dyDescent="0.25">
      <c r="E11" t="s">
        <v>70</v>
      </c>
      <c r="F11" s="25"/>
      <c r="G11" s="25"/>
      <c r="H11" s="25"/>
      <c r="I11" s="25">
        <v>17</v>
      </c>
      <c r="J11" s="25">
        <v>22</v>
      </c>
      <c r="K11" s="25">
        <v>22</v>
      </c>
      <c r="L11" s="25">
        <v>22</v>
      </c>
      <c r="M11" s="25">
        <v>22</v>
      </c>
      <c r="N11" s="25">
        <v>11</v>
      </c>
      <c r="O11" s="25">
        <v>22</v>
      </c>
      <c r="P11" s="25">
        <v>11</v>
      </c>
      <c r="Q11" s="25">
        <v>11</v>
      </c>
      <c r="R11" s="25">
        <v>22</v>
      </c>
      <c r="S11" s="25">
        <v>11</v>
      </c>
      <c r="T11" s="25">
        <v>11</v>
      </c>
      <c r="U11" s="25">
        <v>11</v>
      </c>
      <c r="V11" s="25">
        <v>11</v>
      </c>
      <c r="W11" s="25">
        <v>11</v>
      </c>
      <c r="X11" s="25"/>
      <c r="Y11" s="25">
        <v>17</v>
      </c>
      <c r="Z11" s="25"/>
      <c r="AA11" s="25">
        <v>5</v>
      </c>
      <c r="AB11" s="25">
        <v>5</v>
      </c>
      <c r="AC11" s="25">
        <v>11</v>
      </c>
      <c r="AD11" s="25">
        <v>16</v>
      </c>
      <c r="AE11" s="25">
        <v>5</v>
      </c>
      <c r="AF11" s="25">
        <v>5</v>
      </c>
      <c r="AG11" s="25">
        <v>5</v>
      </c>
      <c r="AH11" s="25">
        <v>16</v>
      </c>
      <c r="AI11" s="25">
        <v>17</v>
      </c>
      <c r="AJ11" s="25">
        <v>339</v>
      </c>
    </row>
    <row r="12" spans="1:36" x14ac:dyDescent="0.25">
      <c r="C12" t="s">
        <v>20</v>
      </c>
      <c r="D12" t="s">
        <v>20</v>
      </c>
      <c r="E12" t="s">
        <v>44</v>
      </c>
      <c r="F12" s="25">
        <v>2</v>
      </c>
      <c r="G12" s="25">
        <v>2</v>
      </c>
      <c r="H12" s="25">
        <v>2</v>
      </c>
      <c r="I12" s="25">
        <v>2</v>
      </c>
      <c r="J12" s="25">
        <v>2</v>
      </c>
      <c r="K12" s="25">
        <v>2</v>
      </c>
      <c r="L12" s="25">
        <v>2</v>
      </c>
      <c r="M12" s="25">
        <v>2</v>
      </c>
      <c r="N12" s="25">
        <v>2</v>
      </c>
      <c r="O12" s="25">
        <v>2</v>
      </c>
      <c r="P12" s="25">
        <v>2</v>
      </c>
      <c r="Q12" s="25">
        <v>2</v>
      </c>
      <c r="R12" s="25">
        <v>2</v>
      </c>
      <c r="S12" s="25">
        <v>2</v>
      </c>
      <c r="T12" s="25">
        <v>2</v>
      </c>
      <c r="U12" s="25">
        <v>2</v>
      </c>
      <c r="V12" s="25">
        <v>2</v>
      </c>
      <c r="W12" s="25">
        <v>2</v>
      </c>
      <c r="X12" s="25">
        <v>2</v>
      </c>
      <c r="Y12" s="25">
        <v>2</v>
      </c>
      <c r="Z12" s="25">
        <v>2</v>
      </c>
      <c r="AA12" s="25">
        <v>2</v>
      </c>
      <c r="AB12" s="25">
        <v>2</v>
      </c>
      <c r="AC12" s="25">
        <v>2</v>
      </c>
      <c r="AD12" s="25">
        <v>2</v>
      </c>
      <c r="AE12" s="25">
        <v>2</v>
      </c>
      <c r="AF12" s="25">
        <v>2</v>
      </c>
      <c r="AG12" s="25">
        <v>2</v>
      </c>
      <c r="AH12" s="25">
        <v>2</v>
      </c>
      <c r="AI12" s="25">
        <v>2</v>
      </c>
      <c r="AJ12" s="25">
        <v>60</v>
      </c>
    </row>
    <row r="13" spans="1:36" x14ac:dyDescent="0.25">
      <c r="C13" t="s">
        <v>40</v>
      </c>
      <c r="D13" t="s">
        <v>20</v>
      </c>
      <c r="E13" t="s">
        <v>10</v>
      </c>
      <c r="F13" s="25"/>
      <c r="G13" s="25"/>
      <c r="H13" s="25"/>
      <c r="I13" s="25"/>
      <c r="J13" s="25"/>
      <c r="K13" s="25"/>
      <c r="L13" s="25"/>
      <c r="M13" s="25">
        <v>11</v>
      </c>
      <c r="N13" s="25">
        <v>11</v>
      </c>
      <c r="O13" s="25">
        <v>22</v>
      </c>
      <c r="P13" s="25">
        <v>11</v>
      </c>
      <c r="Q13" s="25">
        <v>11</v>
      </c>
      <c r="R13" s="25">
        <v>11</v>
      </c>
      <c r="S13" s="25">
        <v>11</v>
      </c>
      <c r="T13" s="25">
        <v>11</v>
      </c>
      <c r="U13" s="25">
        <v>11</v>
      </c>
      <c r="V13" s="25">
        <v>11</v>
      </c>
      <c r="W13" s="25">
        <v>11</v>
      </c>
      <c r="X13" s="25">
        <v>11</v>
      </c>
      <c r="Y13" s="25">
        <v>11</v>
      </c>
      <c r="Z13" s="25">
        <v>11</v>
      </c>
      <c r="AA13" s="25">
        <v>11</v>
      </c>
      <c r="AB13" s="25">
        <v>11</v>
      </c>
      <c r="AC13" s="25">
        <v>11</v>
      </c>
      <c r="AD13" s="25">
        <v>11</v>
      </c>
      <c r="AE13" s="25">
        <v>11</v>
      </c>
      <c r="AF13" s="25">
        <v>11</v>
      </c>
      <c r="AG13" s="25">
        <v>11</v>
      </c>
      <c r="AH13" s="25">
        <v>11</v>
      </c>
      <c r="AI13" s="25">
        <v>11</v>
      </c>
      <c r="AJ13" s="25">
        <v>264</v>
      </c>
    </row>
    <row r="14" spans="1:36" x14ac:dyDescent="0.25">
      <c r="E14" t="s">
        <v>23</v>
      </c>
      <c r="F14" s="25">
        <v>11</v>
      </c>
      <c r="G14" s="25">
        <v>11</v>
      </c>
      <c r="H14" s="25">
        <v>11</v>
      </c>
      <c r="I14" s="25">
        <v>11</v>
      </c>
      <c r="J14" s="25">
        <v>11</v>
      </c>
      <c r="K14" s="25">
        <v>11</v>
      </c>
      <c r="L14" s="25">
        <v>11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>
        <v>77</v>
      </c>
    </row>
    <row r="15" spans="1:36" x14ac:dyDescent="0.25">
      <c r="C15" t="s">
        <v>42</v>
      </c>
      <c r="D15" t="s">
        <v>20</v>
      </c>
      <c r="E15" t="s">
        <v>10</v>
      </c>
      <c r="F15" s="25">
        <v>99</v>
      </c>
      <c r="G15" s="25">
        <v>66</v>
      </c>
      <c r="H15" s="25">
        <v>66</v>
      </c>
      <c r="I15" s="25">
        <v>66</v>
      </c>
      <c r="J15" s="25">
        <v>88</v>
      </c>
      <c r="K15" s="25"/>
      <c r="L15" s="25"/>
      <c r="M15" s="25">
        <v>44</v>
      </c>
      <c r="N15" s="25">
        <v>110</v>
      </c>
      <c r="O15" s="25">
        <v>77</v>
      </c>
      <c r="P15" s="25">
        <v>55</v>
      </c>
      <c r="Q15" s="25">
        <v>11</v>
      </c>
      <c r="R15" s="25">
        <v>55</v>
      </c>
      <c r="S15" s="25">
        <v>66</v>
      </c>
      <c r="T15" s="25">
        <v>110</v>
      </c>
      <c r="U15" s="25">
        <v>99</v>
      </c>
      <c r="V15" s="25">
        <v>110</v>
      </c>
      <c r="W15" s="25">
        <v>99</v>
      </c>
      <c r="X15" s="25">
        <v>110</v>
      </c>
      <c r="Y15" s="25">
        <v>88</v>
      </c>
      <c r="Z15" s="25">
        <v>88</v>
      </c>
      <c r="AA15" s="25">
        <v>55</v>
      </c>
      <c r="AB15" s="25">
        <v>44</v>
      </c>
      <c r="AC15" s="25">
        <v>66</v>
      </c>
      <c r="AD15" s="25">
        <v>99</v>
      </c>
      <c r="AE15" s="25">
        <v>77</v>
      </c>
      <c r="AF15" s="25">
        <v>66</v>
      </c>
      <c r="AG15" s="25">
        <v>77</v>
      </c>
      <c r="AH15" s="25">
        <v>88</v>
      </c>
      <c r="AI15" s="25">
        <v>99</v>
      </c>
      <c r="AJ15" s="25">
        <v>2178</v>
      </c>
    </row>
    <row r="16" spans="1:36" x14ac:dyDescent="0.25">
      <c r="E16" t="s">
        <v>23</v>
      </c>
      <c r="F16" s="25"/>
      <c r="G16" s="25"/>
      <c r="H16" s="25"/>
      <c r="I16" s="25">
        <v>11</v>
      </c>
      <c r="J16" s="25">
        <v>11</v>
      </c>
      <c r="K16" s="25"/>
      <c r="L16" s="25"/>
      <c r="M16" s="25">
        <v>22</v>
      </c>
      <c r="N16" s="25"/>
      <c r="O16" s="25">
        <v>11</v>
      </c>
      <c r="P16" s="25"/>
      <c r="Q16" s="25"/>
      <c r="R16" s="25"/>
      <c r="S16" s="25"/>
      <c r="T16" s="25"/>
      <c r="U16" s="25"/>
      <c r="V16" s="25"/>
      <c r="W16" s="25"/>
      <c r="X16" s="25">
        <v>11</v>
      </c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>
        <v>66</v>
      </c>
    </row>
    <row r="17" spans="3:36" x14ac:dyDescent="0.25">
      <c r="E17" t="s">
        <v>38</v>
      </c>
      <c r="F17" s="25"/>
      <c r="G17" s="25">
        <v>11</v>
      </c>
      <c r="H17" s="25"/>
      <c r="I17" s="25"/>
      <c r="J17" s="25">
        <v>11</v>
      </c>
      <c r="K17" s="25">
        <v>66</v>
      </c>
      <c r="L17" s="25">
        <v>66</v>
      </c>
      <c r="M17" s="25"/>
      <c r="N17" s="25"/>
      <c r="O17" s="25"/>
      <c r="P17" s="25">
        <v>22</v>
      </c>
      <c r="Q17" s="25">
        <v>55</v>
      </c>
      <c r="R17" s="25">
        <v>33</v>
      </c>
      <c r="S17" s="25">
        <v>11</v>
      </c>
      <c r="T17" s="25"/>
      <c r="U17" s="25"/>
      <c r="V17" s="25"/>
      <c r="W17" s="25"/>
      <c r="X17" s="25"/>
      <c r="Y17" s="25"/>
      <c r="Z17" s="25"/>
      <c r="AA17" s="25">
        <v>33</v>
      </c>
      <c r="AB17" s="25">
        <v>33</v>
      </c>
      <c r="AC17" s="25">
        <v>11</v>
      </c>
      <c r="AD17" s="25"/>
      <c r="AE17" s="25">
        <v>11</v>
      </c>
      <c r="AF17" s="25"/>
      <c r="AG17" s="25"/>
      <c r="AH17" s="25"/>
      <c r="AI17" s="25"/>
      <c r="AJ17" s="25">
        <v>363</v>
      </c>
    </row>
    <row r="18" spans="3:36" x14ac:dyDescent="0.25">
      <c r="E18" t="s">
        <v>44</v>
      </c>
      <c r="F18" s="25">
        <v>1</v>
      </c>
      <c r="G18" s="25">
        <v>1</v>
      </c>
      <c r="H18" s="25">
        <v>1</v>
      </c>
      <c r="I18" s="25">
        <v>1</v>
      </c>
      <c r="J18" s="25">
        <v>1</v>
      </c>
      <c r="K18" s="25">
        <v>1</v>
      </c>
      <c r="L18" s="25">
        <v>1</v>
      </c>
      <c r="M18" s="25">
        <v>1</v>
      </c>
      <c r="N18" s="25">
        <v>1</v>
      </c>
      <c r="O18" s="25">
        <v>1</v>
      </c>
      <c r="P18" s="25">
        <v>1</v>
      </c>
      <c r="Q18" s="25">
        <v>1</v>
      </c>
      <c r="R18" s="25">
        <v>1</v>
      </c>
      <c r="S18" s="25">
        <v>1</v>
      </c>
      <c r="T18" s="25">
        <v>1</v>
      </c>
      <c r="U18" s="25">
        <v>1</v>
      </c>
      <c r="V18" s="25">
        <v>1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25">
        <v>1</v>
      </c>
      <c r="AI18" s="25">
        <v>1</v>
      </c>
      <c r="AJ18" s="25">
        <v>30</v>
      </c>
    </row>
    <row r="19" spans="3:36" x14ac:dyDescent="0.25">
      <c r="C19" t="s">
        <v>65</v>
      </c>
      <c r="D19" t="s">
        <v>20</v>
      </c>
      <c r="E19" t="s">
        <v>10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>
        <v>11</v>
      </c>
      <c r="R19" s="25">
        <v>11</v>
      </c>
      <c r="S19" s="25">
        <v>11</v>
      </c>
      <c r="T19" s="25">
        <v>11</v>
      </c>
      <c r="U19" s="25">
        <v>11</v>
      </c>
      <c r="V19" s="25">
        <v>11</v>
      </c>
      <c r="W19" s="25">
        <v>22</v>
      </c>
      <c r="X19" s="25">
        <v>11</v>
      </c>
      <c r="Y19" s="25">
        <v>11</v>
      </c>
      <c r="Z19" s="25">
        <v>11</v>
      </c>
      <c r="AA19" s="25">
        <v>11</v>
      </c>
      <c r="AB19" s="25">
        <v>11</v>
      </c>
      <c r="AC19" s="25">
        <v>22</v>
      </c>
      <c r="AD19" s="25">
        <v>22</v>
      </c>
      <c r="AE19" s="25">
        <v>11</v>
      </c>
      <c r="AF19" s="25">
        <v>11</v>
      </c>
      <c r="AG19" s="25">
        <v>11</v>
      </c>
      <c r="AH19" s="25">
        <v>22</v>
      </c>
      <c r="AI19" s="25">
        <v>11</v>
      </c>
      <c r="AJ19" s="25">
        <v>253</v>
      </c>
    </row>
    <row r="20" spans="3:36" x14ac:dyDescent="0.25">
      <c r="E20" t="s">
        <v>24</v>
      </c>
      <c r="F20" s="25"/>
      <c r="G20" s="25"/>
      <c r="H20" s="25">
        <v>8</v>
      </c>
      <c r="I20" s="25"/>
      <c r="J20" s="25"/>
      <c r="K20" s="25"/>
      <c r="L20" s="25">
        <v>8</v>
      </c>
      <c r="M20" s="25">
        <v>8</v>
      </c>
      <c r="N20" s="25">
        <v>8</v>
      </c>
      <c r="O20" s="25">
        <v>8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>
        <v>40</v>
      </c>
    </row>
    <row r="21" spans="3:36" x14ac:dyDescent="0.25">
      <c r="E21" t="s">
        <v>23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>
        <v>11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>
        <v>11</v>
      </c>
    </row>
    <row r="22" spans="3:36" x14ac:dyDescent="0.25">
      <c r="E22" t="s">
        <v>52</v>
      </c>
      <c r="F22" s="25">
        <v>1</v>
      </c>
      <c r="G22" s="25">
        <v>1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>
        <v>2</v>
      </c>
    </row>
    <row r="23" spans="3:36" x14ac:dyDescent="0.25">
      <c r="E23" t="s">
        <v>50</v>
      </c>
      <c r="F23" s="25"/>
      <c r="G23" s="25"/>
      <c r="H23" s="25"/>
      <c r="I23" s="25">
        <v>11</v>
      </c>
      <c r="J23" s="25">
        <v>11</v>
      </c>
      <c r="K23" s="25">
        <v>11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>
        <v>33</v>
      </c>
    </row>
    <row r="24" spans="3:36" x14ac:dyDescent="0.25">
      <c r="C24" t="s">
        <v>66</v>
      </c>
      <c r="D24" t="s">
        <v>20</v>
      </c>
      <c r="E24" t="s">
        <v>10</v>
      </c>
      <c r="F24" s="25">
        <v>209</v>
      </c>
      <c r="G24" s="25">
        <v>286</v>
      </c>
      <c r="H24" s="25">
        <v>220</v>
      </c>
      <c r="I24" s="25">
        <v>231</v>
      </c>
      <c r="J24" s="25">
        <v>231</v>
      </c>
      <c r="K24" s="25">
        <v>187</v>
      </c>
      <c r="L24" s="25">
        <v>242</v>
      </c>
      <c r="M24" s="25">
        <v>242</v>
      </c>
      <c r="N24" s="25">
        <v>231</v>
      </c>
      <c r="O24" s="25">
        <v>242</v>
      </c>
      <c r="P24" s="25">
        <v>264</v>
      </c>
      <c r="Q24" s="25">
        <v>231</v>
      </c>
      <c r="R24" s="25">
        <v>220</v>
      </c>
      <c r="S24" s="25">
        <v>264</v>
      </c>
      <c r="T24" s="25">
        <v>209</v>
      </c>
      <c r="U24" s="25">
        <v>209</v>
      </c>
      <c r="V24" s="25">
        <v>209</v>
      </c>
      <c r="W24" s="25">
        <v>220</v>
      </c>
      <c r="X24" s="25">
        <v>220</v>
      </c>
      <c r="Y24" s="25">
        <v>220</v>
      </c>
      <c r="Z24" s="25">
        <v>165</v>
      </c>
      <c r="AA24" s="25">
        <v>198</v>
      </c>
      <c r="AB24" s="25">
        <v>165</v>
      </c>
      <c r="AC24" s="25">
        <v>187</v>
      </c>
      <c r="AD24" s="25">
        <v>198</v>
      </c>
      <c r="AE24" s="25">
        <v>220</v>
      </c>
      <c r="AF24" s="25">
        <v>176</v>
      </c>
      <c r="AG24" s="25">
        <v>143</v>
      </c>
      <c r="AH24" s="25">
        <v>165</v>
      </c>
      <c r="AI24" s="25">
        <v>165</v>
      </c>
      <c r="AJ24" s="25">
        <v>6369</v>
      </c>
    </row>
    <row r="25" spans="3:36" x14ac:dyDescent="0.25">
      <c r="E25" t="s">
        <v>24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>
        <v>8</v>
      </c>
      <c r="Q25" s="25">
        <v>8</v>
      </c>
      <c r="R25" s="25"/>
      <c r="S25" s="25"/>
      <c r="T25" s="25">
        <v>8</v>
      </c>
      <c r="U25" s="25">
        <v>16</v>
      </c>
      <c r="V25" s="25"/>
      <c r="W25" s="25"/>
      <c r="X25" s="25"/>
      <c r="Y25" s="25">
        <v>16</v>
      </c>
      <c r="Z25" s="25">
        <v>16</v>
      </c>
      <c r="AA25" s="25">
        <v>8</v>
      </c>
      <c r="AB25" s="25">
        <v>16</v>
      </c>
      <c r="AC25" s="25">
        <v>8</v>
      </c>
      <c r="AD25" s="25"/>
      <c r="AE25" s="25"/>
      <c r="AF25" s="25"/>
      <c r="AG25" s="25">
        <v>8</v>
      </c>
      <c r="AH25" s="25">
        <v>16</v>
      </c>
      <c r="AI25" s="25">
        <v>8</v>
      </c>
      <c r="AJ25" s="25">
        <v>136</v>
      </c>
    </row>
    <row r="26" spans="3:36" x14ac:dyDescent="0.25">
      <c r="E26" t="s">
        <v>23</v>
      </c>
      <c r="F26" s="25"/>
      <c r="G26" s="25"/>
      <c r="H26" s="25"/>
      <c r="I26" s="25"/>
      <c r="J26" s="25"/>
      <c r="K26" s="25"/>
      <c r="L26" s="25">
        <v>11</v>
      </c>
      <c r="M26" s="25">
        <v>11</v>
      </c>
      <c r="N26" s="25">
        <v>11</v>
      </c>
      <c r="O26" s="25"/>
      <c r="P26" s="25"/>
      <c r="Q26" s="25"/>
      <c r="R26" s="25"/>
      <c r="S26" s="25"/>
      <c r="T26" s="25">
        <v>22</v>
      </c>
      <c r="U26" s="25">
        <v>22</v>
      </c>
      <c r="V26" s="25">
        <v>11</v>
      </c>
      <c r="W26" s="25">
        <v>22</v>
      </c>
      <c r="X26" s="25">
        <v>22</v>
      </c>
      <c r="Y26" s="25">
        <v>11</v>
      </c>
      <c r="Z26" s="25">
        <v>22</v>
      </c>
      <c r="AA26" s="25"/>
      <c r="AB26" s="25"/>
      <c r="AC26" s="25">
        <v>11</v>
      </c>
      <c r="AD26" s="25">
        <v>11</v>
      </c>
      <c r="AE26" s="25">
        <v>11</v>
      </c>
      <c r="AF26" s="25"/>
      <c r="AG26" s="25"/>
      <c r="AH26" s="25"/>
      <c r="AI26" s="25"/>
      <c r="AJ26" s="25">
        <v>198</v>
      </c>
    </row>
    <row r="27" spans="3:36" x14ac:dyDescent="0.25">
      <c r="E27" t="s">
        <v>29</v>
      </c>
      <c r="F27" s="25">
        <v>8</v>
      </c>
      <c r="G27" s="25">
        <v>8</v>
      </c>
      <c r="H27" s="25">
        <v>8</v>
      </c>
      <c r="I27" s="25">
        <v>8</v>
      </c>
      <c r="J27" s="25">
        <v>8</v>
      </c>
      <c r="K27" s="25"/>
      <c r="L27" s="25"/>
      <c r="M27" s="25">
        <v>8</v>
      </c>
      <c r="N27" s="25">
        <v>8</v>
      </c>
      <c r="O27" s="25">
        <v>8</v>
      </c>
      <c r="P27" s="25">
        <v>8</v>
      </c>
      <c r="Q27" s="25">
        <v>8</v>
      </c>
      <c r="R27" s="25"/>
      <c r="S27" s="25"/>
      <c r="T27" s="25">
        <v>16</v>
      </c>
      <c r="U27" s="25">
        <v>16</v>
      </c>
      <c r="V27" s="25">
        <v>24</v>
      </c>
      <c r="W27" s="25">
        <v>24</v>
      </c>
      <c r="X27" s="25">
        <v>24</v>
      </c>
      <c r="Y27" s="25"/>
      <c r="Z27" s="25"/>
      <c r="AA27" s="25">
        <v>32</v>
      </c>
      <c r="AB27" s="25">
        <v>32</v>
      </c>
      <c r="AC27" s="25">
        <v>24</v>
      </c>
      <c r="AD27" s="25">
        <v>32</v>
      </c>
      <c r="AE27" s="25">
        <v>32</v>
      </c>
      <c r="AF27" s="25"/>
      <c r="AG27" s="25"/>
      <c r="AH27" s="25">
        <v>32</v>
      </c>
      <c r="AI27" s="25">
        <v>40</v>
      </c>
      <c r="AJ27" s="25">
        <v>408</v>
      </c>
    </row>
    <row r="28" spans="3:36" x14ac:dyDescent="0.25">
      <c r="E28" t="s">
        <v>30</v>
      </c>
      <c r="F28" s="25"/>
      <c r="G28" s="25"/>
      <c r="H28" s="25"/>
      <c r="I28" s="25"/>
      <c r="J28" s="25"/>
      <c r="K28" s="25">
        <v>1</v>
      </c>
      <c r="L28" s="25">
        <v>1</v>
      </c>
      <c r="M28" s="25"/>
      <c r="N28" s="25"/>
      <c r="O28" s="25"/>
      <c r="P28" s="25"/>
      <c r="Q28" s="25"/>
      <c r="R28" s="25">
        <v>2</v>
      </c>
      <c r="S28" s="25">
        <v>2</v>
      </c>
      <c r="T28" s="25"/>
      <c r="U28" s="25"/>
      <c r="V28" s="25"/>
      <c r="W28" s="25"/>
      <c r="X28" s="25">
        <v>1</v>
      </c>
      <c r="Y28" s="25">
        <v>4</v>
      </c>
      <c r="Z28" s="25">
        <v>5</v>
      </c>
      <c r="AA28" s="25">
        <v>2</v>
      </c>
      <c r="AB28" s="25">
        <v>1</v>
      </c>
      <c r="AC28" s="25">
        <v>1</v>
      </c>
      <c r="AD28" s="25"/>
      <c r="AE28" s="25"/>
      <c r="AF28" s="25">
        <v>5</v>
      </c>
      <c r="AG28" s="25">
        <v>4</v>
      </c>
      <c r="AH28" s="25"/>
      <c r="AI28" s="25"/>
      <c r="AJ28" s="25">
        <v>29</v>
      </c>
    </row>
    <row r="29" spans="3:36" x14ac:dyDescent="0.25">
      <c r="E29" t="s">
        <v>38</v>
      </c>
      <c r="F29" s="25"/>
      <c r="G29" s="25"/>
      <c r="H29" s="25">
        <v>33</v>
      </c>
      <c r="I29" s="25"/>
      <c r="J29" s="25">
        <v>22</v>
      </c>
      <c r="K29" s="25">
        <v>33</v>
      </c>
      <c r="L29" s="25">
        <v>22</v>
      </c>
      <c r="M29" s="25"/>
      <c r="N29" s="25"/>
      <c r="O29" s="25"/>
      <c r="P29" s="25"/>
      <c r="Q29" s="25">
        <v>22</v>
      </c>
      <c r="R29" s="25">
        <v>22</v>
      </c>
      <c r="S29" s="25"/>
      <c r="T29" s="25"/>
      <c r="U29" s="25"/>
      <c r="V29" s="25"/>
      <c r="W29" s="25"/>
      <c r="X29" s="25"/>
      <c r="Y29" s="25">
        <v>11</v>
      </c>
      <c r="Z29" s="25"/>
      <c r="AA29" s="25"/>
      <c r="AB29" s="25"/>
      <c r="AC29" s="25"/>
      <c r="AD29" s="25"/>
      <c r="AE29" s="25"/>
      <c r="AF29" s="25"/>
      <c r="AG29" s="25">
        <v>11</v>
      </c>
      <c r="AH29" s="25">
        <v>11</v>
      </c>
      <c r="AI29" s="25"/>
      <c r="AJ29" s="25">
        <v>187</v>
      </c>
    </row>
    <row r="30" spans="3:36" x14ac:dyDescent="0.25">
      <c r="E30" t="s">
        <v>70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>
        <v>11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>
        <v>11</v>
      </c>
    </row>
    <row r="31" spans="3:36" x14ac:dyDescent="0.25">
      <c r="E31" t="s">
        <v>44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25">
        <v>1</v>
      </c>
      <c r="AI31" s="25">
        <v>1</v>
      </c>
      <c r="AJ31" s="25">
        <v>7</v>
      </c>
    </row>
    <row r="32" spans="3:36" x14ac:dyDescent="0.25">
      <c r="E32" t="s">
        <v>50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>
        <v>11</v>
      </c>
      <c r="W32" s="25">
        <v>11</v>
      </c>
      <c r="X32" s="25">
        <v>11</v>
      </c>
      <c r="Y32" s="25"/>
      <c r="Z32" s="25"/>
      <c r="AA32" s="25"/>
      <c r="AB32" s="25"/>
      <c r="AC32" s="25">
        <v>11</v>
      </c>
      <c r="AD32" s="25"/>
      <c r="AE32" s="25"/>
      <c r="AF32" s="25"/>
      <c r="AG32" s="25"/>
      <c r="AH32" s="25"/>
      <c r="AI32" s="25"/>
      <c r="AJ32" s="25">
        <v>44</v>
      </c>
    </row>
    <row r="33" spans="3:36" x14ac:dyDescent="0.25">
      <c r="C33" t="s">
        <v>68</v>
      </c>
      <c r="D33" t="s">
        <v>20</v>
      </c>
      <c r="E33" t="s">
        <v>10</v>
      </c>
      <c r="F33" s="25">
        <v>88</v>
      </c>
      <c r="G33" s="25">
        <v>77</v>
      </c>
      <c r="H33" s="25">
        <v>79</v>
      </c>
      <c r="I33" s="25">
        <v>77</v>
      </c>
      <c r="J33" s="25">
        <v>66</v>
      </c>
      <c r="K33" s="25">
        <v>50</v>
      </c>
      <c r="L33" s="25">
        <v>77</v>
      </c>
      <c r="M33" s="25">
        <v>95</v>
      </c>
      <c r="N33" s="25">
        <v>87</v>
      </c>
      <c r="O33" s="25">
        <v>55</v>
      </c>
      <c r="P33" s="25">
        <v>66</v>
      </c>
      <c r="Q33" s="25">
        <v>73</v>
      </c>
      <c r="R33" s="25">
        <v>79</v>
      </c>
      <c r="S33" s="25">
        <v>69</v>
      </c>
      <c r="T33" s="25">
        <v>81</v>
      </c>
      <c r="U33" s="25">
        <v>77</v>
      </c>
      <c r="V33" s="25">
        <v>79</v>
      </c>
      <c r="W33" s="25">
        <v>77</v>
      </c>
      <c r="X33" s="25">
        <v>93</v>
      </c>
      <c r="Y33" s="25">
        <v>98</v>
      </c>
      <c r="Z33" s="25">
        <v>77</v>
      </c>
      <c r="AA33" s="25">
        <v>55</v>
      </c>
      <c r="AB33" s="25">
        <v>88</v>
      </c>
      <c r="AC33" s="25">
        <v>110</v>
      </c>
      <c r="AD33" s="25">
        <v>98</v>
      </c>
      <c r="AE33" s="25">
        <v>110</v>
      </c>
      <c r="AF33" s="25">
        <v>89</v>
      </c>
      <c r="AG33" s="25">
        <v>88</v>
      </c>
      <c r="AH33" s="25">
        <v>121</v>
      </c>
      <c r="AI33" s="25">
        <v>91</v>
      </c>
      <c r="AJ33" s="25">
        <v>2470</v>
      </c>
    </row>
    <row r="34" spans="3:36" x14ac:dyDescent="0.25">
      <c r="E34" t="s">
        <v>24</v>
      </c>
      <c r="F34" s="25"/>
      <c r="G34" s="25"/>
      <c r="H34" s="25"/>
      <c r="I34" s="25"/>
      <c r="J34" s="25"/>
      <c r="K34" s="25"/>
      <c r="L34" s="25">
        <v>8</v>
      </c>
      <c r="M34" s="25">
        <v>8</v>
      </c>
      <c r="N34" s="25">
        <v>8</v>
      </c>
      <c r="O34" s="25">
        <v>8</v>
      </c>
      <c r="P34" s="25"/>
      <c r="Q34" s="25"/>
      <c r="R34" s="25"/>
      <c r="S34" s="25"/>
      <c r="T34" s="25"/>
      <c r="U34" s="25"/>
      <c r="V34" s="25"/>
      <c r="W34" s="25"/>
      <c r="X34" s="25">
        <v>8</v>
      </c>
      <c r="Y34" s="25">
        <v>8</v>
      </c>
      <c r="Z34" s="25">
        <v>8</v>
      </c>
      <c r="AA34" s="25">
        <v>16</v>
      </c>
      <c r="AB34" s="25">
        <v>8</v>
      </c>
      <c r="AC34" s="25">
        <v>8</v>
      </c>
      <c r="AD34" s="25">
        <v>16</v>
      </c>
      <c r="AE34" s="25">
        <v>8</v>
      </c>
      <c r="AF34" s="25">
        <v>8</v>
      </c>
      <c r="AG34" s="25">
        <v>8</v>
      </c>
      <c r="AH34" s="25">
        <v>8</v>
      </c>
      <c r="AI34" s="25">
        <v>8</v>
      </c>
      <c r="AJ34" s="25">
        <v>144</v>
      </c>
    </row>
    <row r="35" spans="3:36" x14ac:dyDescent="0.25">
      <c r="E35" t="s">
        <v>23</v>
      </c>
      <c r="F35" s="25"/>
      <c r="G35" s="25"/>
      <c r="H35" s="25"/>
      <c r="I35" s="25"/>
      <c r="J35" s="25"/>
      <c r="K35" s="25"/>
      <c r="L35" s="25"/>
      <c r="M35" s="25"/>
      <c r="N35" s="25">
        <v>11</v>
      </c>
      <c r="O35" s="25">
        <v>11</v>
      </c>
      <c r="P35" s="25">
        <v>11</v>
      </c>
      <c r="Q35" s="25">
        <v>11</v>
      </c>
      <c r="R35" s="25">
        <v>11</v>
      </c>
      <c r="S35" s="25">
        <v>11</v>
      </c>
      <c r="T35" s="25">
        <v>11</v>
      </c>
      <c r="U35" s="25">
        <v>11</v>
      </c>
      <c r="V35" s="25">
        <v>11</v>
      </c>
      <c r="W35" s="25">
        <v>11</v>
      </c>
      <c r="X35" s="25"/>
      <c r="Y35" s="25"/>
      <c r="Z35" s="25">
        <v>11</v>
      </c>
      <c r="AA35" s="25">
        <v>11</v>
      </c>
      <c r="AB35" s="25">
        <v>11</v>
      </c>
      <c r="AC35" s="25"/>
      <c r="AD35" s="25"/>
      <c r="AE35" s="25"/>
      <c r="AF35" s="25"/>
      <c r="AG35" s="25"/>
      <c r="AH35" s="25"/>
      <c r="AI35" s="25">
        <v>11</v>
      </c>
      <c r="AJ35" s="25">
        <v>154</v>
      </c>
    </row>
    <row r="36" spans="3:36" x14ac:dyDescent="0.25">
      <c r="E36" t="s">
        <v>29</v>
      </c>
      <c r="F36" s="25">
        <v>24</v>
      </c>
      <c r="G36" s="25">
        <v>24</v>
      </c>
      <c r="H36" s="25">
        <v>24</v>
      </c>
      <c r="I36" s="25">
        <v>24</v>
      </c>
      <c r="J36" s="25">
        <v>24</v>
      </c>
      <c r="K36" s="25"/>
      <c r="L36" s="25"/>
      <c r="M36" s="25">
        <v>16</v>
      </c>
      <c r="N36" s="25">
        <v>16</v>
      </c>
      <c r="O36" s="25">
        <v>16</v>
      </c>
      <c r="P36" s="25">
        <v>16</v>
      </c>
      <c r="Q36" s="25">
        <v>16</v>
      </c>
      <c r="R36" s="25"/>
      <c r="S36" s="25"/>
      <c r="T36" s="25">
        <v>16</v>
      </c>
      <c r="U36" s="25">
        <v>16</v>
      </c>
      <c r="V36" s="25">
        <v>16</v>
      </c>
      <c r="W36" s="25">
        <v>16</v>
      </c>
      <c r="X36" s="25">
        <v>16</v>
      </c>
      <c r="Y36" s="25"/>
      <c r="Z36" s="25"/>
      <c r="AA36" s="25">
        <v>16</v>
      </c>
      <c r="AB36" s="25">
        <v>24</v>
      </c>
      <c r="AC36" s="25">
        <v>24</v>
      </c>
      <c r="AD36" s="25">
        <v>16</v>
      </c>
      <c r="AE36" s="25">
        <v>24</v>
      </c>
      <c r="AF36" s="25"/>
      <c r="AG36" s="25"/>
      <c r="AH36" s="25">
        <v>24</v>
      </c>
      <c r="AI36" s="25">
        <v>24</v>
      </c>
      <c r="AJ36" s="25">
        <v>432</v>
      </c>
    </row>
    <row r="37" spans="3:36" x14ac:dyDescent="0.25">
      <c r="E37" t="s">
        <v>30</v>
      </c>
      <c r="F37" s="25"/>
      <c r="G37" s="25">
        <v>1</v>
      </c>
      <c r="H37" s="25">
        <v>1</v>
      </c>
      <c r="I37" s="25">
        <v>1</v>
      </c>
      <c r="J37" s="25">
        <v>1</v>
      </c>
      <c r="K37" s="25">
        <v>4</v>
      </c>
      <c r="L37" s="25">
        <v>3</v>
      </c>
      <c r="M37" s="25">
        <v>1</v>
      </c>
      <c r="N37" s="25"/>
      <c r="O37" s="25">
        <v>1</v>
      </c>
      <c r="P37" s="25">
        <v>1</v>
      </c>
      <c r="Q37" s="25">
        <v>1</v>
      </c>
      <c r="R37" s="25">
        <v>3</v>
      </c>
      <c r="S37" s="25">
        <v>3</v>
      </c>
      <c r="T37" s="25">
        <v>1</v>
      </c>
      <c r="U37" s="25">
        <v>1</v>
      </c>
      <c r="V37" s="25">
        <v>1</v>
      </c>
      <c r="W37" s="25">
        <v>1</v>
      </c>
      <c r="X37" s="25">
        <v>1</v>
      </c>
      <c r="Y37" s="25">
        <v>3</v>
      </c>
      <c r="Z37" s="25">
        <v>3</v>
      </c>
      <c r="AA37" s="25"/>
      <c r="AB37" s="25"/>
      <c r="AC37" s="25"/>
      <c r="AD37" s="25"/>
      <c r="AE37" s="25"/>
      <c r="AF37" s="25">
        <v>3</v>
      </c>
      <c r="AG37" s="25">
        <v>3</v>
      </c>
      <c r="AH37" s="25"/>
      <c r="AI37" s="25"/>
      <c r="AJ37" s="25">
        <v>38</v>
      </c>
    </row>
    <row r="38" spans="3:36" x14ac:dyDescent="0.25">
      <c r="E38" t="s">
        <v>38</v>
      </c>
      <c r="F38" s="25"/>
      <c r="G38" s="25"/>
      <c r="H38" s="25"/>
      <c r="I38" s="25"/>
      <c r="J38" s="25">
        <v>22</v>
      </c>
      <c r="K38" s="25">
        <v>33</v>
      </c>
      <c r="L38" s="25"/>
      <c r="M38" s="25"/>
      <c r="N38" s="25"/>
      <c r="O38" s="25">
        <v>11</v>
      </c>
      <c r="P38" s="25"/>
      <c r="Q38" s="25">
        <v>11</v>
      </c>
      <c r="R38" s="25">
        <v>11</v>
      </c>
      <c r="S38" s="25"/>
      <c r="T38" s="25"/>
      <c r="U38" s="25"/>
      <c r="V38" s="25"/>
      <c r="W38" s="25"/>
      <c r="X38" s="25"/>
      <c r="Y38" s="25"/>
      <c r="Z38" s="25"/>
      <c r="AA38" s="25">
        <v>11</v>
      </c>
      <c r="AB38" s="25"/>
      <c r="AC38" s="25"/>
      <c r="AD38" s="25"/>
      <c r="AE38" s="25"/>
      <c r="AF38" s="25"/>
      <c r="AG38" s="25"/>
      <c r="AH38" s="25"/>
      <c r="AI38" s="25"/>
      <c r="AJ38" s="25">
        <v>99</v>
      </c>
    </row>
    <row r="39" spans="3:36" x14ac:dyDescent="0.25">
      <c r="E39" t="s">
        <v>70</v>
      </c>
      <c r="F39" s="25"/>
      <c r="G39" s="25"/>
      <c r="H39" s="25"/>
      <c r="I39" s="25"/>
      <c r="J39" s="25"/>
      <c r="K39" s="25"/>
      <c r="L39" s="25"/>
      <c r="M39" s="25"/>
      <c r="N39" s="25"/>
      <c r="O39" s="25">
        <v>11</v>
      </c>
      <c r="P39" s="25"/>
      <c r="Q39" s="25"/>
      <c r="R39" s="25"/>
      <c r="S39" s="25"/>
      <c r="T39" s="25"/>
      <c r="U39" s="25">
        <v>11</v>
      </c>
      <c r="V39" s="25">
        <v>11</v>
      </c>
      <c r="W39" s="25"/>
      <c r="X39" s="25"/>
      <c r="Y39" s="25"/>
      <c r="Z39" s="25"/>
      <c r="AA39" s="25">
        <v>22</v>
      </c>
      <c r="AB39" s="25"/>
      <c r="AC39" s="25"/>
      <c r="AD39" s="25">
        <v>1</v>
      </c>
      <c r="AE39" s="25"/>
      <c r="AF39" s="25">
        <v>10</v>
      </c>
      <c r="AG39" s="25">
        <v>11</v>
      </c>
      <c r="AH39" s="25"/>
      <c r="AI39" s="25"/>
      <c r="AJ39" s="25">
        <v>77</v>
      </c>
    </row>
    <row r="40" spans="3:36" x14ac:dyDescent="0.25">
      <c r="E40" t="s">
        <v>50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>
        <v>11</v>
      </c>
      <c r="Q40" s="25">
        <v>11</v>
      </c>
      <c r="R40" s="25"/>
      <c r="S40" s="25">
        <v>11</v>
      </c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>
        <v>33</v>
      </c>
    </row>
    <row r="41" spans="3:36" x14ac:dyDescent="0.25">
      <c r="C41" t="s">
        <v>72</v>
      </c>
      <c r="D41" t="s">
        <v>20</v>
      </c>
      <c r="E41" t="s">
        <v>10</v>
      </c>
      <c r="F41" s="25">
        <v>22</v>
      </c>
      <c r="G41" s="25">
        <v>35</v>
      </c>
      <c r="H41" s="25">
        <v>44</v>
      </c>
      <c r="I41" s="25">
        <v>33</v>
      </c>
      <c r="J41" s="25">
        <v>33</v>
      </c>
      <c r="K41" s="25">
        <v>33</v>
      </c>
      <c r="L41" s="25">
        <v>26</v>
      </c>
      <c r="M41" s="25">
        <v>22</v>
      </c>
      <c r="N41" s="25">
        <v>22</v>
      </c>
      <c r="O41" s="25">
        <v>26</v>
      </c>
      <c r="P41" s="25">
        <v>22</v>
      </c>
      <c r="Q41" s="25">
        <v>17</v>
      </c>
      <c r="R41" s="25">
        <v>33</v>
      </c>
      <c r="S41" s="25">
        <v>22</v>
      </c>
      <c r="T41" s="25">
        <v>37</v>
      </c>
      <c r="U41" s="25">
        <v>33</v>
      </c>
      <c r="V41" s="25">
        <v>44</v>
      </c>
      <c r="W41" s="25">
        <v>44</v>
      </c>
      <c r="X41" s="25">
        <v>33</v>
      </c>
      <c r="Y41" s="25">
        <v>44</v>
      </c>
      <c r="Z41" s="25">
        <v>33</v>
      </c>
      <c r="AA41" s="25">
        <v>22</v>
      </c>
      <c r="AB41" s="25">
        <v>22</v>
      </c>
      <c r="AC41" s="25">
        <v>44</v>
      </c>
      <c r="AD41" s="25">
        <v>44</v>
      </c>
      <c r="AE41" s="25">
        <v>37</v>
      </c>
      <c r="AF41" s="25">
        <v>48</v>
      </c>
      <c r="AG41" s="25">
        <v>37</v>
      </c>
      <c r="AH41" s="25">
        <v>33</v>
      </c>
      <c r="AI41" s="25">
        <v>33</v>
      </c>
      <c r="AJ41" s="25">
        <v>978</v>
      </c>
    </row>
    <row r="42" spans="3:36" x14ac:dyDescent="0.25">
      <c r="E42" t="s">
        <v>20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3:36" x14ac:dyDescent="0.25">
      <c r="E43" t="s">
        <v>24</v>
      </c>
      <c r="F43" s="25"/>
      <c r="G43" s="25"/>
      <c r="H43" s="25"/>
      <c r="I43" s="25"/>
      <c r="J43" s="25"/>
      <c r="K43" s="25"/>
      <c r="L43" s="25"/>
      <c r="M43" s="25"/>
      <c r="N43" s="25">
        <v>8</v>
      </c>
      <c r="O43" s="25">
        <v>8</v>
      </c>
      <c r="P43" s="25"/>
      <c r="Q43" s="25"/>
      <c r="R43" s="25"/>
      <c r="S43" s="25"/>
      <c r="T43" s="25"/>
      <c r="U43" s="25">
        <v>8</v>
      </c>
      <c r="V43" s="25"/>
      <c r="W43" s="25"/>
      <c r="X43" s="25"/>
      <c r="Y43" s="25">
        <v>8</v>
      </c>
      <c r="Z43" s="25">
        <v>8</v>
      </c>
      <c r="AA43" s="25">
        <v>8</v>
      </c>
      <c r="AB43" s="25">
        <v>8</v>
      </c>
      <c r="AC43" s="25"/>
      <c r="AD43" s="25"/>
      <c r="AE43" s="25"/>
      <c r="AF43" s="25"/>
      <c r="AG43" s="25">
        <v>8</v>
      </c>
      <c r="AH43" s="25">
        <v>8</v>
      </c>
      <c r="AI43" s="25">
        <v>8</v>
      </c>
      <c r="AJ43" s="25">
        <v>80</v>
      </c>
    </row>
    <row r="44" spans="3:36" x14ac:dyDescent="0.25">
      <c r="E44" t="s">
        <v>23</v>
      </c>
      <c r="F44" s="25">
        <v>11</v>
      </c>
      <c r="G44" s="25"/>
      <c r="H44" s="25"/>
      <c r="I44" s="25"/>
      <c r="J44" s="25"/>
      <c r="K44" s="25"/>
      <c r="L44" s="25">
        <v>11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>
        <v>22</v>
      </c>
    </row>
    <row r="45" spans="3:36" x14ac:dyDescent="0.25">
      <c r="E45" t="s">
        <v>29</v>
      </c>
      <c r="F45" s="25">
        <v>8</v>
      </c>
      <c r="G45" s="25">
        <v>8</v>
      </c>
      <c r="H45" s="25">
        <v>8</v>
      </c>
      <c r="I45" s="25">
        <v>8</v>
      </c>
      <c r="J45" s="25">
        <v>8</v>
      </c>
      <c r="K45" s="25"/>
      <c r="L45" s="25"/>
      <c r="M45" s="25">
        <v>8</v>
      </c>
      <c r="N45" s="25">
        <v>8</v>
      </c>
      <c r="O45" s="25">
        <v>8</v>
      </c>
      <c r="P45" s="25">
        <v>8</v>
      </c>
      <c r="Q45" s="25">
        <v>8</v>
      </c>
      <c r="R45" s="25"/>
      <c r="S45" s="25"/>
      <c r="T45" s="25">
        <v>8</v>
      </c>
      <c r="U45" s="25">
        <v>8</v>
      </c>
      <c r="V45" s="25">
        <v>8</v>
      </c>
      <c r="W45" s="25">
        <v>8</v>
      </c>
      <c r="X45" s="25">
        <v>8</v>
      </c>
      <c r="Y45" s="25"/>
      <c r="Z45" s="25"/>
      <c r="AA45" s="25">
        <v>8</v>
      </c>
      <c r="AB45" s="25">
        <v>8</v>
      </c>
      <c r="AC45" s="25">
        <v>8</v>
      </c>
      <c r="AD45" s="25">
        <v>8</v>
      </c>
      <c r="AE45" s="25">
        <v>8</v>
      </c>
      <c r="AF45" s="25"/>
      <c r="AG45" s="25"/>
      <c r="AH45" s="25">
        <v>8</v>
      </c>
      <c r="AI45" s="25">
        <v>8</v>
      </c>
      <c r="AJ45" s="25">
        <v>176</v>
      </c>
    </row>
    <row r="46" spans="3:36" x14ac:dyDescent="0.25">
      <c r="E46" t="s">
        <v>30</v>
      </c>
      <c r="F46" s="25"/>
      <c r="G46" s="25"/>
      <c r="H46" s="25"/>
      <c r="I46" s="25"/>
      <c r="J46" s="25"/>
      <c r="K46" s="25">
        <v>1</v>
      </c>
      <c r="L46" s="25">
        <v>1</v>
      </c>
      <c r="M46" s="25"/>
      <c r="N46" s="25"/>
      <c r="O46" s="25"/>
      <c r="P46" s="25"/>
      <c r="Q46" s="25"/>
      <c r="R46" s="25">
        <v>1</v>
      </c>
      <c r="S46" s="25">
        <v>1</v>
      </c>
      <c r="T46" s="25"/>
      <c r="U46" s="25"/>
      <c r="V46" s="25"/>
      <c r="W46" s="25"/>
      <c r="X46" s="25"/>
      <c r="Y46" s="25">
        <v>1</v>
      </c>
      <c r="Z46" s="25">
        <v>1</v>
      </c>
      <c r="AA46" s="25"/>
      <c r="AB46" s="25"/>
      <c r="AC46" s="25"/>
      <c r="AD46" s="25"/>
      <c r="AE46" s="25"/>
      <c r="AF46" s="25">
        <v>1</v>
      </c>
      <c r="AG46" s="25">
        <v>1</v>
      </c>
      <c r="AH46" s="25"/>
      <c r="AI46" s="25"/>
      <c r="AJ46" s="25">
        <v>8</v>
      </c>
    </row>
    <row r="47" spans="3:36" x14ac:dyDescent="0.25">
      <c r="E47" t="s">
        <v>38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>
        <v>11</v>
      </c>
      <c r="R47" s="25">
        <v>11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>
        <v>22</v>
      </c>
    </row>
    <row r="48" spans="3:36" x14ac:dyDescent="0.25">
      <c r="E48" t="s">
        <v>70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>
        <v>11</v>
      </c>
      <c r="AB48" s="25">
        <v>11</v>
      </c>
      <c r="AC48" s="25"/>
      <c r="AD48" s="25"/>
      <c r="AE48" s="25"/>
      <c r="AF48" s="25"/>
      <c r="AG48" s="25"/>
      <c r="AH48" s="25"/>
      <c r="AI48" s="25"/>
      <c r="AJ48" s="25">
        <v>22</v>
      </c>
    </row>
    <row r="49" spans="2:36" x14ac:dyDescent="0.25">
      <c r="E49" t="s">
        <v>52</v>
      </c>
      <c r="F49" s="25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5">
        <v>1</v>
      </c>
      <c r="M49" s="25">
        <v>1</v>
      </c>
      <c r="N49" s="25"/>
      <c r="O49" s="25"/>
      <c r="P49" s="25"/>
      <c r="Q49" s="25"/>
      <c r="R49" s="25"/>
      <c r="S49" s="25"/>
      <c r="T49" s="25">
        <v>1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>
        <v>9</v>
      </c>
    </row>
    <row r="50" spans="2:36" x14ac:dyDescent="0.25">
      <c r="E50" t="s">
        <v>50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>
        <v>11</v>
      </c>
      <c r="Q50" s="25">
        <v>11</v>
      </c>
      <c r="R50" s="25"/>
      <c r="S50" s="25">
        <v>11</v>
      </c>
      <c r="T50" s="25"/>
      <c r="U50" s="25"/>
      <c r="V50" s="25">
        <v>11</v>
      </c>
      <c r="W50" s="25">
        <v>11</v>
      </c>
      <c r="X50" s="25">
        <v>11</v>
      </c>
      <c r="Y50" s="25"/>
      <c r="Z50" s="25"/>
      <c r="AA50" s="25"/>
      <c r="AB50" s="25"/>
      <c r="AC50" s="25">
        <v>11</v>
      </c>
      <c r="AD50" s="25">
        <v>11</v>
      </c>
      <c r="AE50" s="25">
        <v>11</v>
      </c>
      <c r="AF50" s="25">
        <v>11</v>
      </c>
      <c r="AG50" s="25"/>
      <c r="AH50" s="25"/>
      <c r="AI50" s="25"/>
      <c r="AJ50" s="25">
        <v>110</v>
      </c>
    </row>
    <row r="51" spans="2:36" x14ac:dyDescent="0.25">
      <c r="C51" t="s">
        <v>73</v>
      </c>
      <c r="D51" t="s">
        <v>20</v>
      </c>
      <c r="E51" t="s">
        <v>10</v>
      </c>
      <c r="F51" s="25">
        <v>22</v>
      </c>
      <c r="G51" s="25">
        <v>22</v>
      </c>
      <c r="H51" s="25"/>
      <c r="I51" s="25">
        <v>22</v>
      </c>
      <c r="J51" s="25">
        <v>22</v>
      </c>
      <c r="K51" s="25"/>
      <c r="L51" s="25">
        <v>11</v>
      </c>
      <c r="M51" s="25">
        <v>11</v>
      </c>
      <c r="N51" s="25">
        <v>22</v>
      </c>
      <c r="O51" s="25">
        <v>22</v>
      </c>
      <c r="P51" s="25">
        <v>44</v>
      </c>
      <c r="Q51" s="25">
        <v>33</v>
      </c>
      <c r="R51" s="25">
        <v>22</v>
      </c>
      <c r="S51" s="25">
        <v>22</v>
      </c>
      <c r="T51" s="25">
        <v>44</v>
      </c>
      <c r="U51" s="25">
        <v>22</v>
      </c>
      <c r="V51" s="25">
        <v>22</v>
      </c>
      <c r="W51" s="25">
        <v>33</v>
      </c>
      <c r="X51" s="25">
        <v>33</v>
      </c>
      <c r="Y51" s="25">
        <v>33</v>
      </c>
      <c r="Z51" s="25">
        <v>22</v>
      </c>
      <c r="AA51" s="25">
        <v>33</v>
      </c>
      <c r="AB51" s="25">
        <v>22</v>
      </c>
      <c r="AC51" s="25">
        <v>44</v>
      </c>
      <c r="AD51" s="25">
        <v>22</v>
      </c>
      <c r="AE51" s="25">
        <v>22</v>
      </c>
      <c r="AF51" s="25">
        <v>33</v>
      </c>
      <c r="AG51" s="25">
        <v>44</v>
      </c>
      <c r="AH51" s="25">
        <v>22</v>
      </c>
      <c r="AI51" s="25">
        <v>33</v>
      </c>
      <c r="AJ51" s="25">
        <v>759</v>
      </c>
    </row>
    <row r="52" spans="2:36" x14ac:dyDescent="0.25">
      <c r="E52" t="s">
        <v>24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>
        <v>8</v>
      </c>
      <c r="AI52" s="25">
        <v>8</v>
      </c>
      <c r="AJ52" s="25">
        <v>16</v>
      </c>
    </row>
    <row r="53" spans="2:36" x14ac:dyDescent="0.25">
      <c r="E53" t="s">
        <v>38</v>
      </c>
      <c r="F53" s="25"/>
      <c r="G53" s="25"/>
      <c r="H53" s="25">
        <v>22</v>
      </c>
      <c r="I53" s="25"/>
      <c r="J53" s="25">
        <v>11</v>
      </c>
      <c r="K53" s="25">
        <v>22</v>
      </c>
      <c r="L53" s="25">
        <v>11</v>
      </c>
      <c r="M53" s="25">
        <v>11</v>
      </c>
      <c r="N53" s="25">
        <v>11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>
        <v>88</v>
      </c>
    </row>
    <row r="54" spans="2:36" x14ac:dyDescent="0.25">
      <c r="C54" t="s">
        <v>86</v>
      </c>
      <c r="D54" t="s">
        <v>20</v>
      </c>
      <c r="E54" t="s">
        <v>10</v>
      </c>
      <c r="F54" s="25"/>
      <c r="G54" s="25"/>
      <c r="H54" s="25"/>
      <c r="I54" s="25"/>
      <c r="J54" s="25"/>
      <c r="K54" s="25"/>
      <c r="L54" s="25"/>
      <c r="M54" s="25">
        <v>11</v>
      </c>
      <c r="N54" s="25">
        <v>22</v>
      </c>
      <c r="O54" s="25">
        <v>22</v>
      </c>
      <c r="P54" s="25">
        <v>11</v>
      </c>
      <c r="Q54" s="25">
        <v>22</v>
      </c>
      <c r="R54" s="25">
        <v>11</v>
      </c>
      <c r="S54" s="25">
        <v>22</v>
      </c>
      <c r="T54" s="25">
        <v>22</v>
      </c>
      <c r="U54" s="25">
        <v>22</v>
      </c>
      <c r="V54" s="25">
        <v>22</v>
      </c>
      <c r="W54" s="25">
        <v>16</v>
      </c>
      <c r="X54" s="25">
        <v>22</v>
      </c>
      <c r="Y54" s="25">
        <v>15</v>
      </c>
      <c r="Z54" s="25">
        <v>22</v>
      </c>
      <c r="AA54" s="25">
        <v>22</v>
      </c>
      <c r="AB54" s="25">
        <v>22</v>
      </c>
      <c r="AC54" s="25">
        <v>16</v>
      </c>
      <c r="AD54" s="25">
        <v>11</v>
      </c>
      <c r="AE54" s="25">
        <v>18</v>
      </c>
      <c r="AF54" s="25">
        <v>22</v>
      </c>
      <c r="AG54" s="25">
        <v>22</v>
      </c>
      <c r="AH54" s="25">
        <v>11</v>
      </c>
      <c r="AI54" s="25">
        <v>14</v>
      </c>
      <c r="AJ54" s="25">
        <v>420</v>
      </c>
    </row>
    <row r="55" spans="2:36" x14ac:dyDescent="0.25">
      <c r="B55" t="s">
        <v>9</v>
      </c>
      <c r="C55" t="s">
        <v>9</v>
      </c>
      <c r="D55" t="s">
        <v>20</v>
      </c>
      <c r="E55" t="s">
        <v>10</v>
      </c>
      <c r="F55" s="25">
        <v>22</v>
      </c>
      <c r="G55" s="25">
        <v>22</v>
      </c>
      <c r="H55" s="25">
        <v>22</v>
      </c>
      <c r="I55" s="25">
        <v>14</v>
      </c>
      <c r="J55" s="25">
        <v>11</v>
      </c>
      <c r="K55" s="25">
        <v>11</v>
      </c>
      <c r="L55" s="25">
        <v>11</v>
      </c>
      <c r="M55" s="25">
        <v>11</v>
      </c>
      <c r="N55" s="25">
        <v>11</v>
      </c>
      <c r="O55" s="25">
        <v>11</v>
      </c>
      <c r="P55" s="25">
        <v>11</v>
      </c>
      <c r="Q55" s="25">
        <v>11</v>
      </c>
      <c r="R55" s="25">
        <v>11</v>
      </c>
      <c r="S55" s="25">
        <v>11</v>
      </c>
      <c r="T55" s="25">
        <v>11</v>
      </c>
      <c r="U55" s="25">
        <v>11</v>
      </c>
      <c r="V55" s="25">
        <v>11</v>
      </c>
      <c r="W55" s="25">
        <v>11</v>
      </c>
      <c r="X55" s="25">
        <v>11</v>
      </c>
      <c r="Y55" s="25">
        <v>11</v>
      </c>
      <c r="Z55" s="25">
        <v>11</v>
      </c>
      <c r="AA55" s="25">
        <v>11</v>
      </c>
      <c r="AB55" s="25">
        <v>11</v>
      </c>
      <c r="AC55" s="25">
        <v>11</v>
      </c>
      <c r="AD55" s="25">
        <v>11</v>
      </c>
      <c r="AE55" s="25">
        <v>11</v>
      </c>
      <c r="AF55" s="25">
        <v>11</v>
      </c>
      <c r="AG55" s="25">
        <v>11</v>
      </c>
      <c r="AH55" s="25">
        <v>11</v>
      </c>
      <c r="AI55" s="25">
        <v>11</v>
      </c>
      <c r="AJ55" s="25">
        <v>366</v>
      </c>
    </row>
    <row r="56" spans="2:36" ht="18" customHeight="1" x14ac:dyDescent="0.25">
      <c r="E56" t="s">
        <v>24</v>
      </c>
      <c r="F56" s="25"/>
      <c r="G56" s="25"/>
      <c r="H56" s="25"/>
      <c r="I56" s="25">
        <v>5</v>
      </c>
      <c r="J56" s="25">
        <v>8</v>
      </c>
      <c r="K56" s="25">
        <v>8</v>
      </c>
      <c r="L56" s="25">
        <v>8</v>
      </c>
      <c r="M56" s="25">
        <v>8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>
        <v>8</v>
      </c>
      <c r="AH56" s="25">
        <v>8</v>
      </c>
      <c r="AI56" s="25">
        <v>8</v>
      </c>
      <c r="AJ56" s="25">
        <v>61</v>
      </c>
    </row>
    <row r="57" spans="2:36" x14ac:dyDescent="0.25">
      <c r="E57" t="s">
        <v>29</v>
      </c>
      <c r="F57" s="25"/>
      <c r="G57" s="25"/>
      <c r="H57" s="25"/>
      <c r="I57" s="25"/>
      <c r="J57" s="25"/>
      <c r="K57" s="25"/>
      <c r="L57" s="25"/>
      <c r="M57" s="25"/>
      <c r="N57" s="25">
        <v>8</v>
      </c>
      <c r="O57" s="25">
        <v>8</v>
      </c>
      <c r="P57" s="25">
        <v>8</v>
      </c>
      <c r="Q57" s="25">
        <v>8</v>
      </c>
      <c r="R57" s="25"/>
      <c r="S57" s="25"/>
      <c r="T57" s="25">
        <v>8</v>
      </c>
      <c r="U57" s="25">
        <v>8</v>
      </c>
      <c r="V57" s="25">
        <v>8</v>
      </c>
      <c r="W57" s="25">
        <v>8</v>
      </c>
      <c r="X57" s="25">
        <v>8</v>
      </c>
      <c r="Y57" s="25"/>
      <c r="Z57" s="25"/>
      <c r="AA57" s="25">
        <v>8</v>
      </c>
      <c r="AB57" s="25">
        <v>8</v>
      </c>
      <c r="AC57" s="25">
        <v>8</v>
      </c>
      <c r="AD57" s="25">
        <v>8</v>
      </c>
      <c r="AE57" s="25">
        <v>8</v>
      </c>
      <c r="AF57" s="25"/>
      <c r="AG57" s="25"/>
      <c r="AH57" s="25">
        <v>8</v>
      </c>
      <c r="AI57" s="25">
        <v>8</v>
      </c>
      <c r="AJ57" s="25">
        <v>128</v>
      </c>
    </row>
    <row r="58" spans="2:36" x14ac:dyDescent="0.25">
      <c r="E58" t="s">
        <v>30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>
        <v>1</v>
      </c>
      <c r="S58" s="25">
        <v>1</v>
      </c>
      <c r="T58" s="25"/>
      <c r="U58" s="25"/>
      <c r="V58" s="25"/>
      <c r="W58" s="25"/>
      <c r="X58" s="25"/>
      <c r="Y58" s="25">
        <v>1</v>
      </c>
      <c r="Z58" s="25">
        <v>1</v>
      </c>
      <c r="AA58" s="25"/>
      <c r="AB58" s="25"/>
      <c r="AC58" s="25"/>
      <c r="AD58" s="25"/>
      <c r="AE58" s="25"/>
      <c r="AF58" s="25">
        <v>1</v>
      </c>
      <c r="AG58" s="25">
        <v>1</v>
      </c>
      <c r="AH58" s="25"/>
      <c r="AI58" s="25"/>
      <c r="AJ58" s="25">
        <v>6</v>
      </c>
    </row>
    <row r="59" spans="2:36" x14ac:dyDescent="0.25">
      <c r="E59" t="s">
        <v>52</v>
      </c>
      <c r="F59" s="25">
        <v>1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25">
        <v>1</v>
      </c>
      <c r="M59" s="25">
        <v>1</v>
      </c>
      <c r="N59" s="25">
        <v>1</v>
      </c>
      <c r="O59" s="25">
        <v>1</v>
      </c>
      <c r="P59" s="25">
        <v>1</v>
      </c>
      <c r="Q59" s="25">
        <v>1</v>
      </c>
      <c r="R59" s="25">
        <v>1</v>
      </c>
      <c r="S59" s="25">
        <v>1</v>
      </c>
      <c r="T59" s="25">
        <v>1</v>
      </c>
      <c r="U59" s="25">
        <v>1</v>
      </c>
      <c r="V59" s="25">
        <v>1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25">
        <v>1</v>
      </c>
      <c r="AI59" s="25">
        <v>1</v>
      </c>
      <c r="AJ59" s="25">
        <v>30</v>
      </c>
    </row>
    <row r="60" spans="2:36" x14ac:dyDescent="0.25">
      <c r="B60" t="s">
        <v>26</v>
      </c>
      <c r="C60" t="s">
        <v>26</v>
      </c>
      <c r="D60" t="s">
        <v>20</v>
      </c>
      <c r="E60" t="s">
        <v>10</v>
      </c>
      <c r="F60" s="25">
        <v>11</v>
      </c>
      <c r="G60" s="25">
        <v>11</v>
      </c>
      <c r="H60" s="25">
        <v>11</v>
      </c>
      <c r="I60" s="25">
        <v>11</v>
      </c>
      <c r="J60" s="25">
        <v>11</v>
      </c>
      <c r="K60" s="25">
        <v>11</v>
      </c>
      <c r="L60" s="25">
        <v>11</v>
      </c>
      <c r="M60" s="25">
        <v>11</v>
      </c>
      <c r="N60" s="25">
        <v>11</v>
      </c>
      <c r="O60" s="25">
        <v>11</v>
      </c>
      <c r="P60" s="25">
        <v>11</v>
      </c>
      <c r="Q60" s="25">
        <v>11</v>
      </c>
      <c r="R60" s="25">
        <v>11</v>
      </c>
      <c r="S60" s="25">
        <v>11</v>
      </c>
      <c r="T60" s="25">
        <v>11</v>
      </c>
      <c r="U60" s="25">
        <v>11</v>
      </c>
      <c r="V60" s="25">
        <v>11</v>
      </c>
      <c r="W60" s="25">
        <v>11</v>
      </c>
      <c r="X60" s="25">
        <v>11</v>
      </c>
      <c r="Y60" s="25">
        <v>11</v>
      </c>
      <c r="Z60" s="25">
        <v>11</v>
      </c>
      <c r="AA60" s="25">
        <v>11</v>
      </c>
      <c r="AB60" s="25"/>
      <c r="AC60" s="25"/>
      <c r="AD60" s="25"/>
      <c r="AE60" s="25"/>
      <c r="AF60" s="25"/>
      <c r="AG60" s="25"/>
      <c r="AH60" s="25"/>
      <c r="AI60" s="25"/>
      <c r="AJ60" s="25">
        <v>242</v>
      </c>
    </row>
    <row r="61" spans="2:36" x14ac:dyDescent="0.25">
      <c r="E61" t="s">
        <v>24</v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>
        <v>8</v>
      </c>
      <c r="AC61" s="25">
        <v>8</v>
      </c>
      <c r="AD61" s="25">
        <v>8</v>
      </c>
      <c r="AE61" s="25">
        <v>8</v>
      </c>
      <c r="AF61" s="25"/>
      <c r="AG61" s="25"/>
      <c r="AH61" s="25"/>
      <c r="AI61" s="25"/>
      <c r="AJ61" s="25">
        <v>32</v>
      </c>
    </row>
    <row r="62" spans="2:36" x14ac:dyDescent="0.25">
      <c r="E62" t="s">
        <v>29</v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>
        <v>8</v>
      </c>
      <c r="AE62" s="25">
        <v>8</v>
      </c>
      <c r="AF62" s="25"/>
      <c r="AG62" s="25"/>
      <c r="AH62" s="25">
        <v>16</v>
      </c>
      <c r="AI62" s="25">
        <v>16</v>
      </c>
      <c r="AJ62" s="25">
        <v>48</v>
      </c>
    </row>
    <row r="63" spans="2:36" x14ac:dyDescent="0.25">
      <c r="E63" t="s">
        <v>30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>
        <v>2</v>
      </c>
      <c r="AG63" s="25">
        <v>2</v>
      </c>
      <c r="AH63" s="25"/>
      <c r="AI63" s="25"/>
      <c r="AJ63" s="25">
        <v>4</v>
      </c>
    </row>
    <row r="64" spans="2:36" x14ac:dyDescent="0.25">
      <c r="E64" t="s">
        <v>48</v>
      </c>
      <c r="F64" s="25">
        <v>1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5">
        <v>1</v>
      </c>
      <c r="M64" s="25">
        <v>1</v>
      </c>
      <c r="N64" s="25">
        <v>1</v>
      </c>
      <c r="O64" s="25">
        <v>1</v>
      </c>
      <c r="P64" s="25">
        <v>1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5">
        <v>1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B64" s="25">
        <v>1</v>
      </c>
      <c r="AC64" s="25">
        <v>1</v>
      </c>
      <c r="AD64" s="25"/>
      <c r="AE64" s="25"/>
      <c r="AF64" s="25"/>
      <c r="AG64" s="25"/>
      <c r="AH64" s="25"/>
      <c r="AI64" s="25"/>
      <c r="AJ64" s="25">
        <v>24</v>
      </c>
    </row>
    <row r="65" spans="1:38" x14ac:dyDescent="0.25">
      <c r="B65" t="s">
        <v>28</v>
      </c>
      <c r="C65" t="s">
        <v>28</v>
      </c>
      <c r="D65" t="s">
        <v>20</v>
      </c>
      <c r="E65" t="s">
        <v>10</v>
      </c>
      <c r="F65" s="25">
        <v>229</v>
      </c>
      <c r="G65" s="25">
        <v>207</v>
      </c>
      <c r="H65" s="25">
        <v>196</v>
      </c>
      <c r="I65" s="25">
        <v>218</v>
      </c>
      <c r="J65" s="25">
        <v>142</v>
      </c>
      <c r="K65" s="25">
        <v>142</v>
      </c>
      <c r="L65" s="25">
        <v>153</v>
      </c>
      <c r="M65" s="25">
        <v>207</v>
      </c>
      <c r="N65" s="25">
        <v>229</v>
      </c>
      <c r="O65" s="25">
        <v>197</v>
      </c>
      <c r="P65" s="25">
        <v>219</v>
      </c>
      <c r="Q65" s="25">
        <v>208</v>
      </c>
      <c r="R65" s="25">
        <v>208</v>
      </c>
      <c r="S65" s="25">
        <v>186</v>
      </c>
      <c r="T65" s="25">
        <v>186</v>
      </c>
      <c r="U65" s="25">
        <v>187</v>
      </c>
      <c r="V65" s="25">
        <v>187</v>
      </c>
      <c r="W65" s="25">
        <v>187</v>
      </c>
      <c r="X65" s="25">
        <v>176</v>
      </c>
      <c r="Y65" s="25">
        <v>187</v>
      </c>
      <c r="Z65" s="25">
        <v>188</v>
      </c>
      <c r="AA65" s="25">
        <v>177</v>
      </c>
      <c r="AB65" s="25">
        <v>177</v>
      </c>
      <c r="AC65" s="25">
        <v>175</v>
      </c>
      <c r="AD65" s="25">
        <v>175</v>
      </c>
      <c r="AE65" s="25">
        <v>175</v>
      </c>
      <c r="AF65" s="25">
        <v>164</v>
      </c>
      <c r="AG65" s="25">
        <v>164</v>
      </c>
      <c r="AH65" s="25">
        <v>164</v>
      </c>
      <c r="AI65" s="25">
        <v>164</v>
      </c>
      <c r="AJ65" s="25">
        <v>5574</v>
      </c>
    </row>
    <row r="66" spans="1:38" x14ac:dyDescent="0.25">
      <c r="E66" t="s">
        <v>24</v>
      </c>
      <c r="F66" s="25"/>
      <c r="G66" s="25"/>
      <c r="H66" s="25"/>
      <c r="I66" s="25">
        <v>24</v>
      </c>
      <c r="J66" s="25">
        <v>24</v>
      </c>
      <c r="K66" s="25">
        <v>24</v>
      </c>
      <c r="L66" s="25">
        <v>32</v>
      </c>
      <c r="M66" s="25">
        <v>32</v>
      </c>
      <c r="N66" s="25">
        <v>24</v>
      </c>
      <c r="O66" s="25">
        <v>40</v>
      </c>
      <c r="P66" s="25">
        <v>32</v>
      </c>
      <c r="Q66" s="25">
        <v>32</v>
      </c>
      <c r="R66" s="25">
        <v>24</v>
      </c>
      <c r="S66" s="25"/>
      <c r="T66" s="25"/>
      <c r="U66" s="25"/>
      <c r="V66" s="25">
        <v>16</v>
      </c>
      <c r="W66" s="25">
        <v>16</v>
      </c>
      <c r="X66" s="25">
        <v>24</v>
      </c>
      <c r="Y66" s="25">
        <v>16</v>
      </c>
      <c r="Z66" s="25">
        <v>16</v>
      </c>
      <c r="AA66" s="25">
        <v>24</v>
      </c>
      <c r="AB66" s="25">
        <v>8</v>
      </c>
      <c r="AC66" s="25">
        <v>8</v>
      </c>
      <c r="AD66" s="25"/>
      <c r="AE66" s="25"/>
      <c r="AF66" s="25">
        <v>8</v>
      </c>
      <c r="AG66" s="25">
        <v>8</v>
      </c>
      <c r="AH66" s="25">
        <v>8</v>
      </c>
      <c r="AI66" s="25">
        <v>8</v>
      </c>
      <c r="AJ66" s="25">
        <v>448</v>
      </c>
    </row>
    <row r="67" spans="1:38" x14ac:dyDescent="0.25">
      <c r="E67" t="s">
        <v>29</v>
      </c>
      <c r="F67" s="25">
        <v>40</v>
      </c>
      <c r="G67" s="25">
        <v>40</v>
      </c>
      <c r="H67" s="25">
        <v>32</v>
      </c>
      <c r="I67" s="25">
        <v>32</v>
      </c>
      <c r="J67" s="25">
        <v>32</v>
      </c>
      <c r="K67" s="25"/>
      <c r="L67" s="25"/>
      <c r="M67" s="25">
        <v>32</v>
      </c>
      <c r="N67" s="25">
        <v>40</v>
      </c>
      <c r="O67" s="25">
        <v>40</v>
      </c>
      <c r="P67" s="25">
        <v>40</v>
      </c>
      <c r="Q67" s="25">
        <v>40</v>
      </c>
      <c r="R67" s="25"/>
      <c r="S67" s="25"/>
      <c r="T67" s="25">
        <v>72</v>
      </c>
      <c r="U67" s="25">
        <v>72</v>
      </c>
      <c r="V67" s="25">
        <v>72</v>
      </c>
      <c r="W67" s="25">
        <v>72</v>
      </c>
      <c r="X67" s="25">
        <v>72</v>
      </c>
      <c r="Y67" s="25"/>
      <c r="Z67" s="25"/>
      <c r="AA67" s="25">
        <v>72</v>
      </c>
      <c r="AB67" s="25">
        <v>88</v>
      </c>
      <c r="AC67" s="25">
        <v>88</v>
      </c>
      <c r="AD67" s="25">
        <v>96</v>
      </c>
      <c r="AE67" s="25">
        <v>96</v>
      </c>
      <c r="AF67" s="25"/>
      <c r="AG67" s="25"/>
      <c r="AH67" s="25">
        <v>96</v>
      </c>
      <c r="AI67" s="25">
        <v>96</v>
      </c>
      <c r="AJ67" s="25">
        <v>1360</v>
      </c>
    </row>
    <row r="68" spans="1:38" x14ac:dyDescent="0.25">
      <c r="E68" t="s">
        <v>30</v>
      </c>
      <c r="F68" s="25">
        <v>3</v>
      </c>
      <c r="G68" s="25">
        <v>4</v>
      </c>
      <c r="H68" s="25">
        <v>4</v>
      </c>
      <c r="I68" s="25"/>
      <c r="J68" s="25"/>
      <c r="K68" s="25">
        <v>4</v>
      </c>
      <c r="L68" s="25">
        <v>3</v>
      </c>
      <c r="M68" s="25"/>
      <c r="N68" s="25"/>
      <c r="O68" s="25"/>
      <c r="P68" s="25"/>
      <c r="Q68" s="25"/>
      <c r="R68" s="25">
        <v>6</v>
      </c>
      <c r="S68" s="25">
        <v>9</v>
      </c>
      <c r="T68" s="25"/>
      <c r="U68" s="25"/>
      <c r="V68" s="25"/>
      <c r="W68" s="25"/>
      <c r="X68" s="25"/>
      <c r="Y68" s="25">
        <v>9</v>
      </c>
      <c r="Z68" s="25">
        <v>9</v>
      </c>
      <c r="AA68" s="25"/>
      <c r="AB68" s="25"/>
      <c r="AC68" s="25"/>
      <c r="AD68" s="25"/>
      <c r="AE68" s="25"/>
      <c r="AF68" s="25">
        <v>12</v>
      </c>
      <c r="AG68" s="25">
        <v>12</v>
      </c>
      <c r="AH68" s="25"/>
      <c r="AI68" s="25"/>
      <c r="AJ68" s="25">
        <v>75</v>
      </c>
    </row>
    <row r="69" spans="1:38" x14ac:dyDescent="0.25">
      <c r="E69" t="s">
        <v>38</v>
      </c>
      <c r="F69" s="25"/>
      <c r="G69" s="25"/>
      <c r="H69" s="25"/>
      <c r="I69" s="25"/>
      <c r="J69" s="25">
        <v>55</v>
      </c>
      <c r="K69" s="25">
        <v>55</v>
      </c>
      <c r="L69" s="25">
        <v>55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>
        <v>165</v>
      </c>
    </row>
    <row r="70" spans="1:38" x14ac:dyDescent="0.25">
      <c r="E70" t="s">
        <v>44</v>
      </c>
      <c r="F70" s="25">
        <v>2</v>
      </c>
      <c r="G70" s="25">
        <v>2</v>
      </c>
      <c r="H70" s="25">
        <v>2</v>
      </c>
      <c r="I70" s="25">
        <v>2</v>
      </c>
      <c r="J70" s="25">
        <v>2</v>
      </c>
      <c r="K70" s="25">
        <v>2</v>
      </c>
      <c r="L70" s="25">
        <v>2</v>
      </c>
      <c r="M70" s="25">
        <v>2</v>
      </c>
      <c r="N70" s="25">
        <v>2</v>
      </c>
      <c r="O70" s="25">
        <v>2</v>
      </c>
      <c r="P70" s="25">
        <v>2</v>
      </c>
      <c r="Q70" s="25">
        <v>2</v>
      </c>
      <c r="R70" s="25">
        <v>2</v>
      </c>
      <c r="S70" s="25">
        <v>2</v>
      </c>
      <c r="T70" s="25">
        <v>2</v>
      </c>
      <c r="U70" s="25">
        <v>2</v>
      </c>
      <c r="V70" s="25">
        <v>1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25">
        <v>1</v>
      </c>
      <c r="AI70" s="25">
        <v>1</v>
      </c>
      <c r="AJ70" s="25">
        <v>46</v>
      </c>
    </row>
    <row r="71" spans="1:38" x14ac:dyDescent="0.25">
      <c r="E71" t="s">
        <v>52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>
        <v>1</v>
      </c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>
        <v>1</v>
      </c>
    </row>
    <row r="72" spans="1:38" x14ac:dyDescent="0.25">
      <c r="E72" t="s">
        <v>81</v>
      </c>
      <c r="F72" s="25">
        <v>1</v>
      </c>
      <c r="G72" s="25">
        <v>1</v>
      </c>
      <c r="H72" s="25">
        <v>2</v>
      </c>
      <c r="I72" s="25">
        <v>2</v>
      </c>
      <c r="J72" s="25">
        <v>2</v>
      </c>
      <c r="K72" s="25">
        <v>2</v>
      </c>
      <c r="L72" s="25">
        <v>2</v>
      </c>
      <c r="M72" s="25">
        <v>1</v>
      </c>
      <c r="N72" s="25">
        <v>1</v>
      </c>
      <c r="O72" s="25">
        <v>1</v>
      </c>
      <c r="P72" s="25">
        <v>1</v>
      </c>
      <c r="Q72" s="25">
        <v>1</v>
      </c>
      <c r="R72" s="25">
        <v>1</v>
      </c>
      <c r="S72" s="25">
        <v>1</v>
      </c>
      <c r="T72" s="25">
        <v>1</v>
      </c>
      <c r="U72" s="25">
        <v>1</v>
      </c>
      <c r="V72" s="25">
        <v>1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25">
        <v>1</v>
      </c>
      <c r="AI72" s="25">
        <v>1</v>
      </c>
      <c r="AJ72" s="25">
        <v>35</v>
      </c>
    </row>
    <row r="73" spans="1:38" x14ac:dyDescent="0.25">
      <c r="B73" t="s">
        <v>32</v>
      </c>
      <c r="C73" t="s">
        <v>31</v>
      </c>
      <c r="D73" t="s">
        <v>20</v>
      </c>
      <c r="E73" t="s">
        <v>10</v>
      </c>
      <c r="F73" s="25">
        <v>154</v>
      </c>
      <c r="G73" s="25">
        <v>132</v>
      </c>
      <c r="H73" s="25">
        <v>132</v>
      </c>
      <c r="I73" s="25">
        <v>154</v>
      </c>
      <c r="J73" s="25">
        <v>121</v>
      </c>
      <c r="K73" s="25">
        <v>132</v>
      </c>
      <c r="L73" s="25">
        <v>132</v>
      </c>
      <c r="M73" s="25">
        <v>154</v>
      </c>
      <c r="N73" s="25">
        <v>143</v>
      </c>
      <c r="O73" s="25">
        <v>121</v>
      </c>
      <c r="P73" s="25">
        <v>138</v>
      </c>
      <c r="Q73" s="25">
        <v>127</v>
      </c>
      <c r="R73" s="25">
        <v>132</v>
      </c>
      <c r="S73" s="25">
        <v>127</v>
      </c>
      <c r="T73" s="25">
        <v>116</v>
      </c>
      <c r="U73" s="25">
        <v>136</v>
      </c>
      <c r="V73" s="25">
        <v>139</v>
      </c>
      <c r="W73" s="25">
        <v>110</v>
      </c>
      <c r="X73" s="25">
        <v>137</v>
      </c>
      <c r="Y73" s="25">
        <v>138</v>
      </c>
      <c r="Z73" s="25">
        <v>148</v>
      </c>
      <c r="AA73" s="25">
        <v>132</v>
      </c>
      <c r="AB73" s="25">
        <v>110</v>
      </c>
      <c r="AC73" s="25">
        <v>121</v>
      </c>
      <c r="AD73" s="25">
        <v>138</v>
      </c>
      <c r="AE73" s="25">
        <v>137</v>
      </c>
      <c r="AF73" s="25">
        <v>126</v>
      </c>
      <c r="AG73" s="25">
        <v>115</v>
      </c>
      <c r="AH73" s="25">
        <v>110</v>
      </c>
      <c r="AI73" s="25">
        <v>99</v>
      </c>
      <c r="AJ73" s="25">
        <v>3911</v>
      </c>
    </row>
    <row r="74" spans="1:38" x14ac:dyDescent="0.25">
      <c r="E74" t="s">
        <v>24</v>
      </c>
      <c r="F74" s="25"/>
      <c r="G74" s="25"/>
      <c r="H74" s="25"/>
      <c r="I74" s="25"/>
      <c r="J74" s="25"/>
      <c r="K74" s="25"/>
      <c r="L74" s="25"/>
      <c r="M74" s="25"/>
      <c r="N74" s="25">
        <v>8</v>
      </c>
      <c r="O74" s="25">
        <v>24</v>
      </c>
      <c r="P74" s="25">
        <v>8</v>
      </c>
      <c r="Q74" s="25">
        <v>8</v>
      </c>
      <c r="R74" s="25"/>
      <c r="S74" s="25">
        <v>8</v>
      </c>
      <c r="T74" s="25">
        <v>8</v>
      </c>
      <c r="U74" s="25">
        <v>8</v>
      </c>
      <c r="V74" s="25">
        <v>16</v>
      </c>
      <c r="W74" s="25">
        <v>8</v>
      </c>
      <c r="X74" s="25">
        <v>8</v>
      </c>
      <c r="Y74" s="25"/>
      <c r="Z74" s="25"/>
      <c r="AA74" s="25">
        <v>8</v>
      </c>
      <c r="AB74" s="25">
        <v>8</v>
      </c>
      <c r="AC74" s="25">
        <v>8</v>
      </c>
      <c r="AD74" s="25"/>
      <c r="AE74" s="25"/>
      <c r="AF74" s="25"/>
      <c r="AG74" s="25"/>
      <c r="AH74" s="25">
        <v>16</v>
      </c>
      <c r="AI74" s="25">
        <v>16</v>
      </c>
      <c r="AJ74" s="25">
        <v>160</v>
      </c>
    </row>
    <row r="75" spans="1:38" s="6" customFormat="1" x14ac:dyDescent="0.25">
      <c r="A75"/>
      <c r="B75"/>
      <c r="C75"/>
      <c r="D75"/>
      <c r="E75" t="s">
        <v>23</v>
      </c>
      <c r="F75" s="25">
        <v>11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>
        <v>11</v>
      </c>
      <c r="AK75"/>
      <c r="AL75"/>
    </row>
    <row r="76" spans="1:38" x14ac:dyDescent="0.25">
      <c r="E76" t="s">
        <v>29</v>
      </c>
      <c r="F76" s="25">
        <v>24</v>
      </c>
      <c r="G76" s="25">
        <v>24</v>
      </c>
      <c r="H76" s="25">
        <v>24</v>
      </c>
      <c r="I76" s="25">
        <v>24</v>
      </c>
      <c r="J76" s="25">
        <v>24</v>
      </c>
      <c r="K76" s="25"/>
      <c r="L76" s="25"/>
      <c r="M76" s="25">
        <v>24</v>
      </c>
      <c r="N76" s="25">
        <v>16</v>
      </c>
      <c r="O76" s="25">
        <v>8</v>
      </c>
      <c r="P76" s="25">
        <v>8</v>
      </c>
      <c r="Q76" s="25">
        <v>8</v>
      </c>
      <c r="R76" s="25"/>
      <c r="S76" s="25"/>
      <c r="T76" s="25">
        <v>24</v>
      </c>
      <c r="U76" s="25">
        <v>24</v>
      </c>
      <c r="V76" s="25">
        <v>16</v>
      </c>
      <c r="W76" s="25">
        <v>24</v>
      </c>
      <c r="X76" s="25">
        <v>24</v>
      </c>
      <c r="Y76" s="25"/>
      <c r="Z76" s="25"/>
      <c r="AA76" s="25">
        <v>24</v>
      </c>
      <c r="AB76" s="25">
        <v>24</v>
      </c>
      <c r="AC76" s="25">
        <v>24</v>
      </c>
      <c r="AD76" s="25">
        <v>32</v>
      </c>
      <c r="AE76" s="25">
        <v>32</v>
      </c>
      <c r="AF76" s="25"/>
      <c r="AG76" s="25"/>
      <c r="AH76" s="25">
        <v>32</v>
      </c>
      <c r="AI76" s="25">
        <v>32</v>
      </c>
      <c r="AJ76" s="25">
        <v>496</v>
      </c>
    </row>
    <row r="77" spans="1:38" x14ac:dyDescent="0.25">
      <c r="E77" t="s">
        <v>30</v>
      </c>
      <c r="F77" s="25"/>
      <c r="G77" s="25"/>
      <c r="H77" s="25"/>
      <c r="I77" s="25"/>
      <c r="J77" s="25"/>
      <c r="K77" s="25">
        <v>3</v>
      </c>
      <c r="L77" s="25">
        <v>3</v>
      </c>
      <c r="M77" s="25"/>
      <c r="N77" s="25"/>
      <c r="O77" s="25"/>
      <c r="P77" s="25"/>
      <c r="Q77" s="25"/>
      <c r="R77" s="25">
        <v>2</v>
      </c>
      <c r="S77" s="25">
        <v>2</v>
      </c>
      <c r="T77" s="25"/>
      <c r="U77" s="25"/>
      <c r="V77" s="25"/>
      <c r="W77" s="25"/>
      <c r="X77" s="25"/>
      <c r="Y77" s="25">
        <v>3</v>
      </c>
      <c r="Z77" s="25">
        <v>3</v>
      </c>
      <c r="AA77" s="25"/>
      <c r="AB77" s="25"/>
      <c r="AC77" s="25"/>
      <c r="AD77" s="25"/>
      <c r="AE77" s="25"/>
      <c r="AF77" s="25">
        <v>4</v>
      </c>
      <c r="AG77" s="25">
        <v>4</v>
      </c>
      <c r="AH77" s="25"/>
      <c r="AI77" s="25"/>
      <c r="AJ77" s="25">
        <v>24</v>
      </c>
    </row>
    <row r="78" spans="1:38" x14ac:dyDescent="0.25">
      <c r="E78" t="s">
        <v>38</v>
      </c>
      <c r="F78" s="25"/>
      <c r="G78" s="25">
        <v>11</v>
      </c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>
        <v>11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>
        <v>11</v>
      </c>
      <c r="AH78" s="25"/>
      <c r="AI78" s="25"/>
      <c r="AJ78" s="25">
        <v>33</v>
      </c>
    </row>
    <row r="79" spans="1:38" x14ac:dyDescent="0.25">
      <c r="E79" t="s">
        <v>70</v>
      </c>
      <c r="F79" s="25"/>
      <c r="G79" s="25"/>
      <c r="H79" s="25"/>
      <c r="I79" s="25"/>
      <c r="J79" s="25">
        <v>11</v>
      </c>
      <c r="K79" s="25"/>
      <c r="L79" s="25"/>
      <c r="M79" s="25"/>
      <c r="N79" s="25"/>
      <c r="O79" s="25">
        <v>22</v>
      </c>
      <c r="P79" s="25">
        <v>5</v>
      </c>
      <c r="Q79" s="25">
        <v>5</v>
      </c>
      <c r="R79" s="25">
        <v>11</v>
      </c>
      <c r="S79" s="25">
        <v>5</v>
      </c>
      <c r="T79" s="25">
        <v>5</v>
      </c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>
        <v>64</v>
      </c>
    </row>
    <row r="80" spans="1:38" x14ac:dyDescent="0.25">
      <c r="E80" t="s">
        <v>50</v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>
        <v>11</v>
      </c>
      <c r="Q80" s="25">
        <v>11</v>
      </c>
      <c r="R80" s="25"/>
      <c r="S80" s="25">
        <v>11</v>
      </c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>
        <v>33</v>
      </c>
    </row>
    <row r="81" spans="2:36" x14ac:dyDescent="0.25">
      <c r="C81" t="s">
        <v>32</v>
      </c>
      <c r="D81" t="s">
        <v>20</v>
      </c>
      <c r="E81" t="s">
        <v>52</v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>
        <v>1</v>
      </c>
      <c r="AF81" s="25">
        <v>1</v>
      </c>
      <c r="AG81" s="25">
        <v>1</v>
      </c>
      <c r="AH81" s="25">
        <v>1</v>
      </c>
      <c r="AI81" s="25">
        <v>1</v>
      </c>
      <c r="AJ81" s="25">
        <v>5</v>
      </c>
    </row>
    <row r="82" spans="2:36" x14ac:dyDescent="0.25">
      <c r="B82" t="s">
        <v>33</v>
      </c>
      <c r="C82" t="s">
        <v>33</v>
      </c>
      <c r="D82" t="s">
        <v>20</v>
      </c>
      <c r="E82" t="s">
        <v>10</v>
      </c>
      <c r="F82" s="25">
        <v>11</v>
      </c>
      <c r="G82" s="25">
        <v>11</v>
      </c>
      <c r="H82" s="25">
        <v>11</v>
      </c>
      <c r="I82" s="25">
        <v>11</v>
      </c>
      <c r="J82" s="25">
        <v>11</v>
      </c>
      <c r="K82" s="25">
        <v>11</v>
      </c>
      <c r="L82" s="25">
        <v>11</v>
      </c>
      <c r="M82" s="25">
        <v>11</v>
      </c>
      <c r="N82" s="25">
        <v>11</v>
      </c>
      <c r="O82" s="25">
        <v>11</v>
      </c>
      <c r="P82" s="25">
        <v>11</v>
      </c>
      <c r="Q82" s="25">
        <v>11</v>
      </c>
      <c r="R82" s="25">
        <v>11</v>
      </c>
      <c r="S82" s="25">
        <v>11</v>
      </c>
      <c r="T82" s="25">
        <v>11</v>
      </c>
      <c r="U82" s="25">
        <v>11</v>
      </c>
      <c r="V82" s="25">
        <v>11</v>
      </c>
      <c r="W82" s="25">
        <v>11</v>
      </c>
      <c r="X82" s="25">
        <v>11</v>
      </c>
      <c r="Y82" s="25">
        <v>11</v>
      </c>
      <c r="Z82" s="25">
        <v>11</v>
      </c>
      <c r="AA82" s="25">
        <v>11</v>
      </c>
      <c r="AB82" s="25">
        <v>11</v>
      </c>
      <c r="AC82" s="25">
        <v>11</v>
      </c>
      <c r="AD82" s="25">
        <v>11</v>
      </c>
      <c r="AE82" s="25">
        <v>11</v>
      </c>
      <c r="AF82" s="25">
        <v>11</v>
      </c>
      <c r="AG82" s="25">
        <v>11</v>
      </c>
      <c r="AH82" s="25">
        <v>11</v>
      </c>
      <c r="AI82" s="25">
        <v>11</v>
      </c>
      <c r="AJ82" s="25">
        <v>330</v>
      </c>
    </row>
    <row r="83" spans="2:36" x14ac:dyDescent="0.25">
      <c r="E83" t="s">
        <v>29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>
        <v>8</v>
      </c>
      <c r="Q83" s="25">
        <v>8</v>
      </c>
      <c r="R83" s="25"/>
      <c r="S83" s="25"/>
      <c r="T83" s="25">
        <v>8</v>
      </c>
      <c r="U83" s="25">
        <v>8</v>
      </c>
      <c r="V83" s="25">
        <v>8</v>
      </c>
      <c r="W83" s="25">
        <v>8</v>
      </c>
      <c r="X83" s="25">
        <v>8</v>
      </c>
      <c r="Y83" s="25"/>
      <c r="Z83" s="25"/>
      <c r="AA83" s="25">
        <v>8</v>
      </c>
      <c r="AB83" s="25">
        <v>8</v>
      </c>
      <c r="AC83" s="25">
        <v>8</v>
      </c>
      <c r="AD83" s="25"/>
      <c r="AE83" s="25"/>
      <c r="AF83" s="25"/>
      <c r="AG83" s="25"/>
      <c r="AH83" s="25"/>
      <c r="AI83" s="25"/>
      <c r="AJ83" s="25">
        <v>80</v>
      </c>
    </row>
    <row r="84" spans="2:36" x14ac:dyDescent="0.25">
      <c r="E84" t="s">
        <v>30</v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>
        <v>1</v>
      </c>
      <c r="S84" s="25">
        <v>1</v>
      </c>
      <c r="T84" s="25"/>
      <c r="U84" s="25"/>
      <c r="V84" s="25"/>
      <c r="W84" s="25"/>
      <c r="X84" s="25"/>
      <c r="Y84" s="25">
        <v>1</v>
      </c>
      <c r="Z84" s="25">
        <v>1</v>
      </c>
      <c r="AA84" s="25"/>
      <c r="AB84" s="25"/>
      <c r="AC84" s="25"/>
      <c r="AD84" s="25"/>
      <c r="AE84" s="25"/>
      <c r="AF84" s="25"/>
      <c r="AG84" s="25"/>
      <c r="AH84" s="25"/>
      <c r="AI84" s="25"/>
      <c r="AJ84" s="25">
        <v>4</v>
      </c>
    </row>
    <row r="85" spans="2:36" x14ac:dyDescent="0.25">
      <c r="E85" t="s">
        <v>48</v>
      </c>
      <c r="F85" s="25">
        <v>1</v>
      </c>
      <c r="G85" s="25">
        <v>1</v>
      </c>
      <c r="H85" s="25">
        <v>1</v>
      </c>
      <c r="I85" s="25">
        <v>1</v>
      </c>
      <c r="J85" s="25">
        <v>1</v>
      </c>
      <c r="K85" s="25">
        <v>1</v>
      </c>
      <c r="L85" s="25">
        <v>1</v>
      </c>
      <c r="M85" s="25">
        <v>1</v>
      </c>
      <c r="N85" s="25">
        <v>1</v>
      </c>
      <c r="O85" s="25">
        <v>1</v>
      </c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>
        <v>1</v>
      </c>
      <c r="AE85" s="25">
        <v>1</v>
      </c>
      <c r="AF85" s="25">
        <v>1</v>
      </c>
      <c r="AG85" s="25">
        <v>1</v>
      </c>
      <c r="AH85" s="25">
        <v>1</v>
      </c>
      <c r="AI85" s="25">
        <v>1</v>
      </c>
      <c r="AJ85" s="25">
        <v>16</v>
      </c>
    </row>
    <row r="86" spans="2:36" x14ac:dyDescent="0.25">
      <c r="B86" t="s">
        <v>35</v>
      </c>
      <c r="C86" t="s">
        <v>36</v>
      </c>
      <c r="D86" t="s">
        <v>20</v>
      </c>
      <c r="E86" t="s">
        <v>10</v>
      </c>
      <c r="F86" s="25">
        <v>33</v>
      </c>
      <c r="G86" s="25">
        <v>33</v>
      </c>
      <c r="H86" s="25">
        <v>33</v>
      </c>
      <c r="I86" s="25">
        <v>33</v>
      </c>
      <c r="J86" s="25">
        <v>11</v>
      </c>
      <c r="K86" s="25">
        <v>11</v>
      </c>
      <c r="L86" s="25"/>
      <c r="M86" s="25">
        <v>11</v>
      </c>
      <c r="N86" s="25">
        <v>22</v>
      </c>
      <c r="O86" s="25">
        <v>22</v>
      </c>
      <c r="P86" s="25">
        <v>22</v>
      </c>
      <c r="Q86" s="25">
        <v>44</v>
      </c>
      <c r="R86" s="25">
        <v>44</v>
      </c>
      <c r="S86" s="25">
        <v>44</v>
      </c>
      <c r="T86" s="25">
        <v>44</v>
      </c>
      <c r="U86" s="25">
        <v>44</v>
      </c>
      <c r="V86" s="25">
        <v>44</v>
      </c>
      <c r="W86" s="25">
        <v>44</v>
      </c>
      <c r="X86" s="25">
        <v>44</v>
      </c>
      <c r="Y86" s="25">
        <v>44</v>
      </c>
      <c r="Z86" s="25">
        <v>44</v>
      </c>
      <c r="AA86" s="25">
        <v>44</v>
      </c>
      <c r="AB86" s="25">
        <v>44</v>
      </c>
      <c r="AC86" s="25">
        <v>44</v>
      </c>
      <c r="AD86" s="25">
        <v>44</v>
      </c>
      <c r="AE86" s="25">
        <v>44</v>
      </c>
      <c r="AF86" s="25">
        <v>33</v>
      </c>
      <c r="AG86" s="25">
        <v>33</v>
      </c>
      <c r="AH86" s="25">
        <v>33</v>
      </c>
      <c r="AI86" s="25">
        <v>33</v>
      </c>
      <c r="AJ86" s="25">
        <v>1023</v>
      </c>
    </row>
    <row r="87" spans="2:36" ht="15" customHeight="1" x14ac:dyDescent="0.25">
      <c r="E87" t="s">
        <v>24</v>
      </c>
      <c r="F87" s="25"/>
      <c r="G87" s="25">
        <v>8</v>
      </c>
      <c r="H87" s="25">
        <v>8</v>
      </c>
      <c r="I87" s="25">
        <v>8</v>
      </c>
      <c r="J87" s="25"/>
      <c r="K87" s="25"/>
      <c r="L87" s="25"/>
      <c r="M87" s="25"/>
      <c r="N87" s="25">
        <v>8</v>
      </c>
      <c r="O87" s="25">
        <v>8</v>
      </c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>
        <v>8</v>
      </c>
      <c r="AG87" s="25">
        <v>8</v>
      </c>
      <c r="AH87" s="25">
        <v>8</v>
      </c>
      <c r="AI87" s="25">
        <v>8</v>
      </c>
      <c r="AJ87" s="25">
        <v>72</v>
      </c>
    </row>
    <row r="88" spans="2:36" x14ac:dyDescent="0.25">
      <c r="E88" t="s">
        <v>23</v>
      </c>
      <c r="F88" s="25"/>
      <c r="G88" s="25"/>
      <c r="H88" s="25"/>
      <c r="I88" s="25"/>
      <c r="J88" s="25"/>
      <c r="K88" s="25"/>
      <c r="L88" s="25">
        <v>22</v>
      </c>
      <c r="M88" s="25">
        <v>22</v>
      </c>
      <c r="N88" s="25"/>
      <c r="O88" s="25"/>
      <c r="P88" s="25">
        <v>11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>
        <v>55</v>
      </c>
    </row>
    <row r="89" spans="2:36" x14ac:dyDescent="0.25">
      <c r="E89" t="s">
        <v>38</v>
      </c>
      <c r="F89" s="25"/>
      <c r="G89" s="25"/>
      <c r="H89" s="25"/>
      <c r="I89" s="25"/>
      <c r="J89" s="25">
        <v>22</v>
      </c>
      <c r="K89" s="25">
        <v>22</v>
      </c>
      <c r="L89" s="25">
        <v>11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>
        <v>55</v>
      </c>
    </row>
    <row r="90" spans="2:36" x14ac:dyDescent="0.25">
      <c r="E90" t="s">
        <v>70</v>
      </c>
      <c r="F90" s="25"/>
      <c r="G90" s="25"/>
      <c r="H90" s="25"/>
      <c r="I90" s="25"/>
      <c r="J90" s="25"/>
      <c r="K90" s="25"/>
      <c r="L90" s="25"/>
      <c r="M90" s="25"/>
      <c r="N90" s="25">
        <v>11</v>
      </c>
      <c r="O90" s="25">
        <v>11</v>
      </c>
      <c r="P90" s="25">
        <v>11</v>
      </c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>
        <v>33</v>
      </c>
    </row>
    <row r="91" spans="2:36" x14ac:dyDescent="0.25">
      <c r="E91" t="s">
        <v>44</v>
      </c>
      <c r="F91" s="25">
        <v>2</v>
      </c>
      <c r="G91" s="25">
        <v>1</v>
      </c>
      <c r="H91" s="25">
        <v>1</v>
      </c>
      <c r="I91" s="25">
        <v>1</v>
      </c>
      <c r="J91" s="25">
        <v>1</v>
      </c>
      <c r="K91" s="25">
        <v>1</v>
      </c>
      <c r="L91" s="25">
        <v>1</v>
      </c>
      <c r="M91" s="25">
        <v>1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>
        <v>9</v>
      </c>
    </row>
    <row r="92" spans="2:36" x14ac:dyDescent="0.25">
      <c r="B92" t="s">
        <v>39</v>
      </c>
      <c r="C92" t="s">
        <v>40</v>
      </c>
      <c r="D92" t="s">
        <v>20</v>
      </c>
      <c r="E92" t="s">
        <v>10</v>
      </c>
      <c r="F92" s="25">
        <v>44</v>
      </c>
      <c r="G92" s="25">
        <v>44</v>
      </c>
      <c r="H92" s="25">
        <v>33</v>
      </c>
      <c r="I92" s="25">
        <v>33</v>
      </c>
      <c r="J92" s="25">
        <v>44</v>
      </c>
      <c r="K92" s="25">
        <v>44</v>
      </c>
      <c r="L92" s="25">
        <v>44</v>
      </c>
      <c r="M92" s="25">
        <v>33</v>
      </c>
      <c r="N92" s="25">
        <v>44</v>
      </c>
      <c r="O92" s="25">
        <v>33</v>
      </c>
      <c r="P92" s="25">
        <v>33</v>
      </c>
      <c r="Q92" s="25">
        <v>44</v>
      </c>
      <c r="R92" s="25">
        <v>33</v>
      </c>
      <c r="S92" s="25">
        <v>22</v>
      </c>
      <c r="T92" s="25">
        <v>33</v>
      </c>
      <c r="U92" s="25">
        <v>33</v>
      </c>
      <c r="V92" s="25">
        <v>33</v>
      </c>
      <c r="W92" s="25">
        <v>44</v>
      </c>
      <c r="X92" s="25">
        <v>33</v>
      </c>
      <c r="Y92" s="25">
        <v>44</v>
      </c>
      <c r="Z92" s="25">
        <v>33</v>
      </c>
      <c r="AA92" s="25">
        <v>22</v>
      </c>
      <c r="AB92" s="25">
        <v>11</v>
      </c>
      <c r="AC92" s="25">
        <v>44</v>
      </c>
      <c r="AD92" s="25">
        <v>44</v>
      </c>
      <c r="AE92" s="25">
        <v>33</v>
      </c>
      <c r="AF92" s="25">
        <v>27</v>
      </c>
      <c r="AG92" s="25">
        <v>33</v>
      </c>
      <c r="AH92" s="25">
        <v>33</v>
      </c>
      <c r="AI92" s="25">
        <v>33</v>
      </c>
      <c r="AJ92" s="25">
        <v>1061</v>
      </c>
    </row>
    <row r="93" spans="2:36" x14ac:dyDescent="0.25">
      <c r="E93" t="s">
        <v>38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>
        <v>11</v>
      </c>
      <c r="AC93" s="25"/>
      <c r="AD93" s="25"/>
      <c r="AE93" s="25"/>
      <c r="AF93" s="25"/>
      <c r="AG93" s="25"/>
      <c r="AH93" s="25"/>
      <c r="AI93" s="25"/>
      <c r="AJ93" s="25">
        <v>11</v>
      </c>
    </row>
    <row r="94" spans="2:36" x14ac:dyDescent="0.25">
      <c r="B94" t="s">
        <v>49</v>
      </c>
      <c r="C94" t="s">
        <v>51</v>
      </c>
      <c r="D94" t="s">
        <v>20</v>
      </c>
      <c r="E94" t="s">
        <v>10</v>
      </c>
      <c r="F94" s="25">
        <v>36</v>
      </c>
      <c r="G94" s="25">
        <v>33</v>
      </c>
      <c r="H94" s="25">
        <v>33</v>
      </c>
      <c r="I94" s="25">
        <v>33</v>
      </c>
      <c r="J94" s="25">
        <v>33</v>
      </c>
      <c r="K94" s="25">
        <v>33</v>
      </c>
      <c r="L94" s="25">
        <v>33</v>
      </c>
      <c r="M94" s="25">
        <v>33</v>
      </c>
      <c r="N94" s="25">
        <v>33</v>
      </c>
      <c r="O94" s="25">
        <v>22</v>
      </c>
      <c r="P94" s="25">
        <v>22</v>
      </c>
      <c r="Q94" s="25">
        <v>22</v>
      </c>
      <c r="R94" s="25">
        <v>22</v>
      </c>
      <c r="S94" s="25">
        <v>22</v>
      </c>
      <c r="T94" s="25">
        <v>22</v>
      </c>
      <c r="U94" s="25">
        <v>22</v>
      </c>
      <c r="V94" s="25">
        <v>22</v>
      </c>
      <c r="W94" s="25">
        <v>22</v>
      </c>
      <c r="X94" s="25">
        <v>22</v>
      </c>
      <c r="Y94" s="25">
        <v>33</v>
      </c>
      <c r="Z94" s="25">
        <v>22</v>
      </c>
      <c r="AA94" s="25">
        <v>22</v>
      </c>
      <c r="AB94" s="25">
        <v>22</v>
      </c>
      <c r="AC94" s="25">
        <v>22</v>
      </c>
      <c r="AD94" s="25">
        <v>22</v>
      </c>
      <c r="AE94" s="25">
        <v>22</v>
      </c>
      <c r="AF94" s="25">
        <v>22</v>
      </c>
      <c r="AG94" s="25">
        <v>22</v>
      </c>
      <c r="AH94" s="25">
        <v>33</v>
      </c>
      <c r="AI94" s="25">
        <v>33</v>
      </c>
      <c r="AJ94" s="25">
        <v>795</v>
      </c>
    </row>
    <row r="95" spans="2:36" x14ac:dyDescent="0.25">
      <c r="E95" t="s">
        <v>24</v>
      </c>
      <c r="F95" s="25"/>
      <c r="G95" s="25"/>
      <c r="H95" s="25"/>
      <c r="I95" s="25"/>
      <c r="J95" s="25"/>
      <c r="K95" s="25"/>
      <c r="L95" s="25"/>
      <c r="M95" s="25"/>
      <c r="N95" s="25"/>
      <c r="O95" s="25">
        <v>8</v>
      </c>
      <c r="P95" s="25">
        <v>8</v>
      </c>
      <c r="Q95" s="25">
        <v>8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>
        <v>8</v>
      </c>
      <c r="AF95" s="25">
        <v>8</v>
      </c>
      <c r="AG95" s="25">
        <v>8</v>
      </c>
      <c r="AH95" s="25"/>
      <c r="AI95" s="25"/>
      <c r="AJ95" s="25">
        <v>48</v>
      </c>
    </row>
    <row r="96" spans="2:36" x14ac:dyDescent="0.25">
      <c r="E96" t="s">
        <v>23</v>
      </c>
      <c r="F96" s="25"/>
      <c r="G96" s="25"/>
      <c r="H96" s="25"/>
      <c r="I96" s="25"/>
      <c r="J96" s="25"/>
      <c r="K96" s="25"/>
      <c r="L96" s="25">
        <v>11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>
        <v>11</v>
      </c>
      <c r="X96" s="25">
        <v>11</v>
      </c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>
        <v>33</v>
      </c>
    </row>
    <row r="97" spans="2:36" x14ac:dyDescent="0.25">
      <c r="E97" t="s">
        <v>29</v>
      </c>
      <c r="F97" s="25">
        <v>8</v>
      </c>
      <c r="G97" s="25">
        <v>8</v>
      </c>
      <c r="H97" s="25">
        <v>8</v>
      </c>
      <c r="I97" s="25">
        <v>8</v>
      </c>
      <c r="J97" s="25">
        <v>8</v>
      </c>
      <c r="K97" s="25"/>
      <c r="L97" s="25"/>
      <c r="M97" s="25">
        <v>8</v>
      </c>
      <c r="N97" s="25">
        <v>8</v>
      </c>
      <c r="O97" s="25">
        <v>8</v>
      </c>
      <c r="P97" s="25">
        <v>8</v>
      </c>
      <c r="Q97" s="25">
        <v>8</v>
      </c>
      <c r="R97" s="25"/>
      <c r="S97" s="25"/>
      <c r="T97" s="25">
        <v>16</v>
      </c>
      <c r="U97" s="25">
        <v>16</v>
      </c>
      <c r="V97" s="25">
        <v>16</v>
      </c>
      <c r="W97" s="25">
        <v>16</v>
      </c>
      <c r="X97" s="25">
        <v>16</v>
      </c>
      <c r="Y97" s="25"/>
      <c r="Z97" s="25"/>
      <c r="AA97" s="25">
        <v>16</v>
      </c>
      <c r="AB97" s="25">
        <v>16</v>
      </c>
      <c r="AC97" s="25">
        <v>16</v>
      </c>
      <c r="AD97" s="25">
        <v>16</v>
      </c>
      <c r="AE97" s="25">
        <v>8</v>
      </c>
      <c r="AF97" s="25"/>
      <c r="AG97" s="25"/>
      <c r="AH97" s="25">
        <v>8</v>
      </c>
      <c r="AI97" s="25">
        <v>8</v>
      </c>
      <c r="AJ97" s="25">
        <v>248</v>
      </c>
    </row>
    <row r="98" spans="2:36" x14ac:dyDescent="0.25">
      <c r="E98" t="s">
        <v>30</v>
      </c>
      <c r="F98" s="25"/>
      <c r="G98" s="25"/>
      <c r="H98" s="25"/>
      <c r="I98" s="25"/>
      <c r="J98" s="25"/>
      <c r="K98" s="25">
        <v>1</v>
      </c>
      <c r="L98" s="25">
        <v>1</v>
      </c>
      <c r="M98" s="25"/>
      <c r="N98" s="25"/>
      <c r="O98" s="25"/>
      <c r="P98" s="25"/>
      <c r="Q98" s="25"/>
      <c r="R98" s="25">
        <v>2</v>
      </c>
      <c r="S98" s="25">
        <v>2</v>
      </c>
      <c r="T98" s="25"/>
      <c r="U98" s="25"/>
      <c r="V98" s="25"/>
      <c r="W98" s="25"/>
      <c r="X98" s="25"/>
      <c r="Y98" s="25">
        <v>2</v>
      </c>
      <c r="Z98" s="25">
        <v>2</v>
      </c>
      <c r="AA98" s="25"/>
      <c r="AB98" s="25"/>
      <c r="AC98" s="25"/>
      <c r="AD98" s="25"/>
      <c r="AE98" s="25"/>
      <c r="AF98" s="25">
        <v>1</v>
      </c>
      <c r="AG98" s="25">
        <v>1</v>
      </c>
      <c r="AH98" s="25"/>
      <c r="AI98" s="25"/>
      <c r="AJ98" s="25">
        <v>12</v>
      </c>
    </row>
    <row r="99" spans="2:36" x14ac:dyDescent="0.25">
      <c r="B99" t="s">
        <v>64</v>
      </c>
      <c r="C99" t="s">
        <v>65</v>
      </c>
      <c r="D99" t="s">
        <v>20</v>
      </c>
      <c r="E99" t="s">
        <v>10</v>
      </c>
      <c r="F99" s="25">
        <v>11</v>
      </c>
      <c r="G99" s="25">
        <v>11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>
        <v>22</v>
      </c>
    </row>
    <row r="100" spans="2:36" x14ac:dyDescent="0.25">
      <c r="E100" t="s">
        <v>24</v>
      </c>
      <c r="F100" s="25"/>
      <c r="G100" s="25"/>
      <c r="H100" s="25"/>
      <c r="I100" s="25">
        <v>8</v>
      </c>
      <c r="J100" s="25">
        <v>8</v>
      </c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>
        <v>16</v>
      </c>
    </row>
    <row r="101" spans="2:36" x14ac:dyDescent="0.25">
      <c r="E101" t="s">
        <v>29</v>
      </c>
      <c r="F101" s="25"/>
      <c r="G101" s="25"/>
      <c r="H101" s="25"/>
      <c r="I101" s="25"/>
      <c r="J101" s="25"/>
      <c r="K101" s="25"/>
      <c r="L101" s="25"/>
      <c r="M101" s="25">
        <v>8</v>
      </c>
      <c r="N101" s="25">
        <v>8</v>
      </c>
      <c r="O101" s="25">
        <v>8</v>
      </c>
      <c r="P101" s="25">
        <v>8</v>
      </c>
      <c r="Q101" s="25">
        <v>8</v>
      </c>
      <c r="R101" s="25"/>
      <c r="S101" s="25"/>
      <c r="T101" s="25">
        <v>8</v>
      </c>
      <c r="U101" s="25">
        <v>8</v>
      </c>
      <c r="V101" s="25">
        <v>8</v>
      </c>
      <c r="W101" s="25">
        <v>8</v>
      </c>
      <c r="X101" s="25">
        <v>8</v>
      </c>
      <c r="Y101" s="25"/>
      <c r="Z101" s="25"/>
      <c r="AA101" s="25">
        <v>8</v>
      </c>
      <c r="AB101" s="25">
        <v>8</v>
      </c>
      <c r="AC101" s="25">
        <v>8</v>
      </c>
      <c r="AD101" s="25">
        <v>8</v>
      </c>
      <c r="AE101" s="25">
        <v>8</v>
      </c>
      <c r="AF101" s="25"/>
      <c r="AG101" s="25"/>
      <c r="AH101" s="25">
        <v>8</v>
      </c>
      <c r="AI101" s="25">
        <v>8</v>
      </c>
      <c r="AJ101" s="25">
        <v>136</v>
      </c>
    </row>
    <row r="102" spans="2:36" x14ac:dyDescent="0.25">
      <c r="E102" t="s">
        <v>30</v>
      </c>
      <c r="F102" s="25"/>
      <c r="G102" s="25"/>
      <c r="H102" s="25"/>
      <c r="I102" s="25"/>
      <c r="J102" s="25"/>
      <c r="K102" s="25">
        <v>1</v>
      </c>
      <c r="L102" s="25">
        <v>1</v>
      </c>
      <c r="M102" s="25"/>
      <c r="N102" s="25"/>
      <c r="O102" s="25"/>
      <c r="P102" s="25"/>
      <c r="Q102" s="25"/>
      <c r="R102" s="25">
        <v>1</v>
      </c>
      <c r="S102" s="25">
        <v>1</v>
      </c>
      <c r="T102" s="25"/>
      <c r="U102" s="25"/>
      <c r="V102" s="25"/>
      <c r="W102" s="25"/>
      <c r="X102" s="25"/>
      <c r="Y102" s="25">
        <v>1</v>
      </c>
      <c r="Z102" s="25">
        <v>1</v>
      </c>
      <c r="AA102" s="25"/>
      <c r="AB102" s="25"/>
      <c r="AC102" s="25"/>
      <c r="AD102" s="25"/>
      <c r="AE102" s="25"/>
      <c r="AF102" s="25">
        <v>1</v>
      </c>
      <c r="AG102" s="25">
        <v>1</v>
      </c>
      <c r="AH102" s="25"/>
      <c r="AI102" s="25"/>
      <c r="AJ102" s="25">
        <v>8</v>
      </c>
    </row>
    <row r="103" spans="2:36" x14ac:dyDescent="0.25">
      <c r="E103" t="s">
        <v>38</v>
      </c>
      <c r="F103" s="25"/>
      <c r="G103" s="25"/>
      <c r="H103" s="25">
        <v>11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>
        <v>11</v>
      </c>
    </row>
    <row r="104" spans="2:36" x14ac:dyDescent="0.25">
      <c r="B104" t="s">
        <v>69</v>
      </c>
      <c r="C104" t="s">
        <v>69</v>
      </c>
      <c r="D104" t="s">
        <v>20</v>
      </c>
      <c r="E104" t="s">
        <v>10</v>
      </c>
      <c r="F104" s="25">
        <v>41</v>
      </c>
      <c r="G104" s="25">
        <v>39</v>
      </c>
      <c r="H104" s="25">
        <v>35</v>
      </c>
      <c r="I104" s="25">
        <v>44</v>
      </c>
      <c r="J104" s="25">
        <v>44</v>
      </c>
      <c r="K104" s="25">
        <v>44</v>
      </c>
      <c r="L104" s="25">
        <v>33</v>
      </c>
      <c r="M104" s="25">
        <v>33</v>
      </c>
      <c r="N104" s="25">
        <v>36</v>
      </c>
      <c r="O104" s="25">
        <v>33</v>
      </c>
      <c r="P104" s="25">
        <v>38</v>
      </c>
      <c r="Q104" s="25">
        <v>33</v>
      </c>
      <c r="R104" s="25">
        <v>33</v>
      </c>
      <c r="S104" s="25">
        <v>44</v>
      </c>
      <c r="T104" s="25">
        <v>44</v>
      </c>
      <c r="U104" s="25">
        <v>36</v>
      </c>
      <c r="V104" s="25">
        <v>33</v>
      </c>
      <c r="W104" s="25">
        <v>37</v>
      </c>
      <c r="X104" s="25">
        <v>36</v>
      </c>
      <c r="Y104" s="25">
        <v>33</v>
      </c>
      <c r="Z104" s="25">
        <v>33</v>
      </c>
      <c r="AA104" s="25">
        <v>22</v>
      </c>
      <c r="AB104" s="25">
        <v>22</v>
      </c>
      <c r="AC104" s="25">
        <v>22</v>
      </c>
      <c r="AD104" s="25">
        <v>22</v>
      </c>
      <c r="AE104" s="25">
        <v>22</v>
      </c>
      <c r="AF104" s="25">
        <v>22</v>
      </c>
      <c r="AG104" s="25">
        <v>22</v>
      </c>
      <c r="AH104" s="25">
        <v>22</v>
      </c>
      <c r="AI104" s="25">
        <v>22</v>
      </c>
      <c r="AJ104" s="25">
        <v>980</v>
      </c>
    </row>
    <row r="105" spans="2:36" x14ac:dyDescent="0.25">
      <c r="E105" t="s">
        <v>24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>
        <v>8</v>
      </c>
      <c r="AB105" s="25">
        <v>8</v>
      </c>
      <c r="AC105" s="25">
        <v>8</v>
      </c>
      <c r="AD105" s="25">
        <v>8</v>
      </c>
      <c r="AE105" s="25">
        <v>8</v>
      </c>
      <c r="AF105" s="25"/>
      <c r="AG105" s="25"/>
      <c r="AH105" s="25"/>
      <c r="AI105" s="25"/>
      <c r="AJ105" s="25">
        <v>40</v>
      </c>
    </row>
    <row r="106" spans="2:36" x14ac:dyDescent="0.25">
      <c r="E106" t="s">
        <v>29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>
        <v>8</v>
      </c>
      <c r="AI106" s="25">
        <v>8</v>
      </c>
      <c r="AJ106" s="25">
        <v>16</v>
      </c>
    </row>
    <row r="107" spans="2:36" x14ac:dyDescent="0.25">
      <c r="E107" t="s">
        <v>30</v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>
        <v>1</v>
      </c>
      <c r="AG107" s="25">
        <v>1</v>
      </c>
      <c r="AH107" s="25"/>
      <c r="AI107" s="25"/>
      <c r="AJ107" s="25">
        <v>2</v>
      </c>
    </row>
    <row r="108" spans="2:36" x14ac:dyDescent="0.25">
      <c r="B108" t="s">
        <v>71</v>
      </c>
      <c r="C108" t="s">
        <v>71</v>
      </c>
      <c r="D108" t="s">
        <v>20</v>
      </c>
      <c r="E108" t="s">
        <v>10</v>
      </c>
      <c r="F108" s="25">
        <v>52</v>
      </c>
      <c r="G108" s="25">
        <v>50</v>
      </c>
      <c r="H108" s="25">
        <v>46</v>
      </c>
      <c r="I108" s="25">
        <v>55</v>
      </c>
      <c r="J108" s="25">
        <v>55</v>
      </c>
      <c r="K108" s="25">
        <v>55</v>
      </c>
      <c r="L108" s="25">
        <v>44</v>
      </c>
      <c r="M108" s="25">
        <v>48</v>
      </c>
      <c r="N108" s="25">
        <v>47</v>
      </c>
      <c r="O108" s="25">
        <v>46</v>
      </c>
      <c r="P108" s="25">
        <v>49</v>
      </c>
      <c r="Q108" s="25">
        <v>46</v>
      </c>
      <c r="R108" s="25">
        <v>47</v>
      </c>
      <c r="S108" s="25">
        <v>55</v>
      </c>
      <c r="T108" s="25">
        <v>44</v>
      </c>
      <c r="U108" s="25">
        <v>36</v>
      </c>
      <c r="V108" s="25">
        <v>35</v>
      </c>
      <c r="W108" s="25">
        <v>37</v>
      </c>
      <c r="X108" s="25">
        <v>47</v>
      </c>
      <c r="Y108" s="25">
        <v>48</v>
      </c>
      <c r="Z108" s="25">
        <v>48</v>
      </c>
      <c r="AA108" s="25">
        <v>44</v>
      </c>
      <c r="AB108" s="25">
        <v>44</v>
      </c>
      <c r="AC108" s="25">
        <v>44</v>
      </c>
      <c r="AD108" s="25">
        <v>44</v>
      </c>
      <c r="AE108" s="25">
        <v>52</v>
      </c>
      <c r="AF108" s="25">
        <v>44</v>
      </c>
      <c r="AG108" s="25">
        <v>44</v>
      </c>
      <c r="AH108" s="25">
        <v>44</v>
      </c>
      <c r="AI108" s="25">
        <v>49</v>
      </c>
      <c r="AJ108" s="25">
        <v>1399</v>
      </c>
    </row>
    <row r="109" spans="2:36" x14ac:dyDescent="0.25">
      <c r="E109" t="s">
        <v>24</v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>
        <v>8</v>
      </c>
      <c r="U109" s="25">
        <v>8</v>
      </c>
      <c r="V109" s="25">
        <v>8</v>
      </c>
      <c r="W109" s="25">
        <v>8</v>
      </c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>
        <v>32</v>
      </c>
    </row>
    <row r="110" spans="2:36" x14ac:dyDescent="0.25">
      <c r="E110" t="s">
        <v>29</v>
      </c>
      <c r="F110" s="25">
        <v>8</v>
      </c>
      <c r="G110" s="25">
        <v>8</v>
      </c>
      <c r="H110" s="25">
        <v>8</v>
      </c>
      <c r="I110" s="25">
        <v>8</v>
      </c>
      <c r="J110" s="25">
        <v>8</v>
      </c>
      <c r="K110" s="25"/>
      <c r="L110" s="25"/>
      <c r="M110" s="25">
        <v>8</v>
      </c>
      <c r="N110" s="25">
        <v>8</v>
      </c>
      <c r="O110" s="25">
        <v>8</v>
      </c>
      <c r="P110" s="25">
        <v>8</v>
      </c>
      <c r="Q110" s="25">
        <v>8</v>
      </c>
      <c r="R110" s="25"/>
      <c r="S110" s="25"/>
      <c r="T110" s="25">
        <v>8</v>
      </c>
      <c r="U110" s="25">
        <v>8</v>
      </c>
      <c r="V110" s="25">
        <v>8</v>
      </c>
      <c r="W110" s="25">
        <v>8</v>
      </c>
      <c r="X110" s="25">
        <v>8</v>
      </c>
      <c r="Y110" s="25"/>
      <c r="Z110" s="25"/>
      <c r="AA110" s="25">
        <v>8</v>
      </c>
      <c r="AB110" s="25">
        <v>8</v>
      </c>
      <c r="AC110" s="25">
        <v>8</v>
      </c>
      <c r="AD110" s="25">
        <v>8</v>
      </c>
      <c r="AE110" s="25">
        <v>8</v>
      </c>
      <c r="AF110" s="25"/>
      <c r="AG110" s="25"/>
      <c r="AH110" s="25">
        <v>8</v>
      </c>
      <c r="AI110" s="25">
        <v>8</v>
      </c>
      <c r="AJ110" s="25">
        <v>176</v>
      </c>
    </row>
    <row r="111" spans="2:36" x14ac:dyDescent="0.25">
      <c r="E111" t="s">
        <v>30</v>
      </c>
      <c r="F111" s="25"/>
      <c r="G111" s="25"/>
      <c r="H111" s="25"/>
      <c r="I111" s="25"/>
      <c r="J111" s="25"/>
      <c r="K111" s="25">
        <v>1</v>
      </c>
      <c r="L111" s="25">
        <v>1</v>
      </c>
      <c r="M111" s="25"/>
      <c r="N111" s="25"/>
      <c r="O111" s="25"/>
      <c r="P111" s="25"/>
      <c r="Q111" s="25"/>
      <c r="R111" s="25">
        <v>1</v>
      </c>
      <c r="S111" s="25">
        <v>1</v>
      </c>
      <c r="T111" s="25"/>
      <c r="U111" s="25"/>
      <c r="V111" s="25"/>
      <c r="W111" s="25"/>
      <c r="X111" s="25"/>
      <c r="Y111" s="25">
        <v>1</v>
      </c>
      <c r="Z111" s="25">
        <v>1</v>
      </c>
      <c r="AA111" s="25"/>
      <c r="AB111" s="25"/>
      <c r="AC111" s="25"/>
      <c r="AD111" s="25"/>
      <c r="AE111" s="25"/>
      <c r="AF111" s="25">
        <v>1</v>
      </c>
      <c r="AG111" s="25">
        <v>1</v>
      </c>
      <c r="AH111" s="25"/>
      <c r="AI111" s="25"/>
      <c r="AJ111" s="25">
        <v>8</v>
      </c>
    </row>
    <row r="112" spans="2:36" x14ac:dyDescent="0.25">
      <c r="B112" t="s">
        <v>77</v>
      </c>
      <c r="C112" t="s">
        <v>77</v>
      </c>
      <c r="D112" t="s">
        <v>20</v>
      </c>
      <c r="E112" t="s">
        <v>10</v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>
        <v>11</v>
      </c>
      <c r="AI112" s="25">
        <v>11</v>
      </c>
      <c r="AJ112" s="25">
        <v>22</v>
      </c>
    </row>
    <row r="113" spans="1:36" x14ac:dyDescent="0.25">
      <c r="E113" t="s">
        <v>24</v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>
        <v>8</v>
      </c>
      <c r="AF113" s="25">
        <v>8</v>
      </c>
      <c r="AG113" s="25">
        <v>8</v>
      </c>
      <c r="AH113" s="25"/>
      <c r="AI113" s="25"/>
      <c r="AJ113" s="25">
        <v>24</v>
      </c>
    </row>
    <row r="114" spans="1:36" x14ac:dyDescent="0.25">
      <c r="E114" t="s">
        <v>29</v>
      </c>
      <c r="F114" s="25">
        <v>8</v>
      </c>
      <c r="G114" s="25">
        <v>8</v>
      </c>
      <c r="H114" s="25">
        <v>8</v>
      </c>
      <c r="I114" s="25">
        <v>8</v>
      </c>
      <c r="J114" s="25">
        <v>8</v>
      </c>
      <c r="K114" s="25"/>
      <c r="L114" s="25"/>
      <c r="M114" s="25">
        <v>8</v>
      </c>
      <c r="N114" s="25">
        <v>8</v>
      </c>
      <c r="O114" s="25">
        <v>8</v>
      </c>
      <c r="P114" s="25">
        <v>8</v>
      </c>
      <c r="Q114" s="25">
        <v>8</v>
      </c>
      <c r="R114" s="25"/>
      <c r="S114" s="25"/>
      <c r="T114" s="25">
        <v>8</v>
      </c>
      <c r="U114" s="25">
        <v>8</v>
      </c>
      <c r="V114" s="25">
        <v>8</v>
      </c>
      <c r="W114" s="25">
        <v>8</v>
      </c>
      <c r="X114" s="25">
        <v>8</v>
      </c>
      <c r="Y114" s="25"/>
      <c r="Z114" s="25"/>
      <c r="AA114" s="25">
        <v>8</v>
      </c>
      <c r="AB114" s="25">
        <v>8</v>
      </c>
      <c r="AC114" s="25">
        <v>8</v>
      </c>
      <c r="AD114" s="25">
        <v>8</v>
      </c>
      <c r="AE114" s="25"/>
      <c r="AF114" s="25"/>
      <c r="AG114" s="25"/>
      <c r="AH114" s="25"/>
      <c r="AI114" s="25"/>
      <c r="AJ114" s="25">
        <v>152</v>
      </c>
    </row>
    <row r="115" spans="1:36" x14ac:dyDescent="0.25">
      <c r="E115" t="s">
        <v>30</v>
      </c>
      <c r="F115" s="25"/>
      <c r="G115" s="25"/>
      <c r="H115" s="25"/>
      <c r="I115" s="25"/>
      <c r="J115" s="25"/>
      <c r="K115" s="25">
        <v>1</v>
      </c>
      <c r="L115" s="25">
        <v>1</v>
      </c>
      <c r="M115" s="25"/>
      <c r="N115" s="25"/>
      <c r="O115" s="25"/>
      <c r="P115" s="25"/>
      <c r="Q115" s="25"/>
      <c r="R115" s="25">
        <v>1</v>
      </c>
      <c r="S115" s="25">
        <v>1</v>
      </c>
      <c r="T115" s="25"/>
      <c r="U115" s="25"/>
      <c r="V115" s="25"/>
      <c r="W115" s="25"/>
      <c r="X115" s="25"/>
      <c r="Y115" s="25">
        <v>1</v>
      </c>
      <c r="Z115" s="25">
        <v>1</v>
      </c>
      <c r="AA115" s="25"/>
      <c r="AB115" s="25"/>
      <c r="AC115" s="25"/>
      <c r="AD115" s="25"/>
      <c r="AE115" s="25"/>
      <c r="AF115" s="25"/>
      <c r="AG115" s="25"/>
      <c r="AH115" s="25"/>
      <c r="AI115" s="25"/>
      <c r="AJ115" s="25">
        <v>6</v>
      </c>
    </row>
    <row r="116" spans="1:36" x14ac:dyDescent="0.25">
      <c r="B116" t="s">
        <v>79</v>
      </c>
      <c r="C116" t="s">
        <v>9</v>
      </c>
      <c r="D116" t="s">
        <v>20</v>
      </c>
      <c r="E116" t="s">
        <v>10</v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>
        <v>11</v>
      </c>
      <c r="AA116" s="25">
        <v>11</v>
      </c>
      <c r="AB116" s="25">
        <v>11</v>
      </c>
      <c r="AC116" s="25">
        <v>11</v>
      </c>
      <c r="AD116" s="25">
        <v>11</v>
      </c>
      <c r="AE116" s="25">
        <v>11</v>
      </c>
      <c r="AF116" s="25">
        <v>11</v>
      </c>
      <c r="AG116" s="25">
        <v>11</v>
      </c>
      <c r="AH116" s="25">
        <v>11</v>
      </c>
      <c r="AI116" s="25">
        <v>11</v>
      </c>
      <c r="AJ116" s="25">
        <v>110</v>
      </c>
    </row>
    <row r="117" spans="1:36" x14ac:dyDescent="0.25">
      <c r="E117" t="s">
        <v>24</v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>
        <v>8</v>
      </c>
      <c r="W117" s="25">
        <v>8</v>
      </c>
      <c r="X117" s="25">
        <v>8</v>
      </c>
      <c r="Y117" s="25">
        <v>8</v>
      </c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>
        <v>32</v>
      </c>
    </row>
    <row r="118" spans="1:36" x14ac:dyDescent="0.25">
      <c r="C118" t="s">
        <v>79</v>
      </c>
      <c r="D118" t="s">
        <v>20</v>
      </c>
      <c r="E118" t="s">
        <v>10</v>
      </c>
      <c r="F118" s="25">
        <v>11</v>
      </c>
      <c r="G118" s="25">
        <v>11</v>
      </c>
      <c r="H118" s="25">
        <v>11</v>
      </c>
      <c r="I118" s="25">
        <v>11</v>
      </c>
      <c r="J118" s="25">
        <v>11</v>
      </c>
      <c r="K118" s="25">
        <v>11</v>
      </c>
      <c r="L118" s="25">
        <v>11</v>
      </c>
      <c r="M118" s="25">
        <v>11</v>
      </c>
      <c r="N118" s="25">
        <v>11</v>
      </c>
      <c r="O118" s="25">
        <v>11</v>
      </c>
      <c r="P118" s="25">
        <v>11</v>
      </c>
      <c r="Q118" s="25">
        <v>11</v>
      </c>
      <c r="R118" s="25">
        <v>11</v>
      </c>
      <c r="S118" s="25">
        <v>11</v>
      </c>
      <c r="T118" s="25">
        <v>11</v>
      </c>
      <c r="U118" s="25">
        <v>11</v>
      </c>
      <c r="V118" s="25">
        <v>11</v>
      </c>
      <c r="W118" s="25">
        <v>11</v>
      </c>
      <c r="X118" s="25">
        <v>11</v>
      </c>
      <c r="Y118" s="25">
        <v>11</v>
      </c>
      <c r="Z118" s="25">
        <v>11</v>
      </c>
      <c r="AA118" s="25">
        <v>11</v>
      </c>
      <c r="AB118" s="25">
        <v>11</v>
      </c>
      <c r="AC118" s="25">
        <v>11</v>
      </c>
      <c r="AD118" s="25">
        <v>11</v>
      </c>
      <c r="AE118" s="25">
        <v>11</v>
      </c>
      <c r="AF118" s="25">
        <v>11</v>
      </c>
      <c r="AG118" s="25">
        <v>11</v>
      </c>
      <c r="AH118" s="25">
        <v>11</v>
      </c>
      <c r="AI118" s="25">
        <v>11</v>
      </c>
      <c r="AJ118" s="25">
        <v>330</v>
      </c>
    </row>
    <row r="119" spans="1:36" x14ac:dyDescent="0.25">
      <c r="E119" t="s">
        <v>29</v>
      </c>
      <c r="F119" s="25">
        <v>8</v>
      </c>
      <c r="G119" s="25">
        <v>8</v>
      </c>
      <c r="H119" s="25">
        <v>8</v>
      </c>
      <c r="I119" s="25">
        <v>8</v>
      </c>
      <c r="J119" s="25">
        <v>8</v>
      </c>
      <c r="K119" s="25"/>
      <c r="L119" s="25"/>
      <c r="M119" s="25">
        <v>8</v>
      </c>
      <c r="N119" s="25">
        <v>8</v>
      </c>
      <c r="O119" s="25">
        <v>8</v>
      </c>
      <c r="P119" s="25">
        <v>8</v>
      </c>
      <c r="Q119" s="25">
        <v>8</v>
      </c>
      <c r="R119" s="25"/>
      <c r="S119" s="25"/>
      <c r="T119" s="25">
        <v>8</v>
      </c>
      <c r="U119" s="25">
        <v>8</v>
      </c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>
        <v>96</v>
      </c>
    </row>
    <row r="120" spans="1:36" x14ac:dyDescent="0.25">
      <c r="E120" t="s">
        <v>30</v>
      </c>
      <c r="F120" s="25"/>
      <c r="G120" s="25"/>
      <c r="H120" s="25"/>
      <c r="I120" s="25"/>
      <c r="J120" s="25"/>
      <c r="K120" s="25">
        <v>1</v>
      </c>
      <c r="L120" s="25">
        <v>1</v>
      </c>
      <c r="M120" s="25"/>
      <c r="N120" s="25"/>
      <c r="O120" s="25"/>
      <c r="P120" s="25"/>
      <c r="Q120" s="25"/>
      <c r="R120" s="25">
        <v>1</v>
      </c>
      <c r="S120" s="25">
        <v>1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>
        <v>4</v>
      </c>
    </row>
    <row r="121" spans="1:36" x14ac:dyDescent="0.25">
      <c r="A121">
        <v>1.2</v>
      </c>
      <c r="B121" t="s">
        <v>9</v>
      </c>
      <c r="C121" t="s">
        <v>9</v>
      </c>
      <c r="D121" t="s">
        <v>20</v>
      </c>
      <c r="E121" t="s">
        <v>10</v>
      </c>
      <c r="F121" s="25">
        <v>22</v>
      </c>
      <c r="G121" s="25">
        <v>22</v>
      </c>
      <c r="H121" s="25">
        <v>22</v>
      </c>
      <c r="I121" s="25">
        <v>22</v>
      </c>
      <c r="J121" s="25">
        <v>22</v>
      </c>
      <c r="K121" s="25">
        <v>22</v>
      </c>
      <c r="L121" s="25">
        <v>22</v>
      </c>
      <c r="M121" s="25">
        <v>22</v>
      </c>
      <c r="N121" s="25">
        <v>22</v>
      </c>
      <c r="O121" s="25">
        <v>22</v>
      </c>
      <c r="P121" s="25">
        <v>22</v>
      </c>
      <c r="Q121" s="25">
        <v>22</v>
      </c>
      <c r="R121" s="25">
        <v>22</v>
      </c>
      <c r="S121" s="25">
        <v>22</v>
      </c>
      <c r="T121" s="25">
        <v>22</v>
      </c>
      <c r="U121" s="25">
        <v>22</v>
      </c>
      <c r="V121" s="25">
        <v>22</v>
      </c>
      <c r="W121" s="25">
        <v>22</v>
      </c>
      <c r="X121" s="25">
        <v>22</v>
      </c>
      <c r="Y121" s="25">
        <v>22</v>
      </c>
      <c r="Z121" s="25">
        <v>22</v>
      </c>
      <c r="AA121" s="25">
        <v>22</v>
      </c>
      <c r="AB121" s="25">
        <v>22</v>
      </c>
      <c r="AC121" s="25">
        <v>22</v>
      </c>
      <c r="AD121" s="25">
        <v>22</v>
      </c>
      <c r="AE121" s="25">
        <v>22</v>
      </c>
      <c r="AF121" s="25">
        <v>22</v>
      </c>
      <c r="AG121" s="25">
        <v>11</v>
      </c>
      <c r="AH121" s="25">
        <v>11</v>
      </c>
      <c r="AI121" s="25">
        <v>11</v>
      </c>
      <c r="AJ121" s="25">
        <v>627</v>
      </c>
    </row>
    <row r="122" spans="1:36" x14ac:dyDescent="0.25">
      <c r="B122" t="s">
        <v>26</v>
      </c>
      <c r="C122" t="s">
        <v>26</v>
      </c>
      <c r="D122" t="s">
        <v>20</v>
      </c>
      <c r="E122" t="s">
        <v>10</v>
      </c>
      <c r="F122" s="25">
        <v>11</v>
      </c>
      <c r="G122" s="25">
        <v>11</v>
      </c>
      <c r="H122" s="25">
        <v>11</v>
      </c>
      <c r="I122" s="25">
        <v>11</v>
      </c>
      <c r="J122" s="25">
        <v>11</v>
      </c>
      <c r="K122" s="25">
        <v>11</v>
      </c>
      <c r="L122" s="25">
        <v>11</v>
      </c>
      <c r="M122" s="25">
        <v>11</v>
      </c>
      <c r="N122" s="25">
        <v>11</v>
      </c>
      <c r="O122" s="25">
        <v>11</v>
      </c>
      <c r="P122" s="25">
        <v>11</v>
      </c>
      <c r="Q122" s="25">
        <v>11</v>
      </c>
      <c r="R122" s="25">
        <v>11</v>
      </c>
      <c r="S122" s="25">
        <v>11</v>
      </c>
      <c r="T122" s="25">
        <v>11</v>
      </c>
      <c r="U122" s="25">
        <v>11</v>
      </c>
      <c r="V122" s="25">
        <v>11</v>
      </c>
      <c r="W122" s="25">
        <v>11</v>
      </c>
      <c r="X122" s="25">
        <v>11</v>
      </c>
      <c r="Y122" s="25">
        <v>11</v>
      </c>
      <c r="Z122" s="25">
        <v>11</v>
      </c>
      <c r="AA122" s="25">
        <v>11</v>
      </c>
      <c r="AB122" s="25">
        <v>11</v>
      </c>
      <c r="AC122" s="25">
        <v>11</v>
      </c>
      <c r="AD122" s="25">
        <v>11</v>
      </c>
      <c r="AE122" s="25">
        <v>11</v>
      </c>
      <c r="AF122" s="25">
        <v>11</v>
      </c>
      <c r="AG122" s="25">
        <v>11</v>
      </c>
      <c r="AH122" s="25">
        <v>11</v>
      </c>
      <c r="AI122" s="25">
        <v>11</v>
      </c>
      <c r="AJ122" s="25">
        <v>330</v>
      </c>
    </row>
    <row r="123" spans="1:36" x14ac:dyDescent="0.25">
      <c r="B123" t="s">
        <v>35</v>
      </c>
      <c r="C123" t="s">
        <v>36</v>
      </c>
      <c r="D123" t="s">
        <v>20</v>
      </c>
      <c r="E123" t="s">
        <v>10</v>
      </c>
      <c r="F123" s="25"/>
      <c r="G123" s="25"/>
      <c r="H123" s="25"/>
      <c r="I123" s="25"/>
      <c r="J123" s="25">
        <v>11</v>
      </c>
      <c r="K123" s="25">
        <v>11</v>
      </c>
      <c r="L123" s="25">
        <v>11</v>
      </c>
      <c r="M123" s="25">
        <v>11</v>
      </c>
      <c r="N123" s="25">
        <v>11</v>
      </c>
      <c r="O123" s="25">
        <v>11</v>
      </c>
      <c r="P123" s="25">
        <v>11</v>
      </c>
      <c r="Q123" s="25">
        <v>11</v>
      </c>
      <c r="R123" s="25">
        <v>11</v>
      </c>
      <c r="S123" s="25">
        <v>11</v>
      </c>
      <c r="T123" s="25">
        <v>22</v>
      </c>
      <c r="U123" s="25">
        <v>22</v>
      </c>
      <c r="V123" s="25">
        <v>11</v>
      </c>
      <c r="W123" s="25">
        <v>11</v>
      </c>
      <c r="X123" s="25">
        <v>11</v>
      </c>
      <c r="Y123" s="25">
        <v>11</v>
      </c>
      <c r="Z123" s="25">
        <v>11</v>
      </c>
      <c r="AA123" s="25">
        <v>11</v>
      </c>
      <c r="AB123" s="25">
        <v>11</v>
      </c>
      <c r="AC123" s="25">
        <v>11</v>
      </c>
      <c r="AD123" s="25">
        <v>11</v>
      </c>
      <c r="AE123" s="25">
        <v>11</v>
      </c>
      <c r="AF123" s="25">
        <v>11</v>
      </c>
      <c r="AG123" s="25">
        <v>11</v>
      </c>
      <c r="AH123" s="25">
        <v>11</v>
      </c>
      <c r="AI123" s="25">
        <v>11</v>
      </c>
      <c r="AJ123" s="25">
        <v>308</v>
      </c>
    </row>
    <row r="124" spans="1:36" x14ac:dyDescent="0.25">
      <c r="B124" t="s">
        <v>49</v>
      </c>
      <c r="C124" t="s">
        <v>51</v>
      </c>
      <c r="D124" t="s">
        <v>20</v>
      </c>
      <c r="E124" t="s">
        <v>10</v>
      </c>
      <c r="F124" s="25">
        <v>11</v>
      </c>
      <c r="G124" s="25">
        <v>11</v>
      </c>
      <c r="H124" s="25">
        <v>11</v>
      </c>
      <c r="I124" s="25">
        <v>11</v>
      </c>
      <c r="J124" s="25">
        <v>11</v>
      </c>
      <c r="K124" s="25">
        <v>4</v>
      </c>
      <c r="L124" s="25"/>
      <c r="M124" s="25"/>
      <c r="N124" s="25">
        <v>11</v>
      </c>
      <c r="O124" s="25">
        <v>11</v>
      </c>
      <c r="P124" s="25">
        <v>11</v>
      </c>
      <c r="Q124" s="25">
        <v>11</v>
      </c>
      <c r="R124" s="25">
        <v>11</v>
      </c>
      <c r="S124" s="25">
        <v>11</v>
      </c>
      <c r="T124" s="25">
        <v>11</v>
      </c>
      <c r="U124" s="25">
        <v>11</v>
      </c>
      <c r="V124" s="25">
        <v>11</v>
      </c>
      <c r="W124" s="25"/>
      <c r="X124" s="25"/>
      <c r="Y124" s="25">
        <v>11</v>
      </c>
      <c r="Z124" s="25">
        <v>11</v>
      </c>
      <c r="AA124" s="25"/>
      <c r="AB124" s="25">
        <v>11</v>
      </c>
      <c r="AC124" s="25">
        <v>11</v>
      </c>
      <c r="AD124" s="25">
        <v>11</v>
      </c>
      <c r="AE124" s="25">
        <v>11</v>
      </c>
      <c r="AF124" s="25">
        <v>11</v>
      </c>
      <c r="AG124" s="25">
        <v>11</v>
      </c>
      <c r="AH124" s="25">
        <v>11</v>
      </c>
      <c r="AI124" s="25">
        <v>11</v>
      </c>
      <c r="AJ124" s="25">
        <v>268</v>
      </c>
    </row>
    <row r="125" spans="1:36" x14ac:dyDescent="0.25">
      <c r="E125" t="s">
        <v>23</v>
      </c>
      <c r="F125" s="25"/>
      <c r="G125" s="25"/>
      <c r="H125" s="25"/>
      <c r="I125" s="25"/>
      <c r="J125" s="25"/>
      <c r="K125" s="25"/>
      <c r="L125" s="25"/>
      <c r="M125" s="25">
        <v>11</v>
      </c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>
        <v>11</v>
      </c>
    </row>
    <row r="126" spans="1:36" x14ac:dyDescent="0.25">
      <c r="E126" t="s">
        <v>38</v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>
        <v>11</v>
      </c>
      <c r="AB126" s="25"/>
      <c r="AC126" s="25"/>
      <c r="AD126" s="25"/>
      <c r="AE126" s="25"/>
      <c r="AF126" s="25"/>
      <c r="AG126" s="25"/>
      <c r="AH126" s="25"/>
      <c r="AI126" s="25"/>
      <c r="AJ126" s="25">
        <v>11</v>
      </c>
    </row>
    <row r="127" spans="1:36" x14ac:dyDescent="0.25">
      <c r="A127" t="s">
        <v>20</v>
      </c>
      <c r="B127" t="s">
        <v>12</v>
      </c>
      <c r="C127" t="s">
        <v>20</v>
      </c>
      <c r="D127" t="s">
        <v>20</v>
      </c>
      <c r="E127" t="s">
        <v>44</v>
      </c>
      <c r="F127" s="25">
        <v>1</v>
      </c>
      <c r="G127" s="25">
        <v>1</v>
      </c>
      <c r="H127" s="25">
        <v>1</v>
      </c>
      <c r="I127" s="25">
        <v>1</v>
      </c>
      <c r="J127" s="25">
        <v>1</v>
      </c>
      <c r="K127" s="25">
        <v>1</v>
      </c>
      <c r="L127" s="25">
        <v>1</v>
      </c>
      <c r="M127" s="25">
        <v>1</v>
      </c>
      <c r="N127" s="25">
        <v>1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>
        <v>9</v>
      </c>
    </row>
    <row r="128" spans="1:36" x14ac:dyDescent="0.25">
      <c r="E128" t="s">
        <v>52</v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>
        <v>1</v>
      </c>
      <c r="P128" s="25">
        <v>1</v>
      </c>
      <c r="Q128" s="25">
        <v>1</v>
      </c>
      <c r="R128" s="25">
        <v>1</v>
      </c>
      <c r="S128" s="25">
        <v>1</v>
      </c>
      <c r="T128" s="25">
        <v>1</v>
      </c>
      <c r="U128" s="25">
        <v>1</v>
      </c>
      <c r="V128" s="25">
        <v>1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B128" s="25">
        <v>1</v>
      </c>
      <c r="AC128" s="25">
        <v>1</v>
      </c>
      <c r="AD128" s="25">
        <v>1</v>
      </c>
      <c r="AE128" s="25">
        <v>1</v>
      </c>
      <c r="AF128" s="25">
        <v>1</v>
      </c>
      <c r="AG128" s="25">
        <v>1</v>
      </c>
      <c r="AH128" s="25">
        <v>1</v>
      </c>
      <c r="AI128" s="25">
        <v>1</v>
      </c>
      <c r="AJ128" s="25">
        <v>21</v>
      </c>
    </row>
    <row r="129" spans="1:36" x14ac:dyDescent="0.25">
      <c r="B129" t="s">
        <v>32</v>
      </c>
      <c r="C129" t="s">
        <v>31</v>
      </c>
      <c r="D129" t="s">
        <v>20</v>
      </c>
      <c r="E129" t="s">
        <v>29</v>
      </c>
      <c r="F129" s="25">
        <v>8</v>
      </c>
      <c r="G129" s="25">
        <v>8</v>
      </c>
      <c r="H129" s="25">
        <v>8</v>
      </c>
      <c r="I129" s="25">
        <v>8</v>
      </c>
      <c r="J129" s="25">
        <v>8</v>
      </c>
      <c r="K129" s="25"/>
      <c r="L129" s="25"/>
      <c r="M129" s="25">
        <v>8</v>
      </c>
      <c r="N129" s="25">
        <v>8</v>
      </c>
      <c r="O129" s="25">
        <v>8</v>
      </c>
      <c r="P129" s="25">
        <v>8</v>
      </c>
      <c r="Q129" s="25">
        <v>8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>
        <v>80</v>
      </c>
    </row>
    <row r="130" spans="1:36" x14ac:dyDescent="0.25">
      <c r="E130" t="s">
        <v>30</v>
      </c>
      <c r="F130" s="25"/>
      <c r="G130" s="25"/>
      <c r="H130" s="25"/>
      <c r="I130" s="25"/>
      <c r="J130" s="25"/>
      <c r="K130" s="25">
        <v>1</v>
      </c>
      <c r="L130" s="25">
        <v>1</v>
      </c>
      <c r="M130" s="25"/>
      <c r="N130" s="25"/>
      <c r="O130" s="25"/>
      <c r="P130" s="25"/>
      <c r="Q130" s="25"/>
      <c r="R130" s="25">
        <v>1</v>
      </c>
      <c r="S130" s="25">
        <v>1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>
        <v>4</v>
      </c>
    </row>
    <row r="131" spans="1:36" x14ac:dyDescent="0.25">
      <c r="B131" t="s">
        <v>71</v>
      </c>
      <c r="C131" t="s">
        <v>71</v>
      </c>
      <c r="D131" t="s">
        <v>20</v>
      </c>
      <c r="E131" t="s">
        <v>10</v>
      </c>
      <c r="F131" s="25">
        <v>19</v>
      </c>
      <c r="G131" s="25">
        <v>11</v>
      </c>
      <c r="H131" s="25">
        <v>11</v>
      </c>
      <c r="I131" s="25">
        <v>11</v>
      </c>
      <c r="J131" s="25">
        <v>11</v>
      </c>
      <c r="K131" s="25">
        <v>11</v>
      </c>
      <c r="L131" s="25">
        <v>11</v>
      </c>
      <c r="M131" s="25">
        <v>11</v>
      </c>
      <c r="N131" s="25">
        <v>11</v>
      </c>
      <c r="O131" s="25">
        <v>11</v>
      </c>
      <c r="P131" s="25">
        <v>11</v>
      </c>
      <c r="Q131" s="25">
        <v>11</v>
      </c>
      <c r="R131" s="25">
        <v>11</v>
      </c>
      <c r="S131" s="25">
        <v>11</v>
      </c>
      <c r="T131" s="25">
        <v>11</v>
      </c>
      <c r="U131" s="25">
        <v>11</v>
      </c>
      <c r="V131" s="25">
        <v>11</v>
      </c>
      <c r="W131" s="25">
        <v>11</v>
      </c>
      <c r="X131" s="25">
        <v>11</v>
      </c>
      <c r="Y131" s="25">
        <v>16</v>
      </c>
      <c r="Z131" s="25">
        <v>11</v>
      </c>
      <c r="AA131" s="25">
        <v>11</v>
      </c>
      <c r="AB131" s="25">
        <v>11</v>
      </c>
      <c r="AC131" s="25">
        <v>11</v>
      </c>
      <c r="AD131" s="25">
        <v>11</v>
      </c>
      <c r="AE131" s="25">
        <v>11</v>
      </c>
      <c r="AF131" s="25">
        <v>11</v>
      </c>
      <c r="AG131" s="25"/>
      <c r="AH131" s="25"/>
      <c r="AI131" s="25"/>
      <c r="AJ131" s="25">
        <v>310</v>
      </c>
    </row>
    <row r="132" spans="1:36" x14ac:dyDescent="0.25">
      <c r="E132" t="s">
        <v>24</v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>
        <v>8</v>
      </c>
      <c r="AH132" s="25">
        <v>8</v>
      </c>
      <c r="AI132" s="25">
        <v>8</v>
      </c>
      <c r="AJ132" s="25">
        <v>24</v>
      </c>
    </row>
    <row r="133" spans="1:36" x14ac:dyDescent="0.25">
      <c r="B133" t="s">
        <v>77</v>
      </c>
      <c r="C133" t="s">
        <v>77</v>
      </c>
      <c r="D133" t="s">
        <v>20</v>
      </c>
      <c r="E133" t="s">
        <v>10</v>
      </c>
      <c r="F133" s="25">
        <v>11</v>
      </c>
      <c r="G133" s="25">
        <v>11</v>
      </c>
      <c r="H133" s="25">
        <v>11</v>
      </c>
      <c r="I133" s="25">
        <v>11</v>
      </c>
      <c r="J133" s="25">
        <v>11</v>
      </c>
      <c r="K133" s="25">
        <v>11</v>
      </c>
      <c r="L133" s="25">
        <v>11</v>
      </c>
      <c r="M133" s="25">
        <v>11</v>
      </c>
      <c r="N133" s="25">
        <v>11</v>
      </c>
      <c r="O133" s="25">
        <v>11</v>
      </c>
      <c r="P133" s="25">
        <v>11</v>
      </c>
      <c r="Q133" s="25">
        <v>11</v>
      </c>
      <c r="R133" s="25">
        <v>11</v>
      </c>
      <c r="S133" s="25">
        <v>11</v>
      </c>
      <c r="T133" s="25">
        <v>11</v>
      </c>
      <c r="U133" s="25">
        <v>11</v>
      </c>
      <c r="V133" s="25">
        <v>11</v>
      </c>
      <c r="W133" s="25">
        <v>11</v>
      </c>
      <c r="X133" s="25">
        <v>11</v>
      </c>
      <c r="Y133" s="25">
        <v>11</v>
      </c>
      <c r="Z133" s="25">
        <v>11</v>
      </c>
      <c r="AA133" s="25">
        <v>11</v>
      </c>
      <c r="AB133" s="25">
        <v>11</v>
      </c>
      <c r="AC133" s="25">
        <v>11</v>
      </c>
      <c r="AD133" s="25">
        <v>11</v>
      </c>
      <c r="AE133" s="25">
        <v>11</v>
      </c>
      <c r="AF133" s="25">
        <v>11</v>
      </c>
      <c r="AG133" s="25">
        <v>11</v>
      </c>
      <c r="AH133" s="25">
        <v>11</v>
      </c>
      <c r="AI133" s="25">
        <v>11</v>
      </c>
      <c r="AJ133" s="25">
        <v>330</v>
      </c>
    </row>
    <row r="134" spans="1:36" x14ac:dyDescent="0.25">
      <c r="B134" t="s">
        <v>94</v>
      </c>
      <c r="C134" t="s">
        <v>94</v>
      </c>
      <c r="D134" t="s">
        <v>20</v>
      </c>
      <c r="E134" t="s">
        <v>10</v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>
        <v>11</v>
      </c>
      <c r="Z134" s="25">
        <v>11</v>
      </c>
      <c r="AA134" s="25">
        <v>11</v>
      </c>
      <c r="AB134" s="25">
        <v>11</v>
      </c>
      <c r="AC134" s="25">
        <v>11</v>
      </c>
      <c r="AD134" s="25">
        <v>11</v>
      </c>
      <c r="AE134" s="25">
        <v>11</v>
      </c>
      <c r="AF134" s="25">
        <v>11</v>
      </c>
      <c r="AG134" s="25">
        <v>11</v>
      </c>
      <c r="AH134" s="25">
        <v>11</v>
      </c>
      <c r="AI134" s="25">
        <v>11</v>
      </c>
      <c r="AJ134" s="25">
        <v>121</v>
      </c>
    </row>
    <row r="135" spans="1:36" x14ac:dyDescent="0.25">
      <c r="E135" t="s">
        <v>20</v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</row>
    <row r="136" spans="1:36" x14ac:dyDescent="0.25">
      <c r="E136" t="s">
        <v>24</v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>
        <v>8</v>
      </c>
      <c r="V136" s="25">
        <v>8</v>
      </c>
      <c r="W136" s="25">
        <v>8</v>
      </c>
      <c r="X136" s="25">
        <v>8</v>
      </c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>
        <v>32</v>
      </c>
    </row>
    <row r="137" spans="1:36" x14ac:dyDescent="0.25">
      <c r="A137" t="s">
        <v>17</v>
      </c>
      <c r="F137" s="25">
        <v>1393</v>
      </c>
      <c r="G137" s="25">
        <v>1386</v>
      </c>
      <c r="H137" s="25">
        <v>1312</v>
      </c>
      <c r="I137" s="25">
        <v>1392</v>
      </c>
      <c r="J137" s="25">
        <v>1440</v>
      </c>
      <c r="K137" s="25">
        <v>1207</v>
      </c>
      <c r="L137" s="25">
        <v>1267</v>
      </c>
      <c r="M137" s="25">
        <v>1399</v>
      </c>
      <c r="N137" s="25">
        <v>1483</v>
      </c>
      <c r="O137" s="25">
        <v>1441</v>
      </c>
      <c r="P137" s="25">
        <v>1481</v>
      </c>
      <c r="Q137" s="25">
        <v>1464</v>
      </c>
      <c r="R137" s="25">
        <v>1304</v>
      </c>
      <c r="S137" s="25">
        <v>1256</v>
      </c>
      <c r="T137" s="25">
        <v>1471</v>
      </c>
      <c r="U137" s="25">
        <v>1465</v>
      </c>
      <c r="V137" s="25">
        <v>1486</v>
      </c>
      <c r="W137" s="25">
        <v>1488</v>
      </c>
      <c r="X137" s="25">
        <v>1511</v>
      </c>
      <c r="Y137" s="25">
        <v>1331</v>
      </c>
      <c r="Z137" s="25">
        <v>1239</v>
      </c>
      <c r="AA137" s="25">
        <v>1432</v>
      </c>
      <c r="AB137" s="25">
        <v>1359</v>
      </c>
      <c r="AC137" s="25">
        <v>1471</v>
      </c>
      <c r="AD137" s="25">
        <v>1471</v>
      </c>
      <c r="AE137" s="25">
        <v>1468</v>
      </c>
      <c r="AF137" s="25">
        <v>1152</v>
      </c>
      <c r="AG137" s="25">
        <v>1145</v>
      </c>
      <c r="AH137" s="25">
        <v>1420</v>
      </c>
      <c r="AI137" s="25">
        <v>1420</v>
      </c>
      <c r="AJ137" s="25">
        <v>41554</v>
      </c>
    </row>
  </sheetData>
  <pageMargins left="0.25" right="0.25" top="0.75" bottom="0.75" header="0.3" footer="0.3"/>
  <pageSetup paperSize="9" scale="57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E807-CBD7-4DC1-A552-71E84DE63586}">
  <sheetPr>
    <pageSetUpPr fitToPage="1"/>
  </sheetPr>
  <dimension ref="A1:AI126"/>
  <sheetViews>
    <sheetView zoomScale="70" zoomScaleNormal="70" workbookViewId="0">
      <selection activeCell="E29" sqref="E29:AI29"/>
    </sheetView>
  </sheetViews>
  <sheetFormatPr defaultRowHeight="15" x14ac:dyDescent="0.25"/>
  <cols>
    <col min="1" max="1" width="34.85546875" customWidth="1"/>
    <col min="2" max="2" width="23.28515625" customWidth="1"/>
    <col min="3" max="3" width="20.42578125" customWidth="1"/>
    <col min="4" max="4" width="16.42578125" customWidth="1"/>
    <col min="5" max="5" width="11.28515625" customWidth="1"/>
    <col min="6" max="6" width="6.42578125" customWidth="1"/>
    <col min="7" max="15" width="4.28515625" customWidth="1"/>
    <col min="16" max="22" width="5" customWidth="1"/>
    <col min="23" max="27" width="4.5703125" customWidth="1"/>
    <col min="28" max="34" width="4.140625" customWidth="1"/>
    <col min="35" max="35" width="6.85546875" bestFit="1" customWidth="1"/>
    <col min="36" max="36" width="10.85546875" customWidth="1"/>
    <col min="37" max="37" width="7.42578125" customWidth="1"/>
    <col min="38" max="38" width="7.85546875" customWidth="1"/>
  </cols>
  <sheetData>
    <row r="1" spans="1:35" x14ac:dyDescent="0.25">
      <c r="A1" s="3" t="s">
        <v>27</v>
      </c>
      <c r="B1" t="s">
        <v>83</v>
      </c>
    </row>
    <row r="3" spans="1:35" x14ac:dyDescent="0.25">
      <c r="A3" s="3" t="s">
        <v>21</v>
      </c>
      <c r="E3" s="3" t="s">
        <v>18</v>
      </c>
    </row>
    <row r="4" spans="1:35" ht="34.5" customHeight="1" x14ac:dyDescent="0.25">
      <c r="A4" s="14" t="s">
        <v>1</v>
      </c>
      <c r="B4" s="14" t="s">
        <v>3</v>
      </c>
      <c r="C4" s="14" t="s">
        <v>2</v>
      </c>
      <c r="D4" s="14" t="s">
        <v>4</v>
      </c>
      <c r="E4" s="15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 t="s">
        <v>17</v>
      </c>
    </row>
    <row r="5" spans="1:35" x14ac:dyDescent="0.25">
      <c r="A5" t="s">
        <v>12</v>
      </c>
      <c r="B5" t="s">
        <v>42</v>
      </c>
      <c r="C5" t="s">
        <v>20</v>
      </c>
      <c r="D5" t="s">
        <v>38</v>
      </c>
      <c r="E5" s="25"/>
      <c r="F5" s="25">
        <v>11</v>
      </c>
      <c r="G5" s="25"/>
      <c r="H5" s="25"/>
      <c r="I5" s="25">
        <v>11</v>
      </c>
      <c r="J5" s="25">
        <v>66</v>
      </c>
      <c r="K5" s="25">
        <v>66</v>
      </c>
      <c r="L5" s="25"/>
      <c r="M5" s="25"/>
      <c r="N5" s="25"/>
      <c r="O5" s="25">
        <v>22</v>
      </c>
      <c r="P5" s="25">
        <v>55</v>
      </c>
      <c r="Q5" s="25">
        <v>33</v>
      </c>
      <c r="R5" s="25">
        <v>11</v>
      </c>
      <c r="S5" s="25"/>
      <c r="T5" s="25"/>
      <c r="U5" s="25"/>
      <c r="V5" s="25"/>
      <c r="W5" s="25"/>
      <c r="X5" s="25"/>
      <c r="Y5" s="25"/>
      <c r="Z5" s="25">
        <v>33</v>
      </c>
      <c r="AA5" s="25">
        <v>33</v>
      </c>
      <c r="AB5" s="25">
        <v>11</v>
      </c>
      <c r="AC5" s="25"/>
      <c r="AD5" s="25">
        <v>11</v>
      </c>
      <c r="AE5" s="25"/>
      <c r="AF5" s="25"/>
      <c r="AG5" s="25"/>
      <c r="AH5" s="25"/>
      <c r="AI5" s="25">
        <v>363</v>
      </c>
    </row>
    <row r="6" spans="1:35" x14ac:dyDescent="0.25">
      <c r="D6" t="s">
        <v>10</v>
      </c>
      <c r="E6" s="25">
        <v>99</v>
      </c>
      <c r="F6" s="25">
        <v>66</v>
      </c>
      <c r="G6" s="25">
        <v>66</v>
      </c>
      <c r="H6" s="25">
        <v>66</v>
      </c>
      <c r="I6" s="25">
        <v>88</v>
      </c>
      <c r="J6" s="25"/>
      <c r="K6" s="25"/>
      <c r="L6" s="25">
        <v>44</v>
      </c>
      <c r="M6" s="25">
        <v>110</v>
      </c>
      <c r="N6" s="25">
        <v>77</v>
      </c>
      <c r="O6" s="25">
        <v>55</v>
      </c>
      <c r="P6" s="25">
        <v>11</v>
      </c>
      <c r="Q6" s="25">
        <v>55</v>
      </c>
      <c r="R6" s="25">
        <v>66</v>
      </c>
      <c r="S6" s="25">
        <v>110</v>
      </c>
      <c r="T6" s="25">
        <v>99</v>
      </c>
      <c r="U6" s="25">
        <v>110</v>
      </c>
      <c r="V6" s="25">
        <v>99</v>
      </c>
      <c r="W6" s="25">
        <v>110</v>
      </c>
      <c r="X6" s="25">
        <v>88</v>
      </c>
      <c r="Y6" s="25">
        <v>88</v>
      </c>
      <c r="Z6" s="25">
        <v>55</v>
      </c>
      <c r="AA6" s="25">
        <v>44</v>
      </c>
      <c r="AB6" s="25">
        <v>66</v>
      </c>
      <c r="AC6" s="25">
        <v>99</v>
      </c>
      <c r="AD6" s="25">
        <v>77</v>
      </c>
      <c r="AE6" s="25">
        <v>66</v>
      </c>
      <c r="AF6" s="25">
        <v>77</v>
      </c>
      <c r="AG6" s="25">
        <v>88</v>
      </c>
      <c r="AH6" s="25">
        <v>99</v>
      </c>
      <c r="AI6" s="25">
        <v>2178</v>
      </c>
    </row>
    <row r="7" spans="1:35" x14ac:dyDescent="0.25">
      <c r="D7" t="s">
        <v>23</v>
      </c>
      <c r="E7" s="25"/>
      <c r="F7" s="25"/>
      <c r="G7" s="25"/>
      <c r="H7" s="25">
        <v>11</v>
      </c>
      <c r="I7" s="25">
        <v>11</v>
      </c>
      <c r="J7" s="25"/>
      <c r="K7" s="25"/>
      <c r="L7" s="25">
        <v>22</v>
      </c>
      <c r="M7" s="25"/>
      <c r="N7" s="25">
        <v>11</v>
      </c>
      <c r="O7" s="25"/>
      <c r="P7" s="25"/>
      <c r="Q7" s="25"/>
      <c r="R7" s="25"/>
      <c r="S7" s="25"/>
      <c r="T7" s="25"/>
      <c r="U7" s="25"/>
      <c r="V7" s="25"/>
      <c r="W7" s="25">
        <v>11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>
        <v>66</v>
      </c>
    </row>
    <row r="8" spans="1:35" x14ac:dyDescent="0.25">
      <c r="D8" t="s">
        <v>44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>
        <v>1</v>
      </c>
      <c r="Q8" s="25">
        <v>1</v>
      </c>
      <c r="R8" s="25">
        <v>1</v>
      </c>
      <c r="S8" s="25">
        <v>1</v>
      </c>
      <c r="T8" s="25">
        <v>1</v>
      </c>
      <c r="U8" s="25">
        <v>1</v>
      </c>
      <c r="V8" s="25">
        <v>1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25">
        <v>1</v>
      </c>
      <c r="AI8" s="25">
        <v>30</v>
      </c>
    </row>
    <row r="9" spans="1:35" x14ac:dyDescent="0.25">
      <c r="B9" t="s">
        <v>40</v>
      </c>
      <c r="C9" t="s">
        <v>20</v>
      </c>
      <c r="D9" t="s">
        <v>10</v>
      </c>
      <c r="E9" s="25"/>
      <c r="F9" s="25"/>
      <c r="G9" s="25"/>
      <c r="H9" s="25"/>
      <c r="I9" s="25"/>
      <c r="J9" s="25"/>
      <c r="K9" s="25"/>
      <c r="L9" s="25">
        <v>11</v>
      </c>
      <c r="M9" s="25">
        <v>11</v>
      </c>
      <c r="N9" s="25">
        <v>22</v>
      </c>
      <c r="O9" s="25">
        <v>11</v>
      </c>
      <c r="P9" s="25">
        <v>11</v>
      </c>
      <c r="Q9" s="25">
        <v>11</v>
      </c>
      <c r="R9" s="25">
        <v>11</v>
      </c>
      <c r="S9" s="25">
        <v>11</v>
      </c>
      <c r="T9" s="25">
        <v>11</v>
      </c>
      <c r="U9" s="25">
        <v>11</v>
      </c>
      <c r="V9" s="25">
        <v>11</v>
      </c>
      <c r="W9" s="25">
        <v>11</v>
      </c>
      <c r="X9" s="25">
        <v>11</v>
      </c>
      <c r="Y9" s="25">
        <v>11</v>
      </c>
      <c r="Z9" s="25">
        <v>11</v>
      </c>
      <c r="AA9" s="25">
        <v>11</v>
      </c>
      <c r="AB9" s="25">
        <v>11</v>
      </c>
      <c r="AC9" s="25">
        <v>11</v>
      </c>
      <c r="AD9" s="25">
        <v>11</v>
      </c>
      <c r="AE9" s="25">
        <v>11</v>
      </c>
      <c r="AF9" s="25">
        <v>11</v>
      </c>
      <c r="AG9" s="25">
        <v>11</v>
      </c>
      <c r="AH9" s="25">
        <v>11</v>
      </c>
      <c r="AI9" s="25">
        <v>264</v>
      </c>
    </row>
    <row r="10" spans="1:35" x14ac:dyDescent="0.25">
      <c r="D10" t="s">
        <v>23</v>
      </c>
      <c r="E10" s="25">
        <v>11</v>
      </c>
      <c r="F10" s="25">
        <v>11</v>
      </c>
      <c r="G10" s="25">
        <v>11</v>
      </c>
      <c r="H10" s="25">
        <v>11</v>
      </c>
      <c r="I10" s="25">
        <v>11</v>
      </c>
      <c r="J10" s="25">
        <v>11</v>
      </c>
      <c r="K10" s="25">
        <v>11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>
        <v>77</v>
      </c>
    </row>
    <row r="11" spans="1:35" x14ac:dyDescent="0.25">
      <c r="B11" t="s">
        <v>13</v>
      </c>
      <c r="C11" t="s">
        <v>20</v>
      </c>
      <c r="D11" t="s">
        <v>24</v>
      </c>
      <c r="E11" s="25"/>
      <c r="F11" s="25">
        <v>8</v>
      </c>
      <c r="G11" s="25">
        <v>8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>
        <v>8</v>
      </c>
      <c r="AI11" s="25">
        <v>24</v>
      </c>
    </row>
    <row r="12" spans="1:35" x14ac:dyDescent="0.25">
      <c r="D12" t="s">
        <v>30</v>
      </c>
      <c r="E12" s="25"/>
      <c r="F12" s="25"/>
      <c r="G12" s="25"/>
      <c r="H12" s="25"/>
      <c r="I12" s="25"/>
      <c r="J12" s="25">
        <v>1</v>
      </c>
      <c r="K12" s="25">
        <v>1</v>
      </c>
      <c r="L12" s="25"/>
      <c r="M12" s="25"/>
      <c r="N12" s="25"/>
      <c r="O12" s="25"/>
      <c r="P12" s="25"/>
      <c r="Q12" s="25">
        <v>1</v>
      </c>
      <c r="R12" s="25">
        <v>1</v>
      </c>
      <c r="S12" s="25"/>
      <c r="T12" s="25"/>
      <c r="U12" s="25"/>
      <c r="V12" s="25"/>
      <c r="W12" s="25"/>
      <c r="X12" s="25">
        <v>1</v>
      </c>
      <c r="Y12" s="25">
        <v>1</v>
      </c>
      <c r="Z12" s="25"/>
      <c r="AA12" s="25"/>
      <c r="AB12" s="25"/>
      <c r="AC12" s="25"/>
      <c r="AD12" s="25"/>
      <c r="AE12" s="25">
        <v>1</v>
      </c>
      <c r="AF12" s="25">
        <v>1</v>
      </c>
      <c r="AG12" s="25"/>
      <c r="AH12" s="25"/>
      <c r="AI12" s="25">
        <v>8</v>
      </c>
    </row>
    <row r="13" spans="1:35" x14ac:dyDescent="0.25">
      <c r="D13" t="s">
        <v>29</v>
      </c>
      <c r="E13" s="25">
        <v>8</v>
      </c>
      <c r="F13" s="25">
        <v>8</v>
      </c>
      <c r="G13" s="25">
        <v>8</v>
      </c>
      <c r="H13" s="25">
        <v>8</v>
      </c>
      <c r="I13" s="25">
        <v>8</v>
      </c>
      <c r="J13" s="25"/>
      <c r="K13" s="25"/>
      <c r="L13" s="25">
        <v>8</v>
      </c>
      <c r="M13" s="25">
        <v>8</v>
      </c>
      <c r="N13" s="25">
        <v>8</v>
      </c>
      <c r="O13" s="25">
        <v>8</v>
      </c>
      <c r="P13" s="25">
        <v>8</v>
      </c>
      <c r="Q13" s="25"/>
      <c r="R13" s="25"/>
      <c r="S13" s="25">
        <v>8</v>
      </c>
      <c r="T13" s="25">
        <v>8</v>
      </c>
      <c r="U13" s="25">
        <v>8</v>
      </c>
      <c r="V13" s="25">
        <v>8</v>
      </c>
      <c r="W13" s="25">
        <v>8</v>
      </c>
      <c r="X13" s="25"/>
      <c r="Y13" s="25"/>
      <c r="Z13" s="25">
        <v>8</v>
      </c>
      <c r="AA13" s="25">
        <v>8</v>
      </c>
      <c r="AB13" s="25">
        <v>8</v>
      </c>
      <c r="AC13" s="25">
        <v>8</v>
      </c>
      <c r="AD13" s="25">
        <v>8</v>
      </c>
      <c r="AE13" s="25"/>
      <c r="AF13" s="25"/>
      <c r="AG13" s="25">
        <v>8</v>
      </c>
      <c r="AH13" s="25"/>
      <c r="AI13" s="25">
        <v>168</v>
      </c>
    </row>
    <row r="14" spans="1:35" x14ac:dyDescent="0.25">
      <c r="D14" t="s">
        <v>10</v>
      </c>
      <c r="E14" s="25">
        <v>22</v>
      </c>
      <c r="F14" s="25">
        <v>11</v>
      </c>
      <c r="G14" s="25">
        <v>11</v>
      </c>
      <c r="H14" s="25">
        <v>27</v>
      </c>
      <c r="I14" s="25">
        <v>22</v>
      </c>
      <c r="J14" s="25">
        <v>22</v>
      </c>
      <c r="K14" s="25">
        <v>22</v>
      </c>
      <c r="L14" s="25">
        <v>22</v>
      </c>
      <c r="M14" s="25">
        <v>22</v>
      </c>
      <c r="N14" s="25">
        <v>22</v>
      </c>
      <c r="O14" s="25">
        <v>33</v>
      </c>
      <c r="P14" s="25">
        <v>33</v>
      </c>
      <c r="Q14" s="25">
        <v>22</v>
      </c>
      <c r="R14" s="25">
        <v>33</v>
      </c>
      <c r="S14" s="25">
        <v>33</v>
      </c>
      <c r="T14" s="25">
        <v>33</v>
      </c>
      <c r="U14" s="25">
        <v>33</v>
      </c>
      <c r="V14" s="25">
        <v>33</v>
      </c>
      <c r="W14" s="25">
        <v>33</v>
      </c>
      <c r="X14" s="25">
        <v>16</v>
      </c>
      <c r="Y14" s="25">
        <v>33</v>
      </c>
      <c r="Z14" s="25">
        <v>28</v>
      </c>
      <c r="AA14" s="25">
        <v>28</v>
      </c>
      <c r="AB14" s="25">
        <v>22</v>
      </c>
      <c r="AC14" s="25">
        <v>17</v>
      </c>
      <c r="AD14" s="25">
        <v>6</v>
      </c>
      <c r="AE14" s="25">
        <v>6</v>
      </c>
      <c r="AF14" s="25">
        <v>6</v>
      </c>
      <c r="AG14" s="25">
        <v>6</v>
      </c>
      <c r="AH14" s="25">
        <v>27</v>
      </c>
      <c r="AI14" s="25">
        <v>684</v>
      </c>
    </row>
    <row r="15" spans="1:35" x14ac:dyDescent="0.25">
      <c r="D15" t="s">
        <v>23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>
        <v>11</v>
      </c>
      <c r="AE15" s="25">
        <v>11</v>
      </c>
      <c r="AF15" s="25">
        <v>11</v>
      </c>
      <c r="AG15" s="25"/>
      <c r="AH15" s="25"/>
      <c r="AI15" s="25">
        <v>33</v>
      </c>
    </row>
    <row r="16" spans="1:35" x14ac:dyDescent="0.25">
      <c r="D16" t="s">
        <v>20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spans="2:35" x14ac:dyDescent="0.25">
      <c r="D17" t="s">
        <v>70</v>
      </c>
      <c r="E17" s="25"/>
      <c r="F17" s="25"/>
      <c r="G17" s="25"/>
      <c r="H17" s="25">
        <v>17</v>
      </c>
      <c r="I17" s="25">
        <v>22</v>
      </c>
      <c r="J17" s="25">
        <v>22</v>
      </c>
      <c r="K17" s="25">
        <v>22</v>
      </c>
      <c r="L17" s="25">
        <v>22</v>
      </c>
      <c r="M17" s="25">
        <v>11</v>
      </c>
      <c r="N17" s="25">
        <v>22</v>
      </c>
      <c r="O17" s="25">
        <v>11</v>
      </c>
      <c r="P17" s="25">
        <v>11</v>
      </c>
      <c r="Q17" s="25">
        <v>22</v>
      </c>
      <c r="R17" s="25">
        <v>11</v>
      </c>
      <c r="S17" s="25">
        <v>11</v>
      </c>
      <c r="T17" s="25">
        <v>11</v>
      </c>
      <c r="U17" s="25">
        <v>11</v>
      </c>
      <c r="V17" s="25">
        <v>11</v>
      </c>
      <c r="W17" s="25"/>
      <c r="X17" s="25">
        <v>17</v>
      </c>
      <c r="Y17" s="25"/>
      <c r="Z17" s="25">
        <v>5</v>
      </c>
      <c r="AA17" s="25">
        <v>5</v>
      </c>
      <c r="AB17" s="25">
        <v>11</v>
      </c>
      <c r="AC17" s="25">
        <v>16</v>
      </c>
      <c r="AD17" s="25">
        <v>5</v>
      </c>
      <c r="AE17" s="25">
        <v>5</v>
      </c>
      <c r="AF17" s="25">
        <v>5</v>
      </c>
      <c r="AG17" s="25">
        <v>16</v>
      </c>
      <c r="AH17" s="25">
        <v>17</v>
      </c>
      <c r="AI17" s="25">
        <v>339</v>
      </c>
    </row>
    <row r="18" spans="2:35" x14ac:dyDescent="0.25">
      <c r="B18" t="s">
        <v>20</v>
      </c>
      <c r="C18" t="s">
        <v>20</v>
      </c>
      <c r="D18" t="s">
        <v>44</v>
      </c>
      <c r="E18" s="25">
        <v>3</v>
      </c>
      <c r="F18" s="25">
        <v>3</v>
      </c>
      <c r="G18" s="25">
        <v>3</v>
      </c>
      <c r="H18" s="25">
        <v>3</v>
      </c>
      <c r="I18" s="25">
        <v>3</v>
      </c>
      <c r="J18" s="25">
        <v>3</v>
      </c>
      <c r="K18" s="25">
        <v>3</v>
      </c>
      <c r="L18" s="25">
        <v>3</v>
      </c>
      <c r="M18" s="25">
        <v>3</v>
      </c>
      <c r="N18" s="25">
        <v>2</v>
      </c>
      <c r="O18" s="25">
        <v>2</v>
      </c>
      <c r="P18" s="25">
        <v>2</v>
      </c>
      <c r="Q18" s="25">
        <v>2</v>
      </c>
      <c r="R18" s="25">
        <v>2</v>
      </c>
      <c r="S18" s="25">
        <v>2</v>
      </c>
      <c r="T18" s="25">
        <v>2</v>
      </c>
      <c r="U18" s="25">
        <v>2</v>
      </c>
      <c r="V18" s="25">
        <v>2</v>
      </c>
      <c r="W18" s="25">
        <v>2</v>
      </c>
      <c r="X18" s="25">
        <v>2</v>
      </c>
      <c r="Y18" s="25">
        <v>2</v>
      </c>
      <c r="Z18" s="25">
        <v>2</v>
      </c>
      <c r="AA18" s="25">
        <v>2</v>
      </c>
      <c r="AB18" s="25">
        <v>2</v>
      </c>
      <c r="AC18" s="25">
        <v>2</v>
      </c>
      <c r="AD18" s="25">
        <v>2</v>
      </c>
      <c r="AE18" s="25">
        <v>2</v>
      </c>
      <c r="AF18" s="25">
        <v>2</v>
      </c>
      <c r="AG18" s="25">
        <v>2</v>
      </c>
      <c r="AH18" s="25">
        <v>2</v>
      </c>
      <c r="AI18" s="25">
        <v>69</v>
      </c>
    </row>
    <row r="19" spans="2:35" x14ac:dyDescent="0.25">
      <c r="D19" t="s">
        <v>52</v>
      </c>
      <c r="E19" s="25"/>
      <c r="F19" s="25"/>
      <c r="G19" s="25"/>
      <c r="H19" s="25"/>
      <c r="I19" s="25"/>
      <c r="J19" s="25"/>
      <c r="K19" s="25"/>
      <c r="L19" s="25"/>
      <c r="M19" s="25"/>
      <c r="N19" s="25">
        <v>1</v>
      </c>
      <c r="O19" s="25">
        <v>1</v>
      </c>
      <c r="P19" s="25">
        <v>1</v>
      </c>
      <c r="Q19" s="25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25">
        <v>1</v>
      </c>
      <c r="AI19" s="25">
        <v>21</v>
      </c>
    </row>
    <row r="20" spans="2:35" x14ac:dyDescent="0.25">
      <c r="B20" t="s">
        <v>65</v>
      </c>
      <c r="C20" t="s">
        <v>20</v>
      </c>
      <c r="D20" t="s">
        <v>24</v>
      </c>
      <c r="E20" s="25"/>
      <c r="F20" s="25"/>
      <c r="G20" s="25">
        <v>8</v>
      </c>
      <c r="H20" s="25"/>
      <c r="I20" s="25"/>
      <c r="J20" s="25"/>
      <c r="K20" s="25">
        <v>8</v>
      </c>
      <c r="L20" s="25">
        <v>8</v>
      </c>
      <c r="M20" s="25">
        <v>8</v>
      </c>
      <c r="N20" s="25">
        <v>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>
        <v>40</v>
      </c>
    </row>
    <row r="21" spans="2:35" x14ac:dyDescent="0.25">
      <c r="D21" t="s">
        <v>10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>
        <v>11</v>
      </c>
      <c r="Q21" s="25">
        <v>11</v>
      </c>
      <c r="R21" s="25">
        <v>11</v>
      </c>
      <c r="S21" s="25">
        <v>11</v>
      </c>
      <c r="T21" s="25">
        <v>11</v>
      </c>
      <c r="U21" s="25">
        <v>11</v>
      </c>
      <c r="V21" s="25">
        <v>22</v>
      </c>
      <c r="W21" s="25">
        <v>11</v>
      </c>
      <c r="X21" s="25">
        <v>11</v>
      </c>
      <c r="Y21" s="25">
        <v>11</v>
      </c>
      <c r="Z21" s="25">
        <v>11</v>
      </c>
      <c r="AA21" s="25">
        <v>11</v>
      </c>
      <c r="AB21" s="25">
        <v>22</v>
      </c>
      <c r="AC21" s="25">
        <v>22</v>
      </c>
      <c r="AD21" s="25">
        <v>11</v>
      </c>
      <c r="AE21" s="25">
        <v>11</v>
      </c>
      <c r="AF21" s="25">
        <v>11</v>
      </c>
      <c r="AG21" s="25">
        <v>22</v>
      </c>
      <c r="AH21" s="25">
        <v>11</v>
      </c>
      <c r="AI21" s="25">
        <v>253</v>
      </c>
    </row>
    <row r="22" spans="2:35" x14ac:dyDescent="0.25">
      <c r="D22" t="s">
        <v>23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>
        <v>11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>
        <v>11</v>
      </c>
    </row>
    <row r="23" spans="2:35" x14ac:dyDescent="0.25">
      <c r="D23" t="s">
        <v>52</v>
      </c>
      <c r="E23" s="25">
        <v>1</v>
      </c>
      <c r="F23" s="25">
        <v>1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>
        <v>2</v>
      </c>
    </row>
    <row r="24" spans="2:35" x14ac:dyDescent="0.25">
      <c r="D24" t="s">
        <v>50</v>
      </c>
      <c r="E24" s="25"/>
      <c r="F24" s="25"/>
      <c r="G24" s="25"/>
      <c r="H24" s="25">
        <v>11</v>
      </c>
      <c r="I24" s="25">
        <v>11</v>
      </c>
      <c r="J24" s="25">
        <v>11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>
        <v>33</v>
      </c>
    </row>
    <row r="25" spans="2:35" x14ac:dyDescent="0.25">
      <c r="B25" t="s">
        <v>66</v>
      </c>
      <c r="C25" t="s">
        <v>20</v>
      </c>
      <c r="D25" t="s">
        <v>38</v>
      </c>
      <c r="E25" s="25"/>
      <c r="F25" s="25"/>
      <c r="G25" s="25">
        <v>33</v>
      </c>
      <c r="H25" s="25"/>
      <c r="I25" s="25">
        <v>22</v>
      </c>
      <c r="J25" s="25">
        <v>33</v>
      </c>
      <c r="K25" s="25">
        <v>22</v>
      </c>
      <c r="L25" s="25"/>
      <c r="M25" s="25"/>
      <c r="N25" s="25"/>
      <c r="O25" s="25"/>
      <c r="P25" s="25">
        <v>22</v>
      </c>
      <c r="Q25" s="25">
        <v>22</v>
      </c>
      <c r="R25" s="25"/>
      <c r="S25" s="25"/>
      <c r="T25" s="25"/>
      <c r="U25" s="25"/>
      <c r="V25" s="25"/>
      <c r="W25" s="25"/>
      <c r="X25" s="25">
        <v>11</v>
      </c>
      <c r="Y25" s="25"/>
      <c r="Z25" s="25"/>
      <c r="AA25" s="25"/>
      <c r="AB25" s="25"/>
      <c r="AC25" s="25"/>
      <c r="AD25" s="25"/>
      <c r="AE25" s="25"/>
      <c r="AF25" s="25">
        <v>11</v>
      </c>
      <c r="AG25" s="25">
        <v>11</v>
      </c>
      <c r="AH25" s="25"/>
      <c r="AI25" s="25">
        <v>187</v>
      </c>
    </row>
    <row r="26" spans="2:35" x14ac:dyDescent="0.25">
      <c r="D26" t="s">
        <v>24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>
        <v>8</v>
      </c>
      <c r="P26" s="25">
        <v>8</v>
      </c>
      <c r="Q26" s="25"/>
      <c r="R26" s="25"/>
      <c r="S26" s="25">
        <v>8</v>
      </c>
      <c r="T26" s="25">
        <v>16</v>
      </c>
      <c r="U26" s="25"/>
      <c r="V26" s="25"/>
      <c r="W26" s="25"/>
      <c r="X26" s="25">
        <v>16</v>
      </c>
      <c r="Y26" s="25">
        <v>16</v>
      </c>
      <c r="Z26" s="25">
        <v>8</v>
      </c>
      <c r="AA26" s="25">
        <v>16</v>
      </c>
      <c r="AB26" s="25">
        <v>8</v>
      </c>
      <c r="AC26" s="25"/>
      <c r="AD26" s="25"/>
      <c r="AE26" s="25"/>
      <c r="AF26" s="25">
        <v>8</v>
      </c>
      <c r="AG26" s="25">
        <v>16</v>
      </c>
      <c r="AH26" s="25">
        <v>8</v>
      </c>
      <c r="AI26" s="25">
        <v>136</v>
      </c>
    </row>
    <row r="27" spans="2:35" x14ac:dyDescent="0.25">
      <c r="D27" t="s">
        <v>30</v>
      </c>
      <c r="E27" s="25"/>
      <c r="F27" s="25"/>
      <c r="G27" s="25"/>
      <c r="H27" s="25"/>
      <c r="I27" s="25"/>
      <c r="J27" s="25">
        <v>1</v>
      </c>
      <c r="K27" s="25">
        <v>1</v>
      </c>
      <c r="L27" s="25"/>
      <c r="M27" s="25"/>
      <c r="N27" s="25"/>
      <c r="O27" s="25"/>
      <c r="P27" s="25"/>
      <c r="Q27" s="25">
        <v>2</v>
      </c>
      <c r="R27" s="25">
        <v>2</v>
      </c>
      <c r="S27" s="25"/>
      <c r="T27" s="25"/>
      <c r="U27" s="25"/>
      <c r="V27" s="25"/>
      <c r="W27" s="25">
        <v>1</v>
      </c>
      <c r="X27" s="25">
        <v>4</v>
      </c>
      <c r="Y27" s="25">
        <v>5</v>
      </c>
      <c r="Z27" s="25">
        <v>2</v>
      </c>
      <c r="AA27" s="25">
        <v>1</v>
      </c>
      <c r="AB27" s="25">
        <v>1</v>
      </c>
      <c r="AC27" s="25"/>
      <c r="AD27" s="25"/>
      <c r="AE27" s="25">
        <v>5</v>
      </c>
      <c r="AF27" s="25">
        <v>4</v>
      </c>
      <c r="AG27" s="25"/>
      <c r="AH27" s="25"/>
      <c r="AI27" s="25">
        <v>29</v>
      </c>
    </row>
    <row r="28" spans="2:35" x14ac:dyDescent="0.25">
      <c r="D28" t="s">
        <v>29</v>
      </c>
      <c r="E28" s="25">
        <v>8</v>
      </c>
      <c r="F28" s="25">
        <v>8</v>
      </c>
      <c r="G28" s="25">
        <v>8</v>
      </c>
      <c r="H28" s="25">
        <v>8</v>
      </c>
      <c r="I28" s="25">
        <v>8</v>
      </c>
      <c r="J28" s="25"/>
      <c r="K28" s="25"/>
      <c r="L28" s="25">
        <v>8</v>
      </c>
      <c r="M28" s="25">
        <v>8</v>
      </c>
      <c r="N28" s="25">
        <v>8</v>
      </c>
      <c r="O28" s="25">
        <v>8</v>
      </c>
      <c r="P28" s="25">
        <v>8</v>
      </c>
      <c r="Q28" s="25"/>
      <c r="R28" s="25"/>
      <c r="S28" s="25">
        <v>16</v>
      </c>
      <c r="T28" s="25">
        <v>16</v>
      </c>
      <c r="U28" s="25">
        <v>24</v>
      </c>
      <c r="V28" s="25">
        <v>24</v>
      </c>
      <c r="W28" s="25">
        <v>24</v>
      </c>
      <c r="X28" s="25"/>
      <c r="Y28" s="25"/>
      <c r="Z28" s="25">
        <v>32</v>
      </c>
      <c r="AA28" s="25">
        <v>32</v>
      </c>
      <c r="AB28" s="25">
        <v>24</v>
      </c>
      <c r="AC28" s="25">
        <v>32</v>
      </c>
      <c r="AD28" s="25">
        <v>32</v>
      </c>
      <c r="AE28" s="25"/>
      <c r="AF28" s="25"/>
      <c r="AG28" s="25">
        <v>32</v>
      </c>
      <c r="AH28" s="25">
        <v>40</v>
      </c>
      <c r="AI28" s="25">
        <v>408</v>
      </c>
    </row>
    <row r="29" spans="2:35" x14ac:dyDescent="0.25">
      <c r="D29" t="s">
        <v>10</v>
      </c>
      <c r="E29" s="25">
        <v>209</v>
      </c>
      <c r="F29" s="25">
        <v>286</v>
      </c>
      <c r="G29" s="25">
        <v>220</v>
      </c>
      <c r="H29" s="25">
        <v>231</v>
      </c>
      <c r="I29" s="25">
        <v>231</v>
      </c>
      <c r="J29" s="25">
        <v>187</v>
      </c>
      <c r="K29" s="25">
        <v>242</v>
      </c>
      <c r="L29" s="25">
        <v>242</v>
      </c>
      <c r="M29" s="25">
        <v>231</v>
      </c>
      <c r="N29" s="25">
        <v>242</v>
      </c>
      <c r="O29" s="25">
        <v>264</v>
      </c>
      <c r="P29" s="25">
        <v>231</v>
      </c>
      <c r="Q29" s="25">
        <v>220</v>
      </c>
      <c r="R29" s="25">
        <v>264</v>
      </c>
      <c r="S29" s="25">
        <v>209</v>
      </c>
      <c r="T29" s="25">
        <v>209</v>
      </c>
      <c r="U29" s="25">
        <v>209</v>
      </c>
      <c r="V29" s="25">
        <v>220</v>
      </c>
      <c r="W29" s="25">
        <v>220</v>
      </c>
      <c r="X29" s="25">
        <v>220</v>
      </c>
      <c r="Y29" s="25">
        <v>165</v>
      </c>
      <c r="Z29" s="25">
        <v>198</v>
      </c>
      <c r="AA29" s="25">
        <v>165</v>
      </c>
      <c r="AB29" s="25">
        <v>187</v>
      </c>
      <c r="AC29" s="25">
        <v>198</v>
      </c>
      <c r="AD29" s="25">
        <v>220</v>
      </c>
      <c r="AE29" s="25">
        <v>176</v>
      </c>
      <c r="AF29" s="25">
        <v>143</v>
      </c>
      <c r="AG29" s="25">
        <v>165</v>
      </c>
      <c r="AH29" s="25">
        <v>165</v>
      </c>
      <c r="AI29" s="25">
        <v>6369</v>
      </c>
    </row>
    <row r="30" spans="2:35" x14ac:dyDescent="0.25">
      <c r="D30" t="s">
        <v>23</v>
      </c>
      <c r="E30" s="25"/>
      <c r="F30" s="25"/>
      <c r="G30" s="25"/>
      <c r="H30" s="25"/>
      <c r="I30" s="25"/>
      <c r="J30" s="25"/>
      <c r="K30" s="25">
        <v>11</v>
      </c>
      <c r="L30" s="25">
        <v>11</v>
      </c>
      <c r="M30" s="25">
        <v>11</v>
      </c>
      <c r="N30" s="25"/>
      <c r="O30" s="25"/>
      <c r="P30" s="25"/>
      <c r="Q30" s="25"/>
      <c r="R30" s="25"/>
      <c r="S30" s="25">
        <v>22</v>
      </c>
      <c r="T30" s="25">
        <v>22</v>
      </c>
      <c r="U30" s="25">
        <v>11</v>
      </c>
      <c r="V30" s="25">
        <v>22</v>
      </c>
      <c r="W30" s="25">
        <v>22</v>
      </c>
      <c r="X30" s="25">
        <v>11</v>
      </c>
      <c r="Y30" s="25">
        <v>22</v>
      </c>
      <c r="Z30" s="25"/>
      <c r="AA30" s="25"/>
      <c r="AB30" s="25">
        <v>11</v>
      </c>
      <c r="AC30" s="25">
        <v>11</v>
      </c>
      <c r="AD30" s="25">
        <v>11</v>
      </c>
      <c r="AE30" s="25"/>
      <c r="AF30" s="25"/>
      <c r="AG30" s="25"/>
      <c r="AH30" s="25"/>
      <c r="AI30" s="25">
        <v>198</v>
      </c>
    </row>
    <row r="31" spans="2:35" x14ac:dyDescent="0.25">
      <c r="D31" t="s">
        <v>70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>
        <v>11</v>
      </c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>
        <v>11</v>
      </c>
    </row>
    <row r="32" spans="2:35" x14ac:dyDescent="0.25">
      <c r="D32" t="s">
        <v>44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25">
        <v>1</v>
      </c>
      <c r="AI32" s="25">
        <v>7</v>
      </c>
    </row>
    <row r="33" spans="2:35" x14ac:dyDescent="0.25">
      <c r="D33" t="s">
        <v>50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>
        <v>11</v>
      </c>
      <c r="V33" s="25">
        <v>11</v>
      </c>
      <c r="W33" s="25">
        <v>11</v>
      </c>
      <c r="X33" s="25"/>
      <c r="Y33" s="25"/>
      <c r="Z33" s="25"/>
      <c r="AA33" s="25"/>
      <c r="AB33" s="25">
        <v>11</v>
      </c>
      <c r="AC33" s="25"/>
      <c r="AD33" s="25"/>
      <c r="AE33" s="25"/>
      <c r="AF33" s="25"/>
      <c r="AG33" s="25"/>
      <c r="AH33" s="25"/>
      <c r="AI33" s="25">
        <v>44</v>
      </c>
    </row>
    <row r="34" spans="2:35" x14ac:dyDescent="0.25">
      <c r="B34" t="s">
        <v>68</v>
      </c>
      <c r="C34" t="s">
        <v>20</v>
      </c>
      <c r="D34" t="s">
        <v>38</v>
      </c>
      <c r="E34" s="25"/>
      <c r="F34" s="25"/>
      <c r="G34" s="25"/>
      <c r="H34" s="25"/>
      <c r="I34" s="25">
        <v>22</v>
      </c>
      <c r="J34" s="25">
        <v>33</v>
      </c>
      <c r="K34" s="25"/>
      <c r="L34" s="25"/>
      <c r="M34" s="25"/>
      <c r="N34" s="25">
        <v>11</v>
      </c>
      <c r="O34" s="25"/>
      <c r="P34" s="25">
        <v>11</v>
      </c>
      <c r="Q34" s="25">
        <v>11</v>
      </c>
      <c r="R34" s="25"/>
      <c r="S34" s="25"/>
      <c r="T34" s="25"/>
      <c r="U34" s="25"/>
      <c r="V34" s="25"/>
      <c r="W34" s="25"/>
      <c r="X34" s="25"/>
      <c r="Y34" s="25"/>
      <c r="Z34" s="25">
        <v>11</v>
      </c>
      <c r="AA34" s="25"/>
      <c r="AB34" s="25"/>
      <c r="AC34" s="25"/>
      <c r="AD34" s="25"/>
      <c r="AE34" s="25"/>
      <c r="AF34" s="25"/>
      <c r="AG34" s="25"/>
      <c r="AH34" s="25"/>
      <c r="AI34" s="25">
        <v>99</v>
      </c>
    </row>
    <row r="35" spans="2:35" x14ac:dyDescent="0.25">
      <c r="D35" t="s">
        <v>24</v>
      </c>
      <c r="E35" s="25"/>
      <c r="F35" s="25"/>
      <c r="G35" s="25"/>
      <c r="H35" s="25"/>
      <c r="I35" s="25"/>
      <c r="J35" s="25"/>
      <c r="K35" s="25">
        <v>8</v>
      </c>
      <c r="L35" s="25">
        <v>8</v>
      </c>
      <c r="M35" s="25">
        <v>8</v>
      </c>
      <c r="N35" s="25">
        <v>8</v>
      </c>
      <c r="O35" s="25"/>
      <c r="P35" s="25"/>
      <c r="Q35" s="25"/>
      <c r="R35" s="25"/>
      <c r="S35" s="25"/>
      <c r="T35" s="25"/>
      <c r="U35" s="25"/>
      <c r="V35" s="25"/>
      <c r="W35" s="25">
        <v>8</v>
      </c>
      <c r="X35" s="25">
        <v>8</v>
      </c>
      <c r="Y35" s="25">
        <v>8</v>
      </c>
      <c r="Z35" s="25">
        <v>16</v>
      </c>
      <c r="AA35" s="25">
        <v>8</v>
      </c>
      <c r="AB35" s="25">
        <v>8</v>
      </c>
      <c r="AC35" s="25">
        <v>16</v>
      </c>
      <c r="AD35" s="25">
        <v>8</v>
      </c>
      <c r="AE35" s="25">
        <v>8</v>
      </c>
      <c r="AF35" s="25">
        <v>8</v>
      </c>
      <c r="AG35" s="25">
        <v>8</v>
      </c>
      <c r="AH35" s="25">
        <v>8</v>
      </c>
      <c r="AI35" s="25">
        <v>144</v>
      </c>
    </row>
    <row r="36" spans="2:35" x14ac:dyDescent="0.25">
      <c r="D36" t="s">
        <v>30</v>
      </c>
      <c r="E36" s="25"/>
      <c r="F36" s="25">
        <v>1</v>
      </c>
      <c r="G36" s="25">
        <v>1</v>
      </c>
      <c r="H36" s="25">
        <v>1</v>
      </c>
      <c r="I36" s="25">
        <v>1</v>
      </c>
      <c r="J36" s="25">
        <v>4</v>
      </c>
      <c r="K36" s="25">
        <v>3</v>
      </c>
      <c r="L36" s="25">
        <v>1</v>
      </c>
      <c r="M36" s="25"/>
      <c r="N36" s="25">
        <v>1</v>
      </c>
      <c r="O36" s="25">
        <v>1</v>
      </c>
      <c r="P36" s="25">
        <v>1</v>
      </c>
      <c r="Q36" s="25">
        <v>3</v>
      </c>
      <c r="R36" s="25">
        <v>3</v>
      </c>
      <c r="S36" s="25">
        <v>1</v>
      </c>
      <c r="T36" s="25">
        <v>1</v>
      </c>
      <c r="U36" s="25">
        <v>1</v>
      </c>
      <c r="V36" s="25">
        <v>1</v>
      </c>
      <c r="W36" s="25">
        <v>1</v>
      </c>
      <c r="X36" s="25">
        <v>3</v>
      </c>
      <c r="Y36" s="25">
        <v>3</v>
      </c>
      <c r="Z36" s="25"/>
      <c r="AA36" s="25"/>
      <c r="AB36" s="25"/>
      <c r="AC36" s="25"/>
      <c r="AD36" s="25"/>
      <c r="AE36" s="25">
        <v>3</v>
      </c>
      <c r="AF36" s="25">
        <v>3</v>
      </c>
      <c r="AG36" s="25"/>
      <c r="AH36" s="25"/>
      <c r="AI36" s="25">
        <v>38</v>
      </c>
    </row>
    <row r="37" spans="2:35" x14ac:dyDescent="0.25">
      <c r="D37" t="s">
        <v>29</v>
      </c>
      <c r="E37" s="25">
        <v>24</v>
      </c>
      <c r="F37" s="25">
        <v>24</v>
      </c>
      <c r="G37" s="25">
        <v>24</v>
      </c>
      <c r="H37" s="25">
        <v>24</v>
      </c>
      <c r="I37" s="25">
        <v>24</v>
      </c>
      <c r="J37" s="25"/>
      <c r="K37" s="25"/>
      <c r="L37" s="25">
        <v>16</v>
      </c>
      <c r="M37" s="25">
        <v>16</v>
      </c>
      <c r="N37" s="25">
        <v>16</v>
      </c>
      <c r="O37" s="25">
        <v>16</v>
      </c>
      <c r="P37" s="25">
        <v>16</v>
      </c>
      <c r="Q37" s="25"/>
      <c r="R37" s="25"/>
      <c r="S37" s="25">
        <v>16</v>
      </c>
      <c r="T37" s="25">
        <v>16</v>
      </c>
      <c r="U37" s="25">
        <v>16</v>
      </c>
      <c r="V37" s="25">
        <v>16</v>
      </c>
      <c r="W37" s="25">
        <v>16</v>
      </c>
      <c r="X37" s="25"/>
      <c r="Y37" s="25"/>
      <c r="Z37" s="25">
        <v>16</v>
      </c>
      <c r="AA37" s="25">
        <v>24</v>
      </c>
      <c r="AB37" s="25">
        <v>24</v>
      </c>
      <c r="AC37" s="25">
        <v>16</v>
      </c>
      <c r="AD37" s="25">
        <v>24</v>
      </c>
      <c r="AE37" s="25"/>
      <c r="AF37" s="25"/>
      <c r="AG37" s="25">
        <v>24</v>
      </c>
      <c r="AH37" s="25">
        <v>24</v>
      </c>
      <c r="AI37" s="25">
        <v>432</v>
      </c>
    </row>
    <row r="38" spans="2:35" x14ac:dyDescent="0.25">
      <c r="D38" t="s">
        <v>10</v>
      </c>
      <c r="E38" s="25">
        <v>88</v>
      </c>
      <c r="F38" s="25">
        <v>77</v>
      </c>
      <c r="G38" s="25">
        <v>79</v>
      </c>
      <c r="H38" s="25">
        <v>77</v>
      </c>
      <c r="I38" s="25">
        <v>66</v>
      </c>
      <c r="J38" s="25">
        <v>50</v>
      </c>
      <c r="K38" s="25">
        <v>77</v>
      </c>
      <c r="L38" s="25">
        <v>95</v>
      </c>
      <c r="M38" s="25">
        <v>87</v>
      </c>
      <c r="N38" s="25">
        <v>55</v>
      </c>
      <c r="O38" s="25">
        <v>66</v>
      </c>
      <c r="P38" s="25">
        <v>73</v>
      </c>
      <c r="Q38" s="25">
        <v>79</v>
      </c>
      <c r="R38" s="25">
        <v>69</v>
      </c>
      <c r="S38" s="25">
        <v>81</v>
      </c>
      <c r="T38" s="25">
        <v>77</v>
      </c>
      <c r="U38" s="25">
        <v>79</v>
      </c>
      <c r="V38" s="25">
        <v>77</v>
      </c>
      <c r="W38" s="25">
        <v>93</v>
      </c>
      <c r="X38" s="25">
        <v>98</v>
      </c>
      <c r="Y38" s="25">
        <v>77</v>
      </c>
      <c r="Z38" s="25">
        <v>55</v>
      </c>
      <c r="AA38" s="25">
        <v>88</v>
      </c>
      <c r="AB38" s="25">
        <v>110</v>
      </c>
      <c r="AC38" s="25">
        <v>98</v>
      </c>
      <c r="AD38" s="25">
        <v>110</v>
      </c>
      <c r="AE38" s="25">
        <v>89</v>
      </c>
      <c r="AF38" s="25">
        <v>88</v>
      </c>
      <c r="AG38" s="25">
        <v>121</v>
      </c>
      <c r="AH38" s="25">
        <v>91</v>
      </c>
      <c r="AI38" s="25">
        <v>2470</v>
      </c>
    </row>
    <row r="39" spans="2:35" x14ac:dyDescent="0.25">
      <c r="D39" t="s">
        <v>23</v>
      </c>
      <c r="E39" s="25"/>
      <c r="F39" s="25"/>
      <c r="G39" s="25"/>
      <c r="H39" s="25"/>
      <c r="I39" s="25"/>
      <c r="J39" s="25"/>
      <c r="K39" s="25"/>
      <c r="L39" s="25"/>
      <c r="M39" s="25">
        <v>11</v>
      </c>
      <c r="N39" s="25">
        <v>11</v>
      </c>
      <c r="O39" s="25">
        <v>11</v>
      </c>
      <c r="P39" s="25">
        <v>11</v>
      </c>
      <c r="Q39" s="25">
        <v>11</v>
      </c>
      <c r="R39" s="25">
        <v>11</v>
      </c>
      <c r="S39" s="25">
        <v>11</v>
      </c>
      <c r="T39" s="25">
        <v>11</v>
      </c>
      <c r="U39" s="25">
        <v>11</v>
      </c>
      <c r="V39" s="25">
        <v>11</v>
      </c>
      <c r="W39" s="25"/>
      <c r="X39" s="25"/>
      <c r="Y39" s="25">
        <v>11</v>
      </c>
      <c r="Z39" s="25">
        <v>11</v>
      </c>
      <c r="AA39" s="25">
        <v>11</v>
      </c>
      <c r="AB39" s="25"/>
      <c r="AC39" s="25"/>
      <c r="AD39" s="25"/>
      <c r="AE39" s="25"/>
      <c r="AF39" s="25"/>
      <c r="AG39" s="25"/>
      <c r="AH39" s="25">
        <v>11</v>
      </c>
      <c r="AI39" s="25">
        <v>154</v>
      </c>
    </row>
    <row r="40" spans="2:35" x14ac:dyDescent="0.25">
      <c r="D40" t="s">
        <v>70</v>
      </c>
      <c r="E40" s="25"/>
      <c r="F40" s="25"/>
      <c r="G40" s="25"/>
      <c r="H40" s="25"/>
      <c r="I40" s="25"/>
      <c r="J40" s="25"/>
      <c r="K40" s="25"/>
      <c r="L40" s="25"/>
      <c r="M40" s="25"/>
      <c r="N40" s="25">
        <v>11</v>
      </c>
      <c r="O40" s="25"/>
      <c r="P40" s="25"/>
      <c r="Q40" s="25"/>
      <c r="R40" s="25"/>
      <c r="S40" s="25"/>
      <c r="T40" s="25">
        <v>11</v>
      </c>
      <c r="U40" s="25">
        <v>11</v>
      </c>
      <c r="V40" s="25"/>
      <c r="W40" s="25"/>
      <c r="X40" s="25"/>
      <c r="Y40" s="25"/>
      <c r="Z40" s="25">
        <v>22</v>
      </c>
      <c r="AA40" s="25"/>
      <c r="AB40" s="25"/>
      <c r="AC40" s="25">
        <v>1</v>
      </c>
      <c r="AD40" s="25"/>
      <c r="AE40" s="25">
        <v>10</v>
      </c>
      <c r="AF40" s="25">
        <v>11</v>
      </c>
      <c r="AG40" s="25"/>
      <c r="AH40" s="25"/>
      <c r="AI40" s="25">
        <v>77</v>
      </c>
    </row>
    <row r="41" spans="2:35" x14ac:dyDescent="0.25">
      <c r="D41" t="s">
        <v>50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>
        <v>11</v>
      </c>
      <c r="P41" s="25">
        <v>11</v>
      </c>
      <c r="Q41" s="25"/>
      <c r="R41" s="25">
        <v>11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>
        <v>33</v>
      </c>
    </row>
    <row r="42" spans="2:35" x14ac:dyDescent="0.25">
      <c r="B42" t="s">
        <v>72</v>
      </c>
      <c r="C42" t="s">
        <v>20</v>
      </c>
      <c r="D42" t="s">
        <v>38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>
        <v>11</v>
      </c>
      <c r="Q42" s="25">
        <v>11</v>
      </c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>
        <v>22</v>
      </c>
    </row>
    <row r="43" spans="2:35" x14ac:dyDescent="0.25">
      <c r="D43" t="s">
        <v>24</v>
      </c>
      <c r="E43" s="25"/>
      <c r="F43" s="25"/>
      <c r="G43" s="25"/>
      <c r="H43" s="25"/>
      <c r="I43" s="25"/>
      <c r="J43" s="25"/>
      <c r="K43" s="25"/>
      <c r="L43" s="25"/>
      <c r="M43" s="25">
        <v>8</v>
      </c>
      <c r="N43" s="25">
        <v>8</v>
      </c>
      <c r="O43" s="25"/>
      <c r="P43" s="25"/>
      <c r="Q43" s="25"/>
      <c r="R43" s="25"/>
      <c r="S43" s="25"/>
      <c r="T43" s="25">
        <v>8</v>
      </c>
      <c r="U43" s="25"/>
      <c r="V43" s="25"/>
      <c r="W43" s="25"/>
      <c r="X43" s="25">
        <v>8</v>
      </c>
      <c r="Y43" s="25">
        <v>8</v>
      </c>
      <c r="Z43" s="25">
        <v>8</v>
      </c>
      <c r="AA43" s="25">
        <v>8</v>
      </c>
      <c r="AB43" s="25"/>
      <c r="AC43" s="25"/>
      <c r="AD43" s="25"/>
      <c r="AE43" s="25"/>
      <c r="AF43" s="25">
        <v>8</v>
      </c>
      <c r="AG43" s="25">
        <v>8</v>
      </c>
      <c r="AH43" s="25">
        <v>8</v>
      </c>
      <c r="AI43" s="25">
        <v>80</v>
      </c>
    </row>
    <row r="44" spans="2:35" x14ac:dyDescent="0.25">
      <c r="D44" t="s">
        <v>30</v>
      </c>
      <c r="E44" s="25"/>
      <c r="F44" s="25"/>
      <c r="G44" s="25"/>
      <c r="H44" s="25"/>
      <c r="I44" s="25"/>
      <c r="J44" s="25">
        <v>1</v>
      </c>
      <c r="K44" s="25">
        <v>1</v>
      </c>
      <c r="L44" s="25"/>
      <c r="M44" s="25"/>
      <c r="N44" s="25"/>
      <c r="O44" s="25"/>
      <c r="P44" s="25"/>
      <c r="Q44" s="25">
        <v>1</v>
      </c>
      <c r="R44" s="25">
        <v>1</v>
      </c>
      <c r="S44" s="25"/>
      <c r="T44" s="25"/>
      <c r="U44" s="25"/>
      <c r="V44" s="25"/>
      <c r="W44" s="25"/>
      <c r="X44" s="25">
        <v>1</v>
      </c>
      <c r="Y44" s="25">
        <v>1</v>
      </c>
      <c r="Z44" s="25"/>
      <c r="AA44" s="25"/>
      <c r="AB44" s="25"/>
      <c r="AC44" s="25"/>
      <c r="AD44" s="25"/>
      <c r="AE44" s="25">
        <v>1</v>
      </c>
      <c r="AF44" s="25">
        <v>1</v>
      </c>
      <c r="AG44" s="25"/>
      <c r="AH44" s="25"/>
      <c r="AI44" s="25">
        <v>8</v>
      </c>
    </row>
    <row r="45" spans="2:35" x14ac:dyDescent="0.25">
      <c r="D45" t="s">
        <v>29</v>
      </c>
      <c r="E45" s="25">
        <v>8</v>
      </c>
      <c r="F45" s="25">
        <v>8</v>
      </c>
      <c r="G45" s="25">
        <v>8</v>
      </c>
      <c r="H45" s="25">
        <v>8</v>
      </c>
      <c r="I45" s="25">
        <v>8</v>
      </c>
      <c r="J45" s="25"/>
      <c r="K45" s="25"/>
      <c r="L45" s="25">
        <v>8</v>
      </c>
      <c r="M45" s="25">
        <v>8</v>
      </c>
      <c r="N45" s="25">
        <v>8</v>
      </c>
      <c r="O45" s="25">
        <v>8</v>
      </c>
      <c r="P45" s="25">
        <v>8</v>
      </c>
      <c r="Q45" s="25"/>
      <c r="R45" s="25"/>
      <c r="S45" s="25">
        <v>8</v>
      </c>
      <c r="T45" s="25">
        <v>8</v>
      </c>
      <c r="U45" s="25">
        <v>8</v>
      </c>
      <c r="V45" s="25">
        <v>8</v>
      </c>
      <c r="W45" s="25">
        <v>8</v>
      </c>
      <c r="X45" s="25"/>
      <c r="Y45" s="25"/>
      <c r="Z45" s="25">
        <v>8</v>
      </c>
      <c r="AA45" s="25">
        <v>8</v>
      </c>
      <c r="AB45" s="25">
        <v>8</v>
      </c>
      <c r="AC45" s="25">
        <v>8</v>
      </c>
      <c r="AD45" s="25">
        <v>8</v>
      </c>
      <c r="AE45" s="25"/>
      <c r="AF45" s="25"/>
      <c r="AG45" s="25">
        <v>8</v>
      </c>
      <c r="AH45" s="25">
        <v>8</v>
      </c>
      <c r="AI45" s="25">
        <v>176</v>
      </c>
    </row>
    <row r="46" spans="2:35" x14ac:dyDescent="0.25">
      <c r="D46" t="s">
        <v>10</v>
      </c>
      <c r="E46" s="25">
        <v>22</v>
      </c>
      <c r="F46" s="25">
        <v>35</v>
      </c>
      <c r="G46" s="25">
        <v>44</v>
      </c>
      <c r="H46" s="25">
        <v>33</v>
      </c>
      <c r="I46" s="25">
        <v>33</v>
      </c>
      <c r="J46" s="25">
        <v>33</v>
      </c>
      <c r="K46" s="25">
        <v>26</v>
      </c>
      <c r="L46" s="25">
        <v>22</v>
      </c>
      <c r="M46" s="25">
        <v>22</v>
      </c>
      <c r="N46" s="25">
        <v>26</v>
      </c>
      <c r="O46" s="25">
        <v>22</v>
      </c>
      <c r="P46" s="25">
        <v>17</v>
      </c>
      <c r="Q46" s="25">
        <v>33</v>
      </c>
      <c r="R46" s="25">
        <v>22</v>
      </c>
      <c r="S46" s="25">
        <v>37</v>
      </c>
      <c r="T46" s="25">
        <v>33</v>
      </c>
      <c r="U46" s="25">
        <v>44</v>
      </c>
      <c r="V46" s="25">
        <v>44</v>
      </c>
      <c r="W46" s="25">
        <v>33</v>
      </c>
      <c r="X46" s="25">
        <v>44</v>
      </c>
      <c r="Y46" s="25">
        <v>33</v>
      </c>
      <c r="Z46" s="25">
        <v>22</v>
      </c>
      <c r="AA46" s="25">
        <v>22</v>
      </c>
      <c r="AB46" s="25">
        <v>44</v>
      </c>
      <c r="AC46" s="25">
        <v>44</v>
      </c>
      <c r="AD46" s="25">
        <v>37</v>
      </c>
      <c r="AE46" s="25">
        <v>48</v>
      </c>
      <c r="AF46" s="25">
        <v>37</v>
      </c>
      <c r="AG46" s="25">
        <v>33</v>
      </c>
      <c r="AH46" s="25">
        <v>33</v>
      </c>
      <c r="AI46" s="25">
        <v>978</v>
      </c>
    </row>
    <row r="47" spans="2:35" x14ac:dyDescent="0.25">
      <c r="D47" t="s">
        <v>23</v>
      </c>
      <c r="E47" s="25">
        <v>11</v>
      </c>
      <c r="F47" s="25"/>
      <c r="G47" s="25"/>
      <c r="H47" s="25"/>
      <c r="I47" s="25"/>
      <c r="J47" s="25"/>
      <c r="K47" s="25">
        <v>11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>
        <v>22</v>
      </c>
    </row>
    <row r="48" spans="2:35" x14ac:dyDescent="0.25">
      <c r="D48" t="s">
        <v>20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spans="1:35" x14ac:dyDescent="0.25">
      <c r="D49" t="s">
        <v>70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>
        <v>11</v>
      </c>
      <c r="AA49" s="25">
        <v>11</v>
      </c>
      <c r="AB49" s="25"/>
      <c r="AC49" s="25"/>
      <c r="AD49" s="25"/>
      <c r="AE49" s="25"/>
      <c r="AF49" s="25"/>
      <c r="AG49" s="25"/>
      <c r="AH49" s="25"/>
      <c r="AI49" s="25">
        <v>22</v>
      </c>
    </row>
    <row r="50" spans="1:35" x14ac:dyDescent="0.25">
      <c r="D50" t="s">
        <v>52</v>
      </c>
      <c r="E50" s="25">
        <v>1</v>
      </c>
      <c r="F50" s="25">
        <v>1</v>
      </c>
      <c r="G50" s="25">
        <v>1</v>
      </c>
      <c r="H50" s="25">
        <v>1</v>
      </c>
      <c r="I50" s="25">
        <v>1</v>
      </c>
      <c r="J50" s="25">
        <v>1</v>
      </c>
      <c r="K50" s="25">
        <v>1</v>
      </c>
      <c r="L50" s="25">
        <v>1</v>
      </c>
      <c r="M50" s="25"/>
      <c r="N50" s="25"/>
      <c r="O50" s="25"/>
      <c r="P50" s="25"/>
      <c r="Q50" s="25"/>
      <c r="R50" s="25"/>
      <c r="S50" s="25">
        <v>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>
        <v>9</v>
      </c>
    </row>
    <row r="51" spans="1:35" x14ac:dyDescent="0.25">
      <c r="D51" t="s">
        <v>50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>
        <v>11</v>
      </c>
      <c r="P51" s="25">
        <v>11</v>
      </c>
      <c r="Q51" s="25"/>
      <c r="R51" s="25">
        <v>11</v>
      </c>
      <c r="S51" s="25"/>
      <c r="T51" s="25"/>
      <c r="U51" s="25">
        <v>11</v>
      </c>
      <c r="V51" s="25">
        <v>11</v>
      </c>
      <c r="W51" s="25">
        <v>11</v>
      </c>
      <c r="X51" s="25"/>
      <c r="Y51" s="25"/>
      <c r="Z51" s="25"/>
      <c r="AA51" s="25"/>
      <c r="AB51" s="25">
        <v>11</v>
      </c>
      <c r="AC51" s="25">
        <v>11</v>
      </c>
      <c r="AD51" s="25">
        <v>11</v>
      </c>
      <c r="AE51" s="25">
        <v>11</v>
      </c>
      <c r="AF51" s="25"/>
      <c r="AG51" s="25"/>
      <c r="AH51" s="25"/>
      <c r="AI51" s="25">
        <v>110</v>
      </c>
    </row>
    <row r="52" spans="1:35" x14ac:dyDescent="0.25">
      <c r="B52" t="s">
        <v>73</v>
      </c>
      <c r="C52" t="s">
        <v>20</v>
      </c>
      <c r="D52" t="s">
        <v>38</v>
      </c>
      <c r="E52" s="25"/>
      <c r="F52" s="25"/>
      <c r="G52" s="25">
        <v>22</v>
      </c>
      <c r="H52" s="25"/>
      <c r="I52" s="25">
        <v>11</v>
      </c>
      <c r="J52" s="25">
        <v>22</v>
      </c>
      <c r="K52" s="25">
        <v>11</v>
      </c>
      <c r="L52" s="25">
        <v>11</v>
      </c>
      <c r="M52" s="25">
        <v>11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>
        <v>88</v>
      </c>
    </row>
    <row r="53" spans="1:35" x14ac:dyDescent="0.25">
      <c r="D53" t="s">
        <v>24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>
        <v>8</v>
      </c>
      <c r="AH53" s="25">
        <v>8</v>
      </c>
      <c r="AI53" s="25">
        <v>16</v>
      </c>
    </row>
    <row r="54" spans="1:35" x14ac:dyDescent="0.25">
      <c r="D54" t="s">
        <v>10</v>
      </c>
      <c r="E54" s="25">
        <v>22</v>
      </c>
      <c r="F54" s="25">
        <v>22</v>
      </c>
      <c r="G54" s="25"/>
      <c r="H54" s="25">
        <v>22</v>
      </c>
      <c r="I54" s="25">
        <v>22</v>
      </c>
      <c r="J54" s="25"/>
      <c r="K54" s="25">
        <v>11</v>
      </c>
      <c r="L54" s="25">
        <v>11</v>
      </c>
      <c r="M54" s="25">
        <v>22</v>
      </c>
      <c r="N54" s="25">
        <v>22</v>
      </c>
      <c r="O54" s="25">
        <v>44</v>
      </c>
      <c r="P54" s="25">
        <v>33</v>
      </c>
      <c r="Q54" s="25">
        <v>22</v>
      </c>
      <c r="R54" s="25">
        <v>22</v>
      </c>
      <c r="S54" s="25">
        <v>44</v>
      </c>
      <c r="T54" s="25">
        <v>22</v>
      </c>
      <c r="U54" s="25">
        <v>22</v>
      </c>
      <c r="V54" s="25">
        <v>33</v>
      </c>
      <c r="W54" s="25">
        <v>33</v>
      </c>
      <c r="X54" s="25">
        <v>33</v>
      </c>
      <c r="Y54" s="25">
        <v>22</v>
      </c>
      <c r="Z54" s="25">
        <v>33</v>
      </c>
      <c r="AA54" s="25">
        <v>22</v>
      </c>
      <c r="AB54" s="25">
        <v>44</v>
      </c>
      <c r="AC54" s="25">
        <v>22</v>
      </c>
      <c r="AD54" s="25">
        <v>22</v>
      </c>
      <c r="AE54" s="25">
        <v>33</v>
      </c>
      <c r="AF54" s="25">
        <v>44</v>
      </c>
      <c r="AG54" s="25">
        <v>22</v>
      </c>
      <c r="AH54" s="25">
        <v>33</v>
      </c>
      <c r="AI54" s="25">
        <v>759</v>
      </c>
    </row>
    <row r="55" spans="1:35" x14ac:dyDescent="0.25">
      <c r="B55" t="s">
        <v>86</v>
      </c>
      <c r="C55" t="s">
        <v>20</v>
      </c>
      <c r="D55" t="s">
        <v>10</v>
      </c>
      <c r="E55" s="25"/>
      <c r="F55" s="25"/>
      <c r="G55" s="25"/>
      <c r="H55" s="25"/>
      <c r="I55" s="25"/>
      <c r="J55" s="25"/>
      <c r="K55" s="25"/>
      <c r="L55" s="25">
        <v>11</v>
      </c>
      <c r="M55" s="25">
        <v>22</v>
      </c>
      <c r="N55" s="25">
        <v>22</v>
      </c>
      <c r="O55" s="25">
        <v>11</v>
      </c>
      <c r="P55" s="25">
        <v>22</v>
      </c>
      <c r="Q55" s="25">
        <v>11</v>
      </c>
      <c r="R55" s="25">
        <v>22</v>
      </c>
      <c r="S55" s="25">
        <v>22</v>
      </c>
      <c r="T55" s="25">
        <v>22</v>
      </c>
      <c r="U55" s="25">
        <v>22</v>
      </c>
      <c r="V55" s="25">
        <v>16</v>
      </c>
      <c r="W55" s="25">
        <v>22</v>
      </c>
      <c r="X55" s="25">
        <v>15</v>
      </c>
      <c r="Y55" s="25">
        <v>22</v>
      </c>
      <c r="Z55" s="25">
        <v>22</v>
      </c>
      <c r="AA55" s="25">
        <v>22</v>
      </c>
      <c r="AB55" s="25">
        <v>16</v>
      </c>
      <c r="AC55" s="25">
        <v>11</v>
      </c>
      <c r="AD55" s="25">
        <v>18</v>
      </c>
      <c r="AE55" s="25">
        <v>22</v>
      </c>
      <c r="AF55" s="25">
        <v>22</v>
      </c>
      <c r="AG55" s="25">
        <v>11</v>
      </c>
      <c r="AH55" s="25">
        <v>14</v>
      </c>
      <c r="AI55" s="25">
        <v>420</v>
      </c>
    </row>
    <row r="56" spans="1:35" x14ac:dyDescent="0.25">
      <c r="A56" t="s">
        <v>26</v>
      </c>
      <c r="B56" t="s">
        <v>26</v>
      </c>
      <c r="C56" t="s">
        <v>20</v>
      </c>
      <c r="D56" t="s">
        <v>24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>
        <v>8</v>
      </c>
      <c r="AB56" s="25">
        <v>8</v>
      </c>
      <c r="AC56" s="25">
        <v>8</v>
      </c>
      <c r="AD56" s="25">
        <v>8</v>
      </c>
      <c r="AE56" s="25"/>
      <c r="AF56" s="25"/>
      <c r="AG56" s="25"/>
      <c r="AH56" s="25"/>
      <c r="AI56" s="25">
        <v>32</v>
      </c>
    </row>
    <row r="57" spans="1:35" x14ac:dyDescent="0.25">
      <c r="D57" t="s">
        <v>30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>
        <v>2</v>
      </c>
      <c r="AF57" s="25">
        <v>2</v>
      </c>
      <c r="AG57" s="25"/>
      <c r="AH57" s="25"/>
      <c r="AI57" s="25">
        <v>4</v>
      </c>
    </row>
    <row r="58" spans="1:35" x14ac:dyDescent="0.25">
      <c r="D58" t="s">
        <v>29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>
        <v>8</v>
      </c>
      <c r="AD58" s="25">
        <v>8</v>
      </c>
      <c r="AE58" s="25"/>
      <c r="AF58" s="25"/>
      <c r="AG58" s="25">
        <v>16</v>
      </c>
      <c r="AH58" s="25">
        <v>16</v>
      </c>
      <c r="AI58" s="25">
        <v>48</v>
      </c>
    </row>
    <row r="59" spans="1:35" x14ac:dyDescent="0.25">
      <c r="D59" t="s">
        <v>10</v>
      </c>
      <c r="E59" s="25">
        <v>22</v>
      </c>
      <c r="F59" s="25">
        <v>22</v>
      </c>
      <c r="G59" s="25">
        <v>22</v>
      </c>
      <c r="H59" s="25">
        <v>22</v>
      </c>
      <c r="I59" s="25">
        <v>22</v>
      </c>
      <c r="J59" s="25">
        <v>22</v>
      </c>
      <c r="K59" s="25">
        <v>22</v>
      </c>
      <c r="L59" s="25">
        <v>22</v>
      </c>
      <c r="M59" s="25">
        <v>22</v>
      </c>
      <c r="N59" s="25">
        <v>22</v>
      </c>
      <c r="O59" s="25">
        <v>22</v>
      </c>
      <c r="P59" s="25">
        <v>22</v>
      </c>
      <c r="Q59" s="25">
        <v>22</v>
      </c>
      <c r="R59" s="25">
        <v>22</v>
      </c>
      <c r="S59" s="25">
        <v>22</v>
      </c>
      <c r="T59" s="25">
        <v>22</v>
      </c>
      <c r="U59" s="25">
        <v>22</v>
      </c>
      <c r="V59" s="25">
        <v>22</v>
      </c>
      <c r="W59" s="25">
        <v>22</v>
      </c>
      <c r="X59" s="25">
        <v>22</v>
      </c>
      <c r="Y59" s="25">
        <v>22</v>
      </c>
      <c r="Z59" s="25">
        <v>22</v>
      </c>
      <c r="AA59" s="25">
        <v>11</v>
      </c>
      <c r="AB59" s="25">
        <v>11</v>
      </c>
      <c r="AC59" s="25">
        <v>11</v>
      </c>
      <c r="AD59" s="25">
        <v>11</v>
      </c>
      <c r="AE59" s="25">
        <v>11</v>
      </c>
      <c r="AF59" s="25">
        <v>11</v>
      </c>
      <c r="AG59" s="25">
        <v>11</v>
      </c>
      <c r="AH59" s="25">
        <v>11</v>
      </c>
      <c r="AI59" s="25">
        <v>572</v>
      </c>
    </row>
    <row r="60" spans="1:35" x14ac:dyDescent="0.25">
      <c r="D60" t="s">
        <v>48</v>
      </c>
      <c r="E60" s="25">
        <v>1</v>
      </c>
      <c r="F60" s="25">
        <v>1</v>
      </c>
      <c r="G60" s="25">
        <v>1</v>
      </c>
      <c r="H60" s="25">
        <v>1</v>
      </c>
      <c r="I60" s="25">
        <v>1</v>
      </c>
      <c r="J60" s="25">
        <v>1</v>
      </c>
      <c r="K60" s="25">
        <v>1</v>
      </c>
      <c r="L60" s="25">
        <v>1</v>
      </c>
      <c r="M60" s="25">
        <v>1</v>
      </c>
      <c r="N60" s="25">
        <v>1</v>
      </c>
      <c r="O60" s="25">
        <v>1</v>
      </c>
      <c r="P60" s="25">
        <v>1</v>
      </c>
      <c r="Q60" s="25">
        <v>1</v>
      </c>
      <c r="R60" s="25">
        <v>1</v>
      </c>
      <c r="S60" s="25">
        <v>1</v>
      </c>
      <c r="T60" s="25">
        <v>1</v>
      </c>
      <c r="U60" s="25">
        <v>1</v>
      </c>
      <c r="V60" s="25">
        <v>1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B60" s="25">
        <v>1</v>
      </c>
      <c r="AC60" s="25"/>
      <c r="AD60" s="25"/>
      <c r="AE60" s="25"/>
      <c r="AF60" s="25"/>
      <c r="AG60" s="25"/>
      <c r="AH60" s="25"/>
      <c r="AI60" s="25">
        <v>24</v>
      </c>
    </row>
    <row r="61" spans="1:35" x14ac:dyDescent="0.25">
      <c r="A61" t="s">
        <v>32</v>
      </c>
      <c r="B61" t="s">
        <v>31</v>
      </c>
      <c r="C61" t="s">
        <v>20</v>
      </c>
      <c r="D61" t="s">
        <v>38</v>
      </c>
      <c r="E61" s="25"/>
      <c r="F61" s="25">
        <v>11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>
        <v>11</v>
      </c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>
        <v>11</v>
      </c>
      <c r="AG61" s="25"/>
      <c r="AH61" s="25"/>
      <c r="AI61" s="25">
        <v>33</v>
      </c>
    </row>
    <row r="62" spans="1:35" x14ac:dyDescent="0.25">
      <c r="D62" t="s">
        <v>24</v>
      </c>
      <c r="E62" s="25"/>
      <c r="F62" s="25"/>
      <c r="G62" s="25"/>
      <c r="H62" s="25"/>
      <c r="I62" s="25"/>
      <c r="J62" s="25"/>
      <c r="K62" s="25"/>
      <c r="L62" s="25"/>
      <c r="M62" s="25">
        <v>8</v>
      </c>
      <c r="N62" s="25">
        <v>24</v>
      </c>
      <c r="O62" s="25">
        <v>8</v>
      </c>
      <c r="P62" s="25">
        <v>8</v>
      </c>
      <c r="Q62" s="25"/>
      <c r="R62" s="25">
        <v>8</v>
      </c>
      <c r="S62" s="25">
        <v>8</v>
      </c>
      <c r="T62" s="25">
        <v>8</v>
      </c>
      <c r="U62" s="25">
        <v>16</v>
      </c>
      <c r="V62" s="25">
        <v>8</v>
      </c>
      <c r="W62" s="25">
        <v>8</v>
      </c>
      <c r="X62" s="25"/>
      <c r="Y62" s="25"/>
      <c r="Z62" s="25">
        <v>8</v>
      </c>
      <c r="AA62" s="25">
        <v>8</v>
      </c>
      <c r="AB62" s="25">
        <v>8</v>
      </c>
      <c r="AC62" s="25"/>
      <c r="AD62" s="25"/>
      <c r="AE62" s="25"/>
      <c r="AF62" s="25"/>
      <c r="AG62" s="25">
        <v>16</v>
      </c>
      <c r="AH62" s="25">
        <v>16</v>
      </c>
      <c r="AI62" s="25">
        <v>160</v>
      </c>
    </row>
    <row r="63" spans="1:35" x14ac:dyDescent="0.25">
      <c r="D63" t="s">
        <v>30</v>
      </c>
      <c r="E63" s="25"/>
      <c r="F63" s="25"/>
      <c r="G63" s="25"/>
      <c r="H63" s="25"/>
      <c r="I63" s="25"/>
      <c r="J63" s="25">
        <v>4</v>
      </c>
      <c r="K63" s="25">
        <v>4</v>
      </c>
      <c r="L63" s="25"/>
      <c r="M63" s="25"/>
      <c r="N63" s="25"/>
      <c r="O63" s="25"/>
      <c r="P63" s="25"/>
      <c r="Q63" s="25">
        <v>3</v>
      </c>
      <c r="R63" s="25">
        <v>3</v>
      </c>
      <c r="S63" s="25"/>
      <c r="T63" s="25"/>
      <c r="U63" s="25"/>
      <c r="V63" s="25"/>
      <c r="W63" s="25"/>
      <c r="X63" s="25">
        <v>3</v>
      </c>
      <c r="Y63" s="25">
        <v>3</v>
      </c>
      <c r="Z63" s="25"/>
      <c r="AA63" s="25"/>
      <c r="AB63" s="25"/>
      <c r="AC63" s="25"/>
      <c r="AD63" s="25"/>
      <c r="AE63" s="25">
        <v>4</v>
      </c>
      <c r="AF63" s="25">
        <v>4</v>
      </c>
      <c r="AG63" s="25"/>
      <c r="AH63" s="25"/>
      <c r="AI63" s="25">
        <v>28</v>
      </c>
    </row>
    <row r="64" spans="1:35" x14ac:dyDescent="0.25">
      <c r="D64" t="s">
        <v>29</v>
      </c>
      <c r="E64" s="25">
        <v>32</v>
      </c>
      <c r="F64" s="25">
        <v>32</v>
      </c>
      <c r="G64" s="25">
        <v>32</v>
      </c>
      <c r="H64" s="25">
        <v>32</v>
      </c>
      <c r="I64" s="25">
        <v>32</v>
      </c>
      <c r="J64" s="25"/>
      <c r="K64" s="25"/>
      <c r="L64" s="25">
        <v>32</v>
      </c>
      <c r="M64" s="25">
        <v>24</v>
      </c>
      <c r="N64" s="25">
        <v>16</v>
      </c>
      <c r="O64" s="25">
        <v>16</v>
      </c>
      <c r="P64" s="25">
        <v>16</v>
      </c>
      <c r="Q64" s="25"/>
      <c r="R64" s="25"/>
      <c r="S64" s="25">
        <v>24</v>
      </c>
      <c r="T64" s="25">
        <v>24</v>
      </c>
      <c r="U64" s="25">
        <v>16</v>
      </c>
      <c r="V64" s="25">
        <v>24</v>
      </c>
      <c r="W64" s="25">
        <v>24</v>
      </c>
      <c r="X64" s="25"/>
      <c r="Y64" s="25"/>
      <c r="Z64" s="25">
        <v>24</v>
      </c>
      <c r="AA64" s="25">
        <v>24</v>
      </c>
      <c r="AB64" s="25">
        <v>24</v>
      </c>
      <c r="AC64" s="25">
        <v>32</v>
      </c>
      <c r="AD64" s="25">
        <v>32</v>
      </c>
      <c r="AE64" s="25"/>
      <c r="AF64" s="25"/>
      <c r="AG64" s="25">
        <v>32</v>
      </c>
      <c r="AH64" s="25">
        <v>32</v>
      </c>
      <c r="AI64" s="25">
        <v>576</v>
      </c>
    </row>
    <row r="65" spans="1:35" x14ac:dyDescent="0.25">
      <c r="D65" t="s">
        <v>10</v>
      </c>
      <c r="E65" s="25">
        <v>154</v>
      </c>
      <c r="F65" s="25">
        <v>132</v>
      </c>
      <c r="G65" s="25">
        <v>132</v>
      </c>
      <c r="H65" s="25">
        <v>154</v>
      </c>
      <c r="I65" s="25">
        <v>121</v>
      </c>
      <c r="J65" s="25">
        <v>132</v>
      </c>
      <c r="K65" s="25">
        <v>132</v>
      </c>
      <c r="L65" s="25">
        <v>154</v>
      </c>
      <c r="M65" s="25">
        <v>143</v>
      </c>
      <c r="N65" s="25">
        <v>121</v>
      </c>
      <c r="O65" s="25">
        <v>138</v>
      </c>
      <c r="P65" s="25">
        <v>127</v>
      </c>
      <c r="Q65" s="25">
        <v>132</v>
      </c>
      <c r="R65" s="25">
        <v>127</v>
      </c>
      <c r="S65" s="25">
        <v>116</v>
      </c>
      <c r="T65" s="25">
        <v>136</v>
      </c>
      <c r="U65" s="25">
        <v>139</v>
      </c>
      <c r="V65" s="25">
        <v>110</v>
      </c>
      <c r="W65" s="25">
        <v>137</v>
      </c>
      <c r="X65" s="25">
        <v>138</v>
      </c>
      <c r="Y65" s="25">
        <v>148</v>
      </c>
      <c r="Z65" s="25">
        <v>132</v>
      </c>
      <c r="AA65" s="25">
        <v>110</v>
      </c>
      <c r="AB65" s="25">
        <v>121</v>
      </c>
      <c r="AC65" s="25">
        <v>138</v>
      </c>
      <c r="AD65" s="25">
        <v>137</v>
      </c>
      <c r="AE65" s="25">
        <v>126</v>
      </c>
      <c r="AF65" s="25">
        <v>115</v>
      </c>
      <c r="AG65" s="25">
        <v>110</v>
      </c>
      <c r="AH65" s="25">
        <v>99</v>
      </c>
      <c r="AI65" s="25">
        <v>3911</v>
      </c>
    </row>
    <row r="66" spans="1:35" x14ac:dyDescent="0.25">
      <c r="D66" t="s">
        <v>23</v>
      </c>
      <c r="E66" s="25">
        <v>11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>
        <v>11</v>
      </c>
    </row>
    <row r="67" spans="1:35" x14ac:dyDescent="0.25">
      <c r="D67" t="s">
        <v>70</v>
      </c>
      <c r="E67" s="25"/>
      <c r="F67" s="25"/>
      <c r="G67" s="25"/>
      <c r="H67" s="25"/>
      <c r="I67" s="25">
        <v>11</v>
      </c>
      <c r="J67" s="25"/>
      <c r="K67" s="25"/>
      <c r="L67" s="25"/>
      <c r="M67" s="25"/>
      <c r="N67" s="25">
        <v>22</v>
      </c>
      <c r="O67" s="25">
        <v>5</v>
      </c>
      <c r="P67" s="25">
        <v>5</v>
      </c>
      <c r="Q67" s="25">
        <v>11</v>
      </c>
      <c r="R67" s="25">
        <v>5</v>
      </c>
      <c r="S67" s="25">
        <v>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>
        <v>64</v>
      </c>
    </row>
    <row r="68" spans="1:35" x14ac:dyDescent="0.25">
      <c r="D68" t="s">
        <v>50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>
        <v>11</v>
      </c>
      <c r="P68" s="25">
        <v>11</v>
      </c>
      <c r="Q68" s="25"/>
      <c r="R68" s="25">
        <v>11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>
        <v>33</v>
      </c>
    </row>
    <row r="69" spans="1:35" x14ac:dyDescent="0.25">
      <c r="B69" t="s">
        <v>32</v>
      </c>
      <c r="C69" t="s">
        <v>20</v>
      </c>
      <c r="D69" t="s">
        <v>52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>
        <v>1</v>
      </c>
      <c r="AE69" s="25">
        <v>1</v>
      </c>
      <c r="AF69" s="25">
        <v>1</v>
      </c>
      <c r="AG69" s="25">
        <v>1</v>
      </c>
      <c r="AH69" s="25">
        <v>1</v>
      </c>
      <c r="AI69" s="25">
        <v>5</v>
      </c>
    </row>
    <row r="70" spans="1:35" x14ac:dyDescent="0.25">
      <c r="A70" t="s">
        <v>35</v>
      </c>
      <c r="B70" t="s">
        <v>36</v>
      </c>
      <c r="C70" t="s">
        <v>20</v>
      </c>
      <c r="D70" t="s">
        <v>38</v>
      </c>
      <c r="E70" s="25"/>
      <c r="F70" s="25"/>
      <c r="G70" s="25"/>
      <c r="H70" s="25"/>
      <c r="I70" s="25">
        <v>22</v>
      </c>
      <c r="J70" s="25">
        <v>22</v>
      </c>
      <c r="K70" s="25">
        <v>11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>
        <v>55</v>
      </c>
    </row>
    <row r="71" spans="1:35" x14ac:dyDescent="0.25">
      <c r="D71" t="s">
        <v>24</v>
      </c>
      <c r="E71" s="25"/>
      <c r="F71" s="25">
        <v>8</v>
      </c>
      <c r="G71" s="25">
        <v>8</v>
      </c>
      <c r="H71" s="25">
        <v>8</v>
      </c>
      <c r="I71" s="25"/>
      <c r="J71" s="25"/>
      <c r="K71" s="25"/>
      <c r="L71" s="25"/>
      <c r="M71" s="25">
        <v>8</v>
      </c>
      <c r="N71" s="25">
        <v>8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>
        <v>8</v>
      </c>
      <c r="AF71" s="25">
        <v>8</v>
      </c>
      <c r="AG71" s="25">
        <v>8</v>
      </c>
      <c r="AH71" s="25">
        <v>8</v>
      </c>
      <c r="AI71" s="25">
        <v>72</v>
      </c>
    </row>
    <row r="72" spans="1:35" x14ac:dyDescent="0.25">
      <c r="D72" t="s">
        <v>10</v>
      </c>
      <c r="E72" s="25">
        <v>33</v>
      </c>
      <c r="F72" s="25">
        <v>33</v>
      </c>
      <c r="G72" s="25">
        <v>33</v>
      </c>
      <c r="H72" s="25">
        <v>33</v>
      </c>
      <c r="I72" s="25">
        <v>22</v>
      </c>
      <c r="J72" s="25">
        <v>22</v>
      </c>
      <c r="K72" s="25">
        <v>11</v>
      </c>
      <c r="L72" s="25">
        <v>22</v>
      </c>
      <c r="M72" s="25">
        <v>33</v>
      </c>
      <c r="N72" s="25">
        <v>33</v>
      </c>
      <c r="O72" s="25">
        <v>33</v>
      </c>
      <c r="P72" s="25">
        <v>55</v>
      </c>
      <c r="Q72" s="25">
        <v>55</v>
      </c>
      <c r="R72" s="25">
        <v>55</v>
      </c>
      <c r="S72" s="25">
        <v>66</v>
      </c>
      <c r="T72" s="25">
        <v>66</v>
      </c>
      <c r="U72" s="25">
        <v>55</v>
      </c>
      <c r="V72" s="25">
        <v>55</v>
      </c>
      <c r="W72" s="25">
        <v>55</v>
      </c>
      <c r="X72" s="25">
        <v>55</v>
      </c>
      <c r="Y72" s="25">
        <v>55</v>
      </c>
      <c r="Z72" s="25">
        <v>55</v>
      </c>
      <c r="AA72" s="25">
        <v>55</v>
      </c>
      <c r="AB72" s="25">
        <v>55</v>
      </c>
      <c r="AC72" s="25">
        <v>55</v>
      </c>
      <c r="AD72" s="25">
        <v>55</v>
      </c>
      <c r="AE72" s="25">
        <v>44</v>
      </c>
      <c r="AF72" s="25">
        <v>44</v>
      </c>
      <c r="AG72" s="25">
        <v>44</v>
      </c>
      <c r="AH72" s="25">
        <v>44</v>
      </c>
      <c r="AI72" s="25">
        <v>1331</v>
      </c>
    </row>
    <row r="73" spans="1:35" x14ac:dyDescent="0.25">
      <c r="D73" t="s">
        <v>23</v>
      </c>
      <c r="E73" s="25"/>
      <c r="F73" s="25"/>
      <c r="G73" s="25"/>
      <c r="H73" s="25"/>
      <c r="I73" s="25"/>
      <c r="J73" s="25"/>
      <c r="K73" s="25">
        <v>22</v>
      </c>
      <c r="L73" s="25">
        <v>22</v>
      </c>
      <c r="M73" s="25"/>
      <c r="N73" s="25"/>
      <c r="O73" s="25">
        <v>11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>
        <v>55</v>
      </c>
    </row>
    <row r="74" spans="1:35" x14ac:dyDescent="0.25">
      <c r="D74" t="s">
        <v>70</v>
      </c>
      <c r="E74" s="25"/>
      <c r="F74" s="25"/>
      <c r="G74" s="25"/>
      <c r="H74" s="25"/>
      <c r="I74" s="25"/>
      <c r="J74" s="25"/>
      <c r="K74" s="25"/>
      <c r="L74" s="25"/>
      <c r="M74" s="25">
        <v>11</v>
      </c>
      <c r="N74" s="25">
        <v>11</v>
      </c>
      <c r="O74" s="25">
        <v>11</v>
      </c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>
        <v>33</v>
      </c>
    </row>
    <row r="75" spans="1:35" x14ac:dyDescent="0.25">
      <c r="D75" t="s">
        <v>44</v>
      </c>
      <c r="E75" s="25">
        <v>2</v>
      </c>
      <c r="F75" s="25">
        <v>1</v>
      </c>
      <c r="G75" s="25">
        <v>1</v>
      </c>
      <c r="H75" s="25">
        <v>1</v>
      </c>
      <c r="I75" s="25">
        <v>1</v>
      </c>
      <c r="J75" s="25">
        <v>1</v>
      </c>
      <c r="K75" s="25">
        <v>1</v>
      </c>
      <c r="L75" s="25">
        <v>1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>
        <v>9</v>
      </c>
    </row>
    <row r="76" spans="1:35" x14ac:dyDescent="0.25">
      <c r="A76" t="s">
        <v>49</v>
      </c>
      <c r="B76" t="s">
        <v>51</v>
      </c>
      <c r="C76" t="s">
        <v>20</v>
      </c>
      <c r="D76" t="s">
        <v>38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>
        <v>11</v>
      </c>
      <c r="AA76" s="25"/>
      <c r="AB76" s="25"/>
      <c r="AC76" s="25"/>
      <c r="AD76" s="25"/>
      <c r="AE76" s="25"/>
      <c r="AF76" s="25"/>
      <c r="AG76" s="25"/>
      <c r="AH76" s="25"/>
      <c r="AI76" s="25">
        <v>11</v>
      </c>
    </row>
    <row r="77" spans="1:35" x14ac:dyDescent="0.25">
      <c r="D77" t="s">
        <v>24</v>
      </c>
      <c r="E77" s="25"/>
      <c r="F77" s="25"/>
      <c r="G77" s="25"/>
      <c r="H77" s="25"/>
      <c r="I77" s="25"/>
      <c r="J77" s="25"/>
      <c r="K77" s="25"/>
      <c r="L77" s="25"/>
      <c r="M77" s="25"/>
      <c r="N77" s="25">
        <v>8</v>
      </c>
      <c r="O77" s="25">
        <v>8</v>
      </c>
      <c r="P77" s="25">
        <v>8</v>
      </c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>
        <v>8</v>
      </c>
      <c r="AE77" s="25">
        <v>8</v>
      </c>
      <c r="AF77" s="25">
        <v>8</v>
      </c>
      <c r="AG77" s="25"/>
      <c r="AH77" s="25"/>
      <c r="AI77" s="25">
        <v>48</v>
      </c>
    </row>
    <row r="78" spans="1:35" x14ac:dyDescent="0.25">
      <c r="D78" t="s">
        <v>30</v>
      </c>
      <c r="E78" s="25"/>
      <c r="F78" s="25"/>
      <c r="G78" s="25"/>
      <c r="H78" s="25"/>
      <c r="I78" s="25"/>
      <c r="J78" s="25">
        <v>1</v>
      </c>
      <c r="K78" s="25">
        <v>1</v>
      </c>
      <c r="L78" s="25"/>
      <c r="M78" s="25"/>
      <c r="N78" s="25"/>
      <c r="O78" s="25"/>
      <c r="P78" s="25"/>
      <c r="Q78" s="25">
        <v>2</v>
      </c>
      <c r="R78" s="25">
        <v>2</v>
      </c>
      <c r="S78" s="25"/>
      <c r="T78" s="25"/>
      <c r="U78" s="25"/>
      <c r="V78" s="25"/>
      <c r="W78" s="25"/>
      <c r="X78" s="25">
        <v>2</v>
      </c>
      <c r="Y78" s="25">
        <v>2</v>
      </c>
      <c r="Z78" s="25"/>
      <c r="AA78" s="25"/>
      <c r="AB78" s="25"/>
      <c r="AC78" s="25"/>
      <c r="AD78" s="25"/>
      <c r="AE78" s="25">
        <v>1</v>
      </c>
      <c r="AF78" s="25">
        <v>1</v>
      </c>
      <c r="AG78" s="25"/>
      <c r="AH78" s="25"/>
      <c r="AI78" s="25">
        <v>12</v>
      </c>
    </row>
    <row r="79" spans="1:35" x14ac:dyDescent="0.25">
      <c r="D79" t="s">
        <v>29</v>
      </c>
      <c r="E79" s="25">
        <v>8</v>
      </c>
      <c r="F79" s="25">
        <v>8</v>
      </c>
      <c r="G79" s="25">
        <v>8</v>
      </c>
      <c r="H79" s="25">
        <v>8</v>
      </c>
      <c r="I79" s="25">
        <v>8</v>
      </c>
      <c r="J79" s="25"/>
      <c r="K79" s="25"/>
      <c r="L79" s="25">
        <v>8</v>
      </c>
      <c r="M79" s="25">
        <v>8</v>
      </c>
      <c r="N79" s="25">
        <v>8</v>
      </c>
      <c r="O79" s="25">
        <v>8</v>
      </c>
      <c r="P79" s="25">
        <v>8</v>
      </c>
      <c r="Q79" s="25"/>
      <c r="R79" s="25"/>
      <c r="S79" s="25">
        <v>16</v>
      </c>
      <c r="T79" s="25">
        <v>16</v>
      </c>
      <c r="U79" s="25">
        <v>16</v>
      </c>
      <c r="V79" s="25">
        <v>16</v>
      </c>
      <c r="W79" s="25">
        <v>16</v>
      </c>
      <c r="X79" s="25"/>
      <c r="Y79" s="25"/>
      <c r="Z79" s="25">
        <v>16</v>
      </c>
      <c r="AA79" s="25">
        <v>16</v>
      </c>
      <c r="AB79" s="25">
        <v>16</v>
      </c>
      <c r="AC79" s="25">
        <v>16</v>
      </c>
      <c r="AD79" s="25">
        <v>8</v>
      </c>
      <c r="AE79" s="25"/>
      <c r="AF79" s="25"/>
      <c r="AG79" s="25">
        <v>8</v>
      </c>
      <c r="AH79" s="25">
        <v>8</v>
      </c>
      <c r="AI79" s="25">
        <v>248</v>
      </c>
    </row>
    <row r="80" spans="1:35" x14ac:dyDescent="0.25">
      <c r="D80" t="s">
        <v>10</v>
      </c>
      <c r="E80" s="25">
        <v>47</v>
      </c>
      <c r="F80" s="25">
        <v>44</v>
      </c>
      <c r="G80" s="25">
        <v>44</v>
      </c>
      <c r="H80" s="25">
        <v>44</v>
      </c>
      <c r="I80" s="25">
        <v>44</v>
      </c>
      <c r="J80" s="25">
        <v>37</v>
      </c>
      <c r="K80" s="25">
        <v>33</v>
      </c>
      <c r="L80" s="25">
        <v>33</v>
      </c>
      <c r="M80" s="25">
        <v>44</v>
      </c>
      <c r="N80" s="25">
        <v>33</v>
      </c>
      <c r="O80" s="25">
        <v>33</v>
      </c>
      <c r="P80" s="25">
        <v>33</v>
      </c>
      <c r="Q80" s="25">
        <v>33</v>
      </c>
      <c r="R80" s="25">
        <v>33</v>
      </c>
      <c r="S80" s="25">
        <v>33</v>
      </c>
      <c r="T80" s="25">
        <v>33</v>
      </c>
      <c r="U80" s="25">
        <v>33</v>
      </c>
      <c r="V80" s="25">
        <v>22</v>
      </c>
      <c r="W80" s="25">
        <v>22</v>
      </c>
      <c r="X80" s="25">
        <v>44</v>
      </c>
      <c r="Y80" s="25">
        <v>33</v>
      </c>
      <c r="Z80" s="25">
        <v>22</v>
      </c>
      <c r="AA80" s="25">
        <v>33</v>
      </c>
      <c r="AB80" s="25">
        <v>33</v>
      </c>
      <c r="AC80" s="25">
        <v>33</v>
      </c>
      <c r="AD80" s="25">
        <v>33</v>
      </c>
      <c r="AE80" s="25">
        <v>33</v>
      </c>
      <c r="AF80" s="25">
        <v>33</v>
      </c>
      <c r="AG80" s="25">
        <v>44</v>
      </c>
      <c r="AH80" s="25">
        <v>44</v>
      </c>
      <c r="AI80" s="25">
        <v>1063</v>
      </c>
    </row>
    <row r="81" spans="1:35" x14ac:dyDescent="0.25">
      <c r="D81" t="s">
        <v>23</v>
      </c>
      <c r="E81" s="25"/>
      <c r="F81" s="25"/>
      <c r="G81" s="25"/>
      <c r="H81" s="25"/>
      <c r="I81" s="25"/>
      <c r="J81" s="25"/>
      <c r="K81" s="25">
        <v>11</v>
      </c>
      <c r="L81" s="25">
        <v>11</v>
      </c>
      <c r="M81" s="25"/>
      <c r="N81" s="25"/>
      <c r="O81" s="25"/>
      <c r="P81" s="25"/>
      <c r="Q81" s="25"/>
      <c r="R81" s="25"/>
      <c r="S81" s="25"/>
      <c r="T81" s="25"/>
      <c r="U81" s="25"/>
      <c r="V81" s="25">
        <v>11</v>
      </c>
      <c r="W81" s="25">
        <v>11</v>
      </c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>
        <v>44</v>
      </c>
    </row>
    <row r="82" spans="1:35" x14ac:dyDescent="0.25">
      <c r="A82" t="s">
        <v>39</v>
      </c>
      <c r="B82" t="s">
        <v>40</v>
      </c>
      <c r="C82" t="s">
        <v>20</v>
      </c>
      <c r="D82" t="s">
        <v>38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>
        <v>11</v>
      </c>
      <c r="AB82" s="25"/>
      <c r="AC82" s="25"/>
      <c r="AD82" s="25"/>
      <c r="AE82" s="25"/>
      <c r="AF82" s="25"/>
      <c r="AG82" s="25"/>
      <c r="AH82" s="25"/>
      <c r="AI82" s="25">
        <v>11</v>
      </c>
    </row>
    <row r="83" spans="1:35" x14ac:dyDescent="0.25">
      <c r="D83" t="s">
        <v>10</v>
      </c>
      <c r="E83" s="25">
        <v>44</v>
      </c>
      <c r="F83" s="25">
        <v>44</v>
      </c>
      <c r="G83" s="25">
        <v>33</v>
      </c>
      <c r="H83" s="25">
        <v>33</v>
      </c>
      <c r="I83" s="25">
        <v>44</v>
      </c>
      <c r="J83" s="25">
        <v>44</v>
      </c>
      <c r="K83" s="25">
        <v>44</v>
      </c>
      <c r="L83" s="25">
        <v>33</v>
      </c>
      <c r="M83" s="25">
        <v>44</v>
      </c>
      <c r="N83" s="25">
        <v>33</v>
      </c>
      <c r="O83" s="25">
        <v>33</v>
      </c>
      <c r="P83" s="25">
        <v>44</v>
      </c>
      <c r="Q83" s="25">
        <v>33</v>
      </c>
      <c r="R83" s="25">
        <v>22</v>
      </c>
      <c r="S83" s="25">
        <v>33</v>
      </c>
      <c r="T83" s="25">
        <v>33</v>
      </c>
      <c r="U83" s="25">
        <v>33</v>
      </c>
      <c r="V83" s="25">
        <v>44</v>
      </c>
      <c r="W83" s="25">
        <v>33</v>
      </c>
      <c r="X83" s="25">
        <v>44</v>
      </c>
      <c r="Y83" s="25">
        <v>33</v>
      </c>
      <c r="Z83" s="25">
        <v>22</v>
      </c>
      <c r="AA83" s="25">
        <v>11</v>
      </c>
      <c r="AB83" s="25">
        <v>44</v>
      </c>
      <c r="AC83" s="25">
        <v>44</v>
      </c>
      <c r="AD83" s="25">
        <v>33</v>
      </c>
      <c r="AE83" s="25">
        <v>27</v>
      </c>
      <c r="AF83" s="25">
        <v>33</v>
      </c>
      <c r="AG83" s="25">
        <v>33</v>
      </c>
      <c r="AH83" s="25">
        <v>33</v>
      </c>
      <c r="AI83" s="25">
        <v>1061</v>
      </c>
    </row>
    <row r="84" spans="1:35" x14ac:dyDescent="0.25">
      <c r="A84" t="s">
        <v>9</v>
      </c>
      <c r="B84" t="s">
        <v>9</v>
      </c>
      <c r="C84" t="s">
        <v>20</v>
      </c>
      <c r="D84" t="s">
        <v>24</v>
      </c>
      <c r="E84" s="25"/>
      <c r="F84" s="25"/>
      <c r="G84" s="25"/>
      <c r="H84" s="25">
        <v>5</v>
      </c>
      <c r="I84" s="25">
        <v>8</v>
      </c>
      <c r="J84" s="25">
        <v>8</v>
      </c>
      <c r="K84" s="25">
        <v>8</v>
      </c>
      <c r="L84" s="25">
        <v>8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>
        <v>8</v>
      </c>
      <c r="AG84" s="25">
        <v>8</v>
      </c>
      <c r="AH84" s="25">
        <v>8</v>
      </c>
      <c r="AI84" s="25">
        <v>61</v>
      </c>
    </row>
    <row r="85" spans="1:35" x14ac:dyDescent="0.25">
      <c r="D85" t="s">
        <v>30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>
        <v>1</v>
      </c>
      <c r="R85" s="25">
        <v>1</v>
      </c>
      <c r="S85" s="25"/>
      <c r="T85" s="25"/>
      <c r="U85" s="25"/>
      <c r="V85" s="25"/>
      <c r="W85" s="25"/>
      <c r="X85" s="25">
        <v>1</v>
      </c>
      <c r="Y85" s="25">
        <v>1</v>
      </c>
      <c r="Z85" s="25"/>
      <c r="AA85" s="25"/>
      <c r="AB85" s="25"/>
      <c r="AC85" s="25"/>
      <c r="AD85" s="25"/>
      <c r="AE85" s="25">
        <v>1</v>
      </c>
      <c r="AF85" s="25">
        <v>1</v>
      </c>
      <c r="AG85" s="25"/>
      <c r="AH85" s="25"/>
      <c r="AI85" s="25">
        <v>6</v>
      </c>
    </row>
    <row r="86" spans="1:35" x14ac:dyDescent="0.25">
      <c r="D86" t="s">
        <v>29</v>
      </c>
      <c r="E86" s="25"/>
      <c r="F86" s="25"/>
      <c r="G86" s="25"/>
      <c r="H86" s="25"/>
      <c r="I86" s="25"/>
      <c r="J86" s="25"/>
      <c r="K86" s="25"/>
      <c r="L86" s="25"/>
      <c r="M86" s="25">
        <v>8</v>
      </c>
      <c r="N86" s="25">
        <v>8</v>
      </c>
      <c r="O86" s="25">
        <v>8</v>
      </c>
      <c r="P86" s="25">
        <v>8</v>
      </c>
      <c r="Q86" s="25"/>
      <c r="R86" s="25"/>
      <c r="S86" s="25">
        <v>8</v>
      </c>
      <c r="T86" s="25">
        <v>8</v>
      </c>
      <c r="U86" s="25">
        <v>8</v>
      </c>
      <c r="V86" s="25">
        <v>8</v>
      </c>
      <c r="W86" s="25">
        <v>8</v>
      </c>
      <c r="X86" s="25"/>
      <c r="Y86" s="25"/>
      <c r="Z86" s="25">
        <v>8</v>
      </c>
      <c r="AA86" s="25">
        <v>8</v>
      </c>
      <c r="AB86" s="25">
        <v>8</v>
      </c>
      <c r="AC86" s="25">
        <v>8</v>
      </c>
      <c r="AD86" s="25">
        <v>8</v>
      </c>
      <c r="AE86" s="25"/>
      <c r="AF86" s="25"/>
      <c r="AG86" s="25">
        <v>8</v>
      </c>
      <c r="AH86" s="25">
        <v>8</v>
      </c>
      <c r="AI86" s="25">
        <v>128</v>
      </c>
    </row>
    <row r="87" spans="1:35" x14ac:dyDescent="0.25">
      <c r="D87" t="s">
        <v>10</v>
      </c>
      <c r="E87" s="25">
        <v>44</v>
      </c>
      <c r="F87" s="25">
        <v>44</v>
      </c>
      <c r="G87" s="25">
        <v>44</v>
      </c>
      <c r="H87" s="25">
        <v>36</v>
      </c>
      <c r="I87" s="25">
        <v>33</v>
      </c>
      <c r="J87" s="25">
        <v>33</v>
      </c>
      <c r="K87" s="25">
        <v>33</v>
      </c>
      <c r="L87" s="25">
        <v>33</v>
      </c>
      <c r="M87" s="25">
        <v>33</v>
      </c>
      <c r="N87" s="25">
        <v>33</v>
      </c>
      <c r="O87" s="25">
        <v>33</v>
      </c>
      <c r="P87" s="25">
        <v>33</v>
      </c>
      <c r="Q87" s="25">
        <v>33</v>
      </c>
      <c r="R87" s="25">
        <v>33</v>
      </c>
      <c r="S87" s="25">
        <v>33</v>
      </c>
      <c r="T87" s="25">
        <v>33</v>
      </c>
      <c r="U87" s="25">
        <v>33</v>
      </c>
      <c r="V87" s="25">
        <v>33</v>
      </c>
      <c r="W87" s="25">
        <v>33</v>
      </c>
      <c r="X87" s="25">
        <v>33</v>
      </c>
      <c r="Y87" s="25">
        <v>33</v>
      </c>
      <c r="Z87" s="25">
        <v>33</v>
      </c>
      <c r="AA87" s="25">
        <v>33</v>
      </c>
      <c r="AB87" s="25">
        <v>33</v>
      </c>
      <c r="AC87" s="25">
        <v>33</v>
      </c>
      <c r="AD87" s="25">
        <v>33</v>
      </c>
      <c r="AE87" s="25">
        <v>33</v>
      </c>
      <c r="AF87" s="25">
        <v>22</v>
      </c>
      <c r="AG87" s="25">
        <v>22</v>
      </c>
      <c r="AH87" s="25">
        <v>22</v>
      </c>
      <c r="AI87" s="25">
        <v>993</v>
      </c>
    </row>
    <row r="88" spans="1:35" x14ac:dyDescent="0.25">
      <c r="D88" t="s">
        <v>52</v>
      </c>
      <c r="E88" s="25">
        <v>1</v>
      </c>
      <c r="F88" s="25">
        <v>1</v>
      </c>
      <c r="G88" s="25">
        <v>1</v>
      </c>
      <c r="H88" s="25">
        <v>1</v>
      </c>
      <c r="I88" s="25">
        <v>1</v>
      </c>
      <c r="J88" s="25">
        <v>1</v>
      </c>
      <c r="K88" s="25">
        <v>1</v>
      </c>
      <c r="L88" s="25">
        <v>1</v>
      </c>
      <c r="M88" s="25">
        <v>1</v>
      </c>
      <c r="N88" s="25">
        <v>1</v>
      </c>
      <c r="O88" s="25">
        <v>1</v>
      </c>
      <c r="P88" s="25">
        <v>1</v>
      </c>
      <c r="Q88" s="25">
        <v>1</v>
      </c>
      <c r="R88" s="25">
        <v>1</v>
      </c>
      <c r="S88" s="25">
        <v>1</v>
      </c>
      <c r="T88" s="25">
        <v>1</v>
      </c>
      <c r="U88" s="25">
        <v>1</v>
      </c>
      <c r="V88" s="25">
        <v>1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25">
        <v>1</v>
      </c>
      <c r="AI88" s="25">
        <v>30</v>
      </c>
    </row>
    <row r="89" spans="1:35" x14ac:dyDescent="0.25">
      <c r="A89" t="s">
        <v>33</v>
      </c>
      <c r="B89" t="s">
        <v>33</v>
      </c>
      <c r="C89" t="s">
        <v>20</v>
      </c>
      <c r="D89" t="s">
        <v>30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>
        <v>1</v>
      </c>
      <c r="R89" s="25">
        <v>1</v>
      </c>
      <c r="S89" s="25"/>
      <c r="T89" s="25"/>
      <c r="U89" s="25"/>
      <c r="V89" s="25"/>
      <c r="W89" s="25"/>
      <c r="X89" s="25">
        <v>1</v>
      </c>
      <c r="Y89" s="25">
        <v>1</v>
      </c>
      <c r="Z89" s="25"/>
      <c r="AA89" s="25"/>
      <c r="AB89" s="25"/>
      <c r="AC89" s="25"/>
      <c r="AD89" s="25"/>
      <c r="AE89" s="25"/>
      <c r="AF89" s="25"/>
      <c r="AG89" s="25"/>
      <c r="AH89" s="25"/>
      <c r="AI89" s="25">
        <v>4</v>
      </c>
    </row>
    <row r="90" spans="1:35" x14ac:dyDescent="0.25">
      <c r="D90" t="s">
        <v>29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>
        <v>8</v>
      </c>
      <c r="P90" s="25">
        <v>8</v>
      </c>
      <c r="Q90" s="25"/>
      <c r="R90" s="25"/>
      <c r="S90" s="25">
        <v>8</v>
      </c>
      <c r="T90" s="25">
        <v>8</v>
      </c>
      <c r="U90" s="25">
        <v>8</v>
      </c>
      <c r="V90" s="25">
        <v>8</v>
      </c>
      <c r="W90" s="25">
        <v>8</v>
      </c>
      <c r="X90" s="25"/>
      <c r="Y90" s="25"/>
      <c r="Z90" s="25">
        <v>8</v>
      </c>
      <c r="AA90" s="25">
        <v>8</v>
      </c>
      <c r="AB90" s="25">
        <v>8</v>
      </c>
      <c r="AC90" s="25"/>
      <c r="AD90" s="25"/>
      <c r="AE90" s="25"/>
      <c r="AF90" s="25"/>
      <c r="AG90" s="25"/>
      <c r="AH90" s="25"/>
      <c r="AI90" s="25">
        <v>80</v>
      </c>
    </row>
    <row r="91" spans="1:35" x14ac:dyDescent="0.25">
      <c r="D91" t="s">
        <v>10</v>
      </c>
      <c r="E91" s="25">
        <v>11</v>
      </c>
      <c r="F91" s="25">
        <v>11</v>
      </c>
      <c r="G91" s="25">
        <v>11</v>
      </c>
      <c r="H91" s="25">
        <v>11</v>
      </c>
      <c r="I91" s="25">
        <v>11</v>
      </c>
      <c r="J91" s="25">
        <v>11</v>
      </c>
      <c r="K91" s="25">
        <v>11</v>
      </c>
      <c r="L91" s="25">
        <v>11</v>
      </c>
      <c r="M91" s="25">
        <v>11</v>
      </c>
      <c r="N91" s="25">
        <v>11</v>
      </c>
      <c r="O91" s="25">
        <v>11</v>
      </c>
      <c r="P91" s="25">
        <v>11</v>
      </c>
      <c r="Q91" s="25">
        <v>11</v>
      </c>
      <c r="R91" s="25">
        <v>11</v>
      </c>
      <c r="S91" s="25">
        <v>11</v>
      </c>
      <c r="T91" s="25">
        <v>11</v>
      </c>
      <c r="U91" s="25">
        <v>11</v>
      </c>
      <c r="V91" s="25">
        <v>11</v>
      </c>
      <c r="W91" s="25">
        <v>11</v>
      </c>
      <c r="X91" s="25">
        <v>11</v>
      </c>
      <c r="Y91" s="25">
        <v>11</v>
      </c>
      <c r="Z91" s="25">
        <v>11</v>
      </c>
      <c r="AA91" s="25">
        <v>11</v>
      </c>
      <c r="AB91" s="25">
        <v>11</v>
      </c>
      <c r="AC91" s="25">
        <v>11</v>
      </c>
      <c r="AD91" s="25">
        <v>11</v>
      </c>
      <c r="AE91" s="25">
        <v>11</v>
      </c>
      <c r="AF91" s="25">
        <v>11</v>
      </c>
      <c r="AG91" s="25">
        <v>11</v>
      </c>
      <c r="AH91" s="25">
        <v>11</v>
      </c>
      <c r="AI91" s="25">
        <v>330</v>
      </c>
    </row>
    <row r="92" spans="1:35" x14ac:dyDescent="0.25">
      <c r="D92" t="s">
        <v>48</v>
      </c>
      <c r="E92" s="25">
        <v>1</v>
      </c>
      <c r="F92" s="25">
        <v>1</v>
      </c>
      <c r="G92" s="25">
        <v>1</v>
      </c>
      <c r="H92" s="25">
        <v>1</v>
      </c>
      <c r="I92" s="25">
        <v>1</v>
      </c>
      <c r="J92" s="25">
        <v>1</v>
      </c>
      <c r="K92" s="25">
        <v>1</v>
      </c>
      <c r="L92" s="25">
        <v>1</v>
      </c>
      <c r="M92" s="25">
        <v>1</v>
      </c>
      <c r="N92" s="25">
        <v>1</v>
      </c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25">
        <v>1</v>
      </c>
      <c r="AI92" s="25">
        <v>16</v>
      </c>
    </row>
    <row r="93" spans="1:35" x14ac:dyDescent="0.25">
      <c r="A93" t="s">
        <v>28</v>
      </c>
      <c r="B93" t="s">
        <v>28</v>
      </c>
      <c r="C93" t="s">
        <v>20</v>
      </c>
      <c r="D93" t="s">
        <v>38</v>
      </c>
      <c r="E93" s="25"/>
      <c r="F93" s="25"/>
      <c r="G93" s="25"/>
      <c r="H93" s="25"/>
      <c r="I93" s="25">
        <v>55</v>
      </c>
      <c r="J93" s="25">
        <v>55</v>
      </c>
      <c r="K93" s="25">
        <v>55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>
        <v>165</v>
      </c>
    </row>
    <row r="94" spans="1:35" x14ac:dyDescent="0.25">
      <c r="D94" t="s">
        <v>24</v>
      </c>
      <c r="E94" s="25"/>
      <c r="F94" s="25"/>
      <c r="G94" s="25"/>
      <c r="H94" s="25">
        <v>24</v>
      </c>
      <c r="I94" s="25">
        <v>24</v>
      </c>
      <c r="J94" s="25">
        <v>24</v>
      </c>
      <c r="K94" s="25">
        <v>32</v>
      </c>
      <c r="L94" s="25">
        <v>32</v>
      </c>
      <c r="M94" s="25">
        <v>24</v>
      </c>
      <c r="N94" s="25">
        <v>40</v>
      </c>
      <c r="O94" s="25">
        <v>32</v>
      </c>
      <c r="P94" s="25">
        <v>32</v>
      </c>
      <c r="Q94" s="25">
        <v>24</v>
      </c>
      <c r="R94" s="25"/>
      <c r="S94" s="25"/>
      <c r="T94" s="25"/>
      <c r="U94" s="25">
        <v>16</v>
      </c>
      <c r="V94" s="25">
        <v>16</v>
      </c>
      <c r="W94" s="25">
        <v>24</v>
      </c>
      <c r="X94" s="25">
        <v>16</v>
      </c>
      <c r="Y94" s="25">
        <v>16</v>
      </c>
      <c r="Z94" s="25">
        <v>24</v>
      </c>
      <c r="AA94" s="25">
        <v>8</v>
      </c>
      <c r="AB94" s="25">
        <v>8</v>
      </c>
      <c r="AC94" s="25"/>
      <c r="AD94" s="25"/>
      <c r="AE94" s="25">
        <v>8</v>
      </c>
      <c r="AF94" s="25">
        <v>8</v>
      </c>
      <c r="AG94" s="25">
        <v>8</v>
      </c>
      <c r="AH94" s="25">
        <v>8</v>
      </c>
      <c r="AI94" s="25">
        <v>448</v>
      </c>
    </row>
    <row r="95" spans="1:35" x14ac:dyDescent="0.25">
      <c r="D95" t="s">
        <v>30</v>
      </c>
      <c r="E95" s="25">
        <v>3</v>
      </c>
      <c r="F95" s="25">
        <v>4</v>
      </c>
      <c r="G95" s="25">
        <v>4</v>
      </c>
      <c r="H95" s="25"/>
      <c r="I95" s="25"/>
      <c r="J95" s="25">
        <v>4</v>
      </c>
      <c r="K95" s="25">
        <v>3</v>
      </c>
      <c r="L95" s="25"/>
      <c r="M95" s="25"/>
      <c r="N95" s="25"/>
      <c r="O95" s="25"/>
      <c r="P95" s="25"/>
      <c r="Q95" s="25">
        <v>6</v>
      </c>
      <c r="R95" s="25">
        <v>9</v>
      </c>
      <c r="S95" s="25"/>
      <c r="T95" s="25"/>
      <c r="U95" s="25"/>
      <c r="V95" s="25"/>
      <c r="W95" s="25"/>
      <c r="X95" s="25">
        <v>9</v>
      </c>
      <c r="Y95" s="25">
        <v>9</v>
      </c>
      <c r="Z95" s="25"/>
      <c r="AA95" s="25"/>
      <c r="AB95" s="25"/>
      <c r="AC95" s="25"/>
      <c r="AD95" s="25"/>
      <c r="AE95" s="25">
        <v>12</v>
      </c>
      <c r="AF95" s="25">
        <v>12</v>
      </c>
      <c r="AG95" s="25"/>
      <c r="AH95" s="25"/>
      <c r="AI95" s="25">
        <v>75</v>
      </c>
    </row>
    <row r="96" spans="1:35" x14ac:dyDescent="0.25">
      <c r="D96" t="s">
        <v>29</v>
      </c>
      <c r="E96" s="25">
        <v>40</v>
      </c>
      <c r="F96" s="25">
        <v>40</v>
      </c>
      <c r="G96" s="25">
        <v>32</v>
      </c>
      <c r="H96" s="25">
        <v>32</v>
      </c>
      <c r="I96" s="25">
        <v>32</v>
      </c>
      <c r="J96" s="25"/>
      <c r="K96" s="25"/>
      <c r="L96" s="25">
        <v>32</v>
      </c>
      <c r="M96" s="25">
        <v>40</v>
      </c>
      <c r="N96" s="25">
        <v>40</v>
      </c>
      <c r="O96" s="25">
        <v>40</v>
      </c>
      <c r="P96" s="25">
        <v>40</v>
      </c>
      <c r="Q96" s="25"/>
      <c r="R96" s="25"/>
      <c r="S96" s="25">
        <v>72</v>
      </c>
      <c r="T96" s="25">
        <v>72</v>
      </c>
      <c r="U96" s="25">
        <v>72</v>
      </c>
      <c r="V96" s="25">
        <v>72</v>
      </c>
      <c r="W96" s="25">
        <v>72</v>
      </c>
      <c r="X96" s="25"/>
      <c r="Y96" s="25"/>
      <c r="Z96" s="25">
        <v>72</v>
      </c>
      <c r="AA96" s="25">
        <v>88</v>
      </c>
      <c r="AB96" s="25">
        <v>88</v>
      </c>
      <c r="AC96" s="25">
        <v>96</v>
      </c>
      <c r="AD96" s="25">
        <v>96</v>
      </c>
      <c r="AE96" s="25"/>
      <c r="AF96" s="25"/>
      <c r="AG96" s="25">
        <v>96</v>
      </c>
      <c r="AH96" s="25">
        <v>96</v>
      </c>
      <c r="AI96" s="25">
        <v>1360</v>
      </c>
    </row>
    <row r="97" spans="1:35" x14ac:dyDescent="0.25">
      <c r="D97" t="s">
        <v>10</v>
      </c>
      <c r="E97" s="25">
        <v>229</v>
      </c>
      <c r="F97" s="25">
        <v>207</v>
      </c>
      <c r="G97" s="25">
        <v>196</v>
      </c>
      <c r="H97" s="25">
        <v>218</v>
      </c>
      <c r="I97" s="25">
        <v>142</v>
      </c>
      <c r="J97" s="25">
        <v>142</v>
      </c>
      <c r="K97" s="25">
        <v>153</v>
      </c>
      <c r="L97" s="25">
        <v>207</v>
      </c>
      <c r="M97" s="25">
        <v>229</v>
      </c>
      <c r="N97" s="25">
        <v>197</v>
      </c>
      <c r="O97" s="25">
        <v>219</v>
      </c>
      <c r="P97" s="25">
        <v>208</v>
      </c>
      <c r="Q97" s="25">
        <v>208</v>
      </c>
      <c r="R97" s="25">
        <v>186</v>
      </c>
      <c r="S97" s="25">
        <v>186</v>
      </c>
      <c r="T97" s="25">
        <v>187</v>
      </c>
      <c r="U97" s="25">
        <v>187</v>
      </c>
      <c r="V97" s="25">
        <v>187</v>
      </c>
      <c r="W97" s="25">
        <v>176</v>
      </c>
      <c r="X97" s="25">
        <v>187</v>
      </c>
      <c r="Y97" s="25">
        <v>188</v>
      </c>
      <c r="Z97" s="25">
        <v>177</v>
      </c>
      <c r="AA97" s="25">
        <v>177</v>
      </c>
      <c r="AB97" s="25">
        <v>175</v>
      </c>
      <c r="AC97" s="25">
        <v>175</v>
      </c>
      <c r="AD97" s="25">
        <v>175</v>
      </c>
      <c r="AE97" s="25">
        <v>164</v>
      </c>
      <c r="AF97" s="25">
        <v>164</v>
      </c>
      <c r="AG97" s="25">
        <v>164</v>
      </c>
      <c r="AH97" s="25">
        <v>164</v>
      </c>
      <c r="AI97" s="25">
        <v>5574</v>
      </c>
    </row>
    <row r="98" spans="1:35" x14ac:dyDescent="0.25">
      <c r="D98" t="s">
        <v>44</v>
      </c>
      <c r="E98" s="25">
        <v>2</v>
      </c>
      <c r="F98" s="25">
        <v>2</v>
      </c>
      <c r="G98" s="25">
        <v>2</v>
      </c>
      <c r="H98" s="25">
        <v>2</v>
      </c>
      <c r="I98" s="25">
        <v>2</v>
      </c>
      <c r="J98" s="25">
        <v>2</v>
      </c>
      <c r="K98" s="25">
        <v>2</v>
      </c>
      <c r="L98" s="25">
        <v>2</v>
      </c>
      <c r="M98" s="25">
        <v>2</v>
      </c>
      <c r="N98" s="25">
        <v>2</v>
      </c>
      <c r="O98" s="25">
        <v>2</v>
      </c>
      <c r="P98" s="25">
        <v>2</v>
      </c>
      <c r="Q98" s="25">
        <v>2</v>
      </c>
      <c r="R98" s="25">
        <v>2</v>
      </c>
      <c r="S98" s="25">
        <v>2</v>
      </c>
      <c r="T98" s="25">
        <v>2</v>
      </c>
      <c r="U98" s="25">
        <v>1</v>
      </c>
      <c r="V98" s="25">
        <v>1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25">
        <v>1</v>
      </c>
      <c r="AI98" s="25">
        <v>46</v>
      </c>
    </row>
    <row r="99" spans="1:35" x14ac:dyDescent="0.25">
      <c r="D99" t="s">
        <v>52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>
        <v>1</v>
      </c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>
        <v>1</v>
      </c>
    </row>
    <row r="100" spans="1:35" x14ac:dyDescent="0.25">
      <c r="D100" t="s">
        <v>81</v>
      </c>
      <c r="E100" s="25">
        <v>1</v>
      </c>
      <c r="F100" s="25">
        <v>1</v>
      </c>
      <c r="G100" s="25">
        <v>2</v>
      </c>
      <c r="H100" s="25">
        <v>2</v>
      </c>
      <c r="I100" s="25">
        <v>2</v>
      </c>
      <c r="J100" s="25">
        <v>2</v>
      </c>
      <c r="K100" s="25">
        <v>2</v>
      </c>
      <c r="L100" s="25">
        <v>1</v>
      </c>
      <c r="M100" s="25">
        <v>1</v>
      </c>
      <c r="N100" s="25">
        <v>1</v>
      </c>
      <c r="O100" s="25">
        <v>1</v>
      </c>
      <c r="P100" s="25">
        <v>1</v>
      </c>
      <c r="Q100" s="25">
        <v>1</v>
      </c>
      <c r="R100" s="25">
        <v>1</v>
      </c>
      <c r="S100" s="25">
        <v>1</v>
      </c>
      <c r="T100" s="25">
        <v>1</v>
      </c>
      <c r="U100" s="25">
        <v>1</v>
      </c>
      <c r="V100" s="25">
        <v>1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25">
        <v>1</v>
      </c>
      <c r="AI100" s="25">
        <v>35</v>
      </c>
    </row>
    <row r="101" spans="1:35" x14ac:dyDescent="0.25">
      <c r="A101" t="s">
        <v>64</v>
      </c>
      <c r="B101" t="s">
        <v>65</v>
      </c>
      <c r="C101" t="s">
        <v>20</v>
      </c>
      <c r="D101" t="s">
        <v>38</v>
      </c>
      <c r="E101" s="25"/>
      <c r="F101" s="25"/>
      <c r="G101" s="25">
        <v>11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>
        <v>11</v>
      </c>
    </row>
    <row r="102" spans="1:35" x14ac:dyDescent="0.25">
      <c r="D102" t="s">
        <v>24</v>
      </c>
      <c r="E102" s="25"/>
      <c r="F102" s="25"/>
      <c r="G102" s="25"/>
      <c r="H102" s="25">
        <v>8</v>
      </c>
      <c r="I102" s="25">
        <v>8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>
        <v>16</v>
      </c>
    </row>
    <row r="103" spans="1:35" x14ac:dyDescent="0.25">
      <c r="D103" t="s">
        <v>30</v>
      </c>
      <c r="E103" s="25"/>
      <c r="F103" s="25"/>
      <c r="G103" s="25"/>
      <c r="H103" s="25"/>
      <c r="I103" s="25"/>
      <c r="J103" s="25">
        <v>1</v>
      </c>
      <c r="K103" s="25">
        <v>1</v>
      </c>
      <c r="L103" s="25"/>
      <c r="M103" s="25"/>
      <c r="N103" s="25"/>
      <c r="O103" s="25"/>
      <c r="P103" s="25"/>
      <c r="Q103" s="25">
        <v>1</v>
      </c>
      <c r="R103" s="25">
        <v>1</v>
      </c>
      <c r="S103" s="25"/>
      <c r="T103" s="25"/>
      <c r="U103" s="25"/>
      <c r="V103" s="25"/>
      <c r="W103" s="25"/>
      <c r="X103" s="25">
        <v>1</v>
      </c>
      <c r="Y103" s="25">
        <v>1</v>
      </c>
      <c r="Z103" s="25"/>
      <c r="AA103" s="25"/>
      <c r="AB103" s="25"/>
      <c r="AC103" s="25"/>
      <c r="AD103" s="25"/>
      <c r="AE103" s="25">
        <v>1</v>
      </c>
      <c r="AF103" s="25">
        <v>1</v>
      </c>
      <c r="AG103" s="25"/>
      <c r="AH103" s="25"/>
      <c r="AI103" s="25">
        <v>8</v>
      </c>
    </row>
    <row r="104" spans="1:35" x14ac:dyDescent="0.25">
      <c r="D104" t="s">
        <v>29</v>
      </c>
      <c r="E104" s="25"/>
      <c r="F104" s="25"/>
      <c r="G104" s="25"/>
      <c r="H104" s="25"/>
      <c r="I104" s="25"/>
      <c r="J104" s="25"/>
      <c r="K104" s="25"/>
      <c r="L104" s="25">
        <v>8</v>
      </c>
      <c r="M104" s="25">
        <v>8</v>
      </c>
      <c r="N104" s="25">
        <v>8</v>
      </c>
      <c r="O104" s="25">
        <v>8</v>
      </c>
      <c r="P104" s="25">
        <v>8</v>
      </c>
      <c r="Q104" s="25"/>
      <c r="R104" s="25"/>
      <c r="S104" s="25">
        <v>8</v>
      </c>
      <c r="T104" s="25">
        <v>8</v>
      </c>
      <c r="U104" s="25">
        <v>8</v>
      </c>
      <c r="V104" s="25">
        <v>8</v>
      </c>
      <c r="W104" s="25">
        <v>8</v>
      </c>
      <c r="X104" s="25"/>
      <c r="Y104" s="25"/>
      <c r="Z104" s="25">
        <v>8</v>
      </c>
      <c r="AA104" s="25">
        <v>8</v>
      </c>
      <c r="AB104" s="25">
        <v>8</v>
      </c>
      <c r="AC104" s="25">
        <v>8</v>
      </c>
      <c r="AD104" s="25">
        <v>8</v>
      </c>
      <c r="AE104" s="25"/>
      <c r="AF104" s="25"/>
      <c r="AG104" s="25">
        <v>8</v>
      </c>
      <c r="AH104" s="25">
        <v>8</v>
      </c>
      <c r="AI104" s="25">
        <v>136</v>
      </c>
    </row>
    <row r="105" spans="1:35" x14ac:dyDescent="0.25">
      <c r="D105" t="s">
        <v>10</v>
      </c>
      <c r="E105" s="25">
        <v>11</v>
      </c>
      <c r="F105" s="25">
        <v>11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>
        <v>22</v>
      </c>
    </row>
    <row r="106" spans="1:35" x14ac:dyDescent="0.25">
      <c r="A106" t="s">
        <v>69</v>
      </c>
      <c r="B106" t="s">
        <v>69</v>
      </c>
      <c r="C106" t="s">
        <v>20</v>
      </c>
      <c r="D106" t="s">
        <v>24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>
        <v>8</v>
      </c>
      <c r="AA106" s="25">
        <v>8</v>
      </c>
      <c r="AB106" s="25">
        <v>8</v>
      </c>
      <c r="AC106" s="25">
        <v>8</v>
      </c>
      <c r="AD106" s="25">
        <v>8</v>
      </c>
      <c r="AE106" s="25"/>
      <c r="AF106" s="25"/>
      <c r="AG106" s="25"/>
      <c r="AH106" s="25"/>
      <c r="AI106" s="25">
        <v>40</v>
      </c>
    </row>
    <row r="107" spans="1:35" x14ac:dyDescent="0.25">
      <c r="D107" t="s">
        <v>30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>
        <v>1</v>
      </c>
      <c r="AF107" s="25">
        <v>1</v>
      </c>
      <c r="AG107" s="25"/>
      <c r="AH107" s="25"/>
      <c r="AI107" s="25">
        <v>2</v>
      </c>
    </row>
    <row r="108" spans="1:35" x14ac:dyDescent="0.25">
      <c r="D108" t="s">
        <v>29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>
        <v>8</v>
      </c>
      <c r="AH108" s="25">
        <v>8</v>
      </c>
      <c r="AI108" s="25">
        <v>16</v>
      </c>
    </row>
    <row r="109" spans="1:35" x14ac:dyDescent="0.25">
      <c r="D109" t="s">
        <v>10</v>
      </c>
      <c r="E109" s="25">
        <v>41</v>
      </c>
      <c r="F109" s="25">
        <v>39</v>
      </c>
      <c r="G109" s="25">
        <v>35</v>
      </c>
      <c r="H109" s="25">
        <v>44</v>
      </c>
      <c r="I109" s="25">
        <v>44</v>
      </c>
      <c r="J109" s="25">
        <v>44</v>
      </c>
      <c r="K109" s="25">
        <v>33</v>
      </c>
      <c r="L109" s="25">
        <v>33</v>
      </c>
      <c r="M109" s="25">
        <v>36</v>
      </c>
      <c r="N109" s="25">
        <v>33</v>
      </c>
      <c r="O109" s="25">
        <v>38</v>
      </c>
      <c r="P109" s="25">
        <v>33</v>
      </c>
      <c r="Q109" s="25">
        <v>33</v>
      </c>
      <c r="R109" s="25">
        <v>44</v>
      </c>
      <c r="S109" s="25">
        <v>44</v>
      </c>
      <c r="T109" s="25">
        <v>36</v>
      </c>
      <c r="U109" s="25">
        <v>33</v>
      </c>
      <c r="V109" s="25">
        <v>37</v>
      </c>
      <c r="W109" s="25">
        <v>36</v>
      </c>
      <c r="X109" s="25">
        <v>33</v>
      </c>
      <c r="Y109" s="25">
        <v>33</v>
      </c>
      <c r="Z109" s="25">
        <v>22</v>
      </c>
      <c r="AA109" s="25">
        <v>22</v>
      </c>
      <c r="AB109" s="25">
        <v>22</v>
      </c>
      <c r="AC109" s="25">
        <v>22</v>
      </c>
      <c r="AD109" s="25">
        <v>22</v>
      </c>
      <c r="AE109" s="25">
        <v>22</v>
      </c>
      <c r="AF109" s="25">
        <v>22</v>
      </c>
      <c r="AG109" s="25">
        <v>22</v>
      </c>
      <c r="AH109" s="25">
        <v>22</v>
      </c>
      <c r="AI109" s="25">
        <v>980</v>
      </c>
    </row>
    <row r="110" spans="1:35" x14ac:dyDescent="0.25">
      <c r="A110" t="s">
        <v>71</v>
      </c>
      <c r="B110" t="s">
        <v>71</v>
      </c>
      <c r="C110" t="s">
        <v>20</v>
      </c>
      <c r="D110" t="s">
        <v>24</v>
      </c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>
        <v>8</v>
      </c>
      <c r="T110" s="25">
        <v>8</v>
      </c>
      <c r="U110" s="25">
        <v>8</v>
      </c>
      <c r="V110" s="25">
        <v>8</v>
      </c>
      <c r="W110" s="25"/>
      <c r="X110" s="25"/>
      <c r="Y110" s="25"/>
      <c r="Z110" s="25"/>
      <c r="AA110" s="25"/>
      <c r="AB110" s="25"/>
      <c r="AC110" s="25"/>
      <c r="AD110" s="25"/>
      <c r="AE110" s="25"/>
      <c r="AF110" s="25">
        <v>8</v>
      </c>
      <c r="AG110" s="25">
        <v>8</v>
      </c>
      <c r="AH110" s="25">
        <v>8</v>
      </c>
      <c r="AI110" s="25">
        <v>56</v>
      </c>
    </row>
    <row r="111" spans="1:35" x14ac:dyDescent="0.25">
      <c r="D111" t="s">
        <v>30</v>
      </c>
      <c r="E111" s="25"/>
      <c r="F111" s="25"/>
      <c r="G111" s="25"/>
      <c r="H111" s="25"/>
      <c r="I111" s="25"/>
      <c r="J111" s="25">
        <v>1</v>
      </c>
      <c r="K111" s="25">
        <v>1</v>
      </c>
      <c r="L111" s="25"/>
      <c r="M111" s="25"/>
      <c r="N111" s="25"/>
      <c r="O111" s="25"/>
      <c r="P111" s="25"/>
      <c r="Q111" s="25">
        <v>1</v>
      </c>
      <c r="R111" s="25">
        <v>1</v>
      </c>
      <c r="S111" s="25"/>
      <c r="T111" s="25"/>
      <c r="U111" s="25"/>
      <c r="V111" s="25"/>
      <c r="W111" s="25"/>
      <c r="X111" s="25">
        <v>1</v>
      </c>
      <c r="Y111" s="25">
        <v>1</v>
      </c>
      <c r="Z111" s="25"/>
      <c r="AA111" s="25"/>
      <c r="AB111" s="25"/>
      <c r="AC111" s="25"/>
      <c r="AD111" s="25"/>
      <c r="AE111" s="25">
        <v>1</v>
      </c>
      <c r="AF111" s="25">
        <v>1</v>
      </c>
      <c r="AG111" s="25"/>
      <c r="AH111" s="25"/>
      <c r="AI111" s="25">
        <v>8</v>
      </c>
    </row>
    <row r="112" spans="1:35" x14ac:dyDescent="0.25">
      <c r="D112" t="s">
        <v>29</v>
      </c>
      <c r="E112" s="25">
        <v>8</v>
      </c>
      <c r="F112" s="25">
        <v>8</v>
      </c>
      <c r="G112" s="25">
        <v>8</v>
      </c>
      <c r="H112" s="25">
        <v>8</v>
      </c>
      <c r="I112" s="25">
        <v>8</v>
      </c>
      <c r="J112" s="25"/>
      <c r="K112" s="25"/>
      <c r="L112" s="25">
        <v>8</v>
      </c>
      <c r="M112" s="25">
        <v>8</v>
      </c>
      <c r="N112" s="25">
        <v>8</v>
      </c>
      <c r="O112" s="25">
        <v>8</v>
      </c>
      <c r="P112" s="25">
        <v>8</v>
      </c>
      <c r="Q112" s="25"/>
      <c r="R112" s="25"/>
      <c r="S112" s="25">
        <v>8</v>
      </c>
      <c r="T112" s="25">
        <v>8</v>
      </c>
      <c r="U112" s="25">
        <v>8</v>
      </c>
      <c r="V112" s="25">
        <v>8</v>
      </c>
      <c r="W112" s="25">
        <v>8</v>
      </c>
      <c r="X112" s="25"/>
      <c r="Y112" s="25"/>
      <c r="Z112" s="25">
        <v>8</v>
      </c>
      <c r="AA112" s="25">
        <v>8</v>
      </c>
      <c r="AB112" s="25">
        <v>8</v>
      </c>
      <c r="AC112" s="25">
        <v>8</v>
      </c>
      <c r="AD112" s="25">
        <v>8</v>
      </c>
      <c r="AE112" s="25"/>
      <c r="AF112" s="25"/>
      <c r="AG112" s="25">
        <v>8</v>
      </c>
      <c r="AH112" s="25">
        <v>8</v>
      </c>
      <c r="AI112" s="25">
        <v>176</v>
      </c>
    </row>
    <row r="113" spans="1:35" x14ac:dyDescent="0.25">
      <c r="D113" t="s">
        <v>10</v>
      </c>
      <c r="E113" s="25">
        <v>71</v>
      </c>
      <c r="F113" s="25">
        <v>61</v>
      </c>
      <c r="G113" s="25">
        <v>57</v>
      </c>
      <c r="H113" s="25">
        <v>66</v>
      </c>
      <c r="I113" s="25">
        <v>66</v>
      </c>
      <c r="J113" s="25">
        <v>66</v>
      </c>
      <c r="K113" s="25">
        <v>55</v>
      </c>
      <c r="L113" s="25">
        <v>59</v>
      </c>
      <c r="M113" s="25">
        <v>58</v>
      </c>
      <c r="N113" s="25">
        <v>57</v>
      </c>
      <c r="O113" s="25">
        <v>60</v>
      </c>
      <c r="P113" s="25">
        <v>57</v>
      </c>
      <c r="Q113" s="25">
        <v>58</v>
      </c>
      <c r="R113" s="25">
        <v>66</v>
      </c>
      <c r="S113" s="25">
        <v>55</v>
      </c>
      <c r="T113" s="25">
        <v>47</v>
      </c>
      <c r="U113" s="25">
        <v>46</v>
      </c>
      <c r="V113" s="25">
        <v>48</v>
      </c>
      <c r="W113" s="25">
        <v>58</v>
      </c>
      <c r="X113" s="25">
        <v>64</v>
      </c>
      <c r="Y113" s="25">
        <v>59</v>
      </c>
      <c r="Z113" s="25">
        <v>55</v>
      </c>
      <c r="AA113" s="25">
        <v>55</v>
      </c>
      <c r="AB113" s="25">
        <v>55</v>
      </c>
      <c r="AC113" s="25">
        <v>55</v>
      </c>
      <c r="AD113" s="25">
        <v>63</v>
      </c>
      <c r="AE113" s="25">
        <v>55</v>
      </c>
      <c r="AF113" s="25">
        <v>44</v>
      </c>
      <c r="AG113" s="25">
        <v>44</v>
      </c>
      <c r="AH113" s="25">
        <v>49</v>
      </c>
      <c r="AI113" s="25">
        <v>1709</v>
      </c>
    </row>
    <row r="114" spans="1:35" x14ac:dyDescent="0.25">
      <c r="A114" t="s">
        <v>77</v>
      </c>
      <c r="B114" t="s">
        <v>77</v>
      </c>
      <c r="C114" t="s">
        <v>20</v>
      </c>
      <c r="D114" t="s">
        <v>24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>
        <v>8</v>
      </c>
      <c r="AE114" s="25">
        <v>8</v>
      </c>
      <c r="AF114" s="25">
        <v>8</v>
      </c>
      <c r="AG114" s="25"/>
      <c r="AH114" s="25"/>
      <c r="AI114" s="25">
        <v>24</v>
      </c>
    </row>
    <row r="115" spans="1:35" x14ac:dyDescent="0.25">
      <c r="D115" t="s">
        <v>30</v>
      </c>
      <c r="E115" s="25"/>
      <c r="F115" s="25"/>
      <c r="G115" s="25"/>
      <c r="H115" s="25"/>
      <c r="I115" s="25"/>
      <c r="J115" s="25">
        <v>1</v>
      </c>
      <c r="K115" s="25">
        <v>1</v>
      </c>
      <c r="L115" s="25"/>
      <c r="M115" s="25"/>
      <c r="N115" s="25"/>
      <c r="O115" s="25"/>
      <c r="P115" s="25"/>
      <c r="Q115" s="25">
        <v>1</v>
      </c>
      <c r="R115" s="25">
        <v>1</v>
      </c>
      <c r="S115" s="25"/>
      <c r="T115" s="25"/>
      <c r="U115" s="25"/>
      <c r="V115" s="25"/>
      <c r="W115" s="25"/>
      <c r="X115" s="25">
        <v>1</v>
      </c>
      <c r="Y115" s="25">
        <v>1</v>
      </c>
      <c r="Z115" s="25"/>
      <c r="AA115" s="25"/>
      <c r="AB115" s="25"/>
      <c r="AC115" s="25"/>
      <c r="AD115" s="25"/>
      <c r="AE115" s="25"/>
      <c r="AF115" s="25"/>
      <c r="AG115" s="25"/>
      <c r="AH115" s="25"/>
      <c r="AI115" s="25">
        <v>6</v>
      </c>
    </row>
    <row r="116" spans="1:35" x14ac:dyDescent="0.25">
      <c r="D116" t="s">
        <v>29</v>
      </c>
      <c r="E116" s="25">
        <v>8</v>
      </c>
      <c r="F116" s="25">
        <v>8</v>
      </c>
      <c r="G116" s="25">
        <v>8</v>
      </c>
      <c r="H116" s="25">
        <v>8</v>
      </c>
      <c r="I116" s="25">
        <v>8</v>
      </c>
      <c r="J116" s="25"/>
      <c r="K116" s="25"/>
      <c r="L116" s="25">
        <v>8</v>
      </c>
      <c r="M116" s="25">
        <v>8</v>
      </c>
      <c r="N116" s="25">
        <v>8</v>
      </c>
      <c r="O116" s="25">
        <v>8</v>
      </c>
      <c r="P116" s="25">
        <v>8</v>
      </c>
      <c r="Q116" s="25"/>
      <c r="R116" s="25"/>
      <c r="S116" s="25">
        <v>8</v>
      </c>
      <c r="T116" s="25">
        <v>8</v>
      </c>
      <c r="U116" s="25">
        <v>8</v>
      </c>
      <c r="V116" s="25">
        <v>8</v>
      </c>
      <c r="W116" s="25">
        <v>8</v>
      </c>
      <c r="X116" s="25"/>
      <c r="Y116" s="25"/>
      <c r="Z116" s="25">
        <v>8</v>
      </c>
      <c r="AA116" s="25">
        <v>8</v>
      </c>
      <c r="AB116" s="25">
        <v>8</v>
      </c>
      <c r="AC116" s="25">
        <v>8</v>
      </c>
      <c r="AD116" s="25"/>
      <c r="AE116" s="25"/>
      <c r="AF116" s="25"/>
      <c r="AG116" s="25"/>
      <c r="AH116" s="25"/>
      <c r="AI116" s="25">
        <v>152</v>
      </c>
    </row>
    <row r="117" spans="1:35" x14ac:dyDescent="0.25">
      <c r="D117" t="s">
        <v>10</v>
      </c>
      <c r="E117" s="25">
        <v>11</v>
      </c>
      <c r="F117" s="25">
        <v>11</v>
      </c>
      <c r="G117" s="25">
        <v>11</v>
      </c>
      <c r="H117" s="25">
        <v>11</v>
      </c>
      <c r="I117" s="25">
        <v>11</v>
      </c>
      <c r="J117" s="25">
        <v>11</v>
      </c>
      <c r="K117" s="25">
        <v>11</v>
      </c>
      <c r="L117" s="25">
        <v>11</v>
      </c>
      <c r="M117" s="25">
        <v>11</v>
      </c>
      <c r="N117" s="25">
        <v>11</v>
      </c>
      <c r="O117" s="25">
        <v>11</v>
      </c>
      <c r="P117" s="25">
        <v>11</v>
      </c>
      <c r="Q117" s="25">
        <v>11</v>
      </c>
      <c r="R117" s="25">
        <v>11</v>
      </c>
      <c r="S117" s="25">
        <v>11</v>
      </c>
      <c r="T117" s="25">
        <v>11</v>
      </c>
      <c r="U117" s="25">
        <v>11</v>
      </c>
      <c r="V117" s="25">
        <v>11</v>
      </c>
      <c r="W117" s="25">
        <v>11</v>
      </c>
      <c r="X117" s="25">
        <v>11</v>
      </c>
      <c r="Y117" s="25">
        <v>11</v>
      </c>
      <c r="Z117" s="25">
        <v>11</v>
      </c>
      <c r="AA117" s="25">
        <v>11</v>
      </c>
      <c r="AB117" s="25">
        <v>11</v>
      </c>
      <c r="AC117" s="25">
        <v>11</v>
      </c>
      <c r="AD117" s="25">
        <v>11</v>
      </c>
      <c r="AE117" s="25">
        <v>11</v>
      </c>
      <c r="AF117" s="25">
        <v>11</v>
      </c>
      <c r="AG117" s="25">
        <v>22</v>
      </c>
      <c r="AH117" s="25">
        <v>22</v>
      </c>
      <c r="AI117" s="25">
        <v>352</v>
      </c>
    </row>
    <row r="118" spans="1:35" x14ac:dyDescent="0.25">
      <c r="A118" t="s">
        <v>79</v>
      </c>
      <c r="B118" t="s">
        <v>9</v>
      </c>
      <c r="C118" t="s">
        <v>20</v>
      </c>
      <c r="D118" t="s">
        <v>24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>
        <v>8</v>
      </c>
      <c r="V118" s="25">
        <v>8</v>
      </c>
      <c r="W118" s="25">
        <v>8</v>
      </c>
      <c r="X118" s="25">
        <v>8</v>
      </c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>
        <v>32</v>
      </c>
    </row>
    <row r="119" spans="1:35" x14ac:dyDescent="0.25">
      <c r="D119" t="s">
        <v>10</v>
      </c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>
        <v>11</v>
      </c>
      <c r="Z119" s="25">
        <v>11</v>
      </c>
      <c r="AA119" s="25">
        <v>11</v>
      </c>
      <c r="AB119" s="25">
        <v>11</v>
      </c>
      <c r="AC119" s="25">
        <v>11</v>
      </c>
      <c r="AD119" s="25">
        <v>11</v>
      </c>
      <c r="AE119" s="25">
        <v>11</v>
      </c>
      <c r="AF119" s="25">
        <v>11</v>
      </c>
      <c r="AG119" s="25">
        <v>11</v>
      </c>
      <c r="AH119" s="25">
        <v>11</v>
      </c>
      <c r="AI119" s="25">
        <v>110</v>
      </c>
    </row>
    <row r="120" spans="1:35" x14ac:dyDescent="0.25">
      <c r="B120" t="s">
        <v>79</v>
      </c>
      <c r="C120" t="s">
        <v>20</v>
      </c>
      <c r="D120" t="s">
        <v>30</v>
      </c>
      <c r="E120" s="25"/>
      <c r="F120" s="25"/>
      <c r="G120" s="25"/>
      <c r="H120" s="25"/>
      <c r="I120" s="25"/>
      <c r="J120" s="25">
        <v>1</v>
      </c>
      <c r="K120" s="25">
        <v>1</v>
      </c>
      <c r="L120" s="25"/>
      <c r="M120" s="25"/>
      <c r="N120" s="25"/>
      <c r="O120" s="25"/>
      <c r="P120" s="25"/>
      <c r="Q120" s="25">
        <v>1</v>
      </c>
      <c r="R120" s="25">
        <v>1</v>
      </c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>
        <v>4</v>
      </c>
    </row>
    <row r="121" spans="1:35" x14ac:dyDescent="0.25">
      <c r="D121" t="s">
        <v>29</v>
      </c>
      <c r="E121" s="25">
        <v>8</v>
      </c>
      <c r="F121" s="25">
        <v>8</v>
      </c>
      <c r="G121" s="25">
        <v>8</v>
      </c>
      <c r="H121" s="25">
        <v>8</v>
      </c>
      <c r="I121" s="25">
        <v>8</v>
      </c>
      <c r="J121" s="25"/>
      <c r="K121" s="25"/>
      <c r="L121" s="25">
        <v>8</v>
      </c>
      <c r="M121" s="25">
        <v>8</v>
      </c>
      <c r="N121" s="25">
        <v>8</v>
      </c>
      <c r="O121" s="25">
        <v>8</v>
      </c>
      <c r="P121" s="25">
        <v>8</v>
      </c>
      <c r="Q121" s="25"/>
      <c r="R121" s="25"/>
      <c r="S121" s="25">
        <v>8</v>
      </c>
      <c r="T121" s="25">
        <v>8</v>
      </c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>
        <v>96</v>
      </c>
    </row>
    <row r="122" spans="1:35" x14ac:dyDescent="0.25">
      <c r="D122" t="s">
        <v>10</v>
      </c>
      <c r="E122" s="25">
        <v>11</v>
      </c>
      <c r="F122" s="25">
        <v>11</v>
      </c>
      <c r="G122" s="25">
        <v>11</v>
      </c>
      <c r="H122" s="25">
        <v>11</v>
      </c>
      <c r="I122" s="25">
        <v>11</v>
      </c>
      <c r="J122" s="25">
        <v>11</v>
      </c>
      <c r="K122" s="25">
        <v>11</v>
      </c>
      <c r="L122" s="25">
        <v>11</v>
      </c>
      <c r="M122" s="25">
        <v>11</v>
      </c>
      <c r="N122" s="25">
        <v>11</v>
      </c>
      <c r="O122" s="25">
        <v>11</v>
      </c>
      <c r="P122" s="25">
        <v>11</v>
      </c>
      <c r="Q122" s="25">
        <v>11</v>
      </c>
      <c r="R122" s="25">
        <v>11</v>
      </c>
      <c r="S122" s="25">
        <v>11</v>
      </c>
      <c r="T122" s="25">
        <v>11</v>
      </c>
      <c r="U122" s="25">
        <v>11</v>
      </c>
      <c r="V122" s="25">
        <v>11</v>
      </c>
      <c r="W122" s="25">
        <v>11</v>
      </c>
      <c r="X122" s="25">
        <v>11</v>
      </c>
      <c r="Y122" s="25">
        <v>11</v>
      </c>
      <c r="Z122" s="25">
        <v>11</v>
      </c>
      <c r="AA122" s="25">
        <v>11</v>
      </c>
      <c r="AB122" s="25">
        <v>11</v>
      </c>
      <c r="AC122" s="25">
        <v>11</v>
      </c>
      <c r="AD122" s="25">
        <v>11</v>
      </c>
      <c r="AE122" s="25">
        <v>11</v>
      </c>
      <c r="AF122" s="25">
        <v>11</v>
      </c>
      <c r="AG122" s="25">
        <v>11</v>
      </c>
      <c r="AH122" s="25">
        <v>11</v>
      </c>
      <c r="AI122" s="25">
        <v>330</v>
      </c>
    </row>
    <row r="123" spans="1:35" x14ac:dyDescent="0.25">
      <c r="A123" t="s">
        <v>94</v>
      </c>
      <c r="B123" t="s">
        <v>94</v>
      </c>
      <c r="C123" t="s">
        <v>20</v>
      </c>
      <c r="D123" t="s">
        <v>24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>
        <v>8</v>
      </c>
      <c r="U123" s="25">
        <v>8</v>
      </c>
      <c r="V123" s="25">
        <v>8</v>
      </c>
      <c r="W123" s="25">
        <v>8</v>
      </c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>
        <v>32</v>
      </c>
    </row>
    <row r="124" spans="1:35" x14ac:dyDescent="0.25">
      <c r="D124" t="s">
        <v>10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>
        <v>11</v>
      </c>
      <c r="Y124" s="25">
        <v>11</v>
      </c>
      <c r="Z124" s="25">
        <v>11</v>
      </c>
      <c r="AA124" s="25">
        <v>11</v>
      </c>
      <c r="AB124" s="25">
        <v>11</v>
      </c>
      <c r="AC124" s="25">
        <v>11</v>
      </c>
      <c r="AD124" s="25">
        <v>11</v>
      </c>
      <c r="AE124" s="25">
        <v>11</v>
      </c>
      <c r="AF124" s="25">
        <v>11</v>
      </c>
      <c r="AG124" s="25">
        <v>11</v>
      </c>
      <c r="AH124" s="25">
        <v>11</v>
      </c>
      <c r="AI124" s="25">
        <v>121</v>
      </c>
    </row>
    <row r="125" spans="1:35" x14ac:dyDescent="0.25">
      <c r="D125" t="s">
        <v>20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</row>
    <row r="126" spans="1:35" x14ac:dyDescent="0.25">
      <c r="A126" t="s">
        <v>17</v>
      </c>
      <c r="E126" s="25">
        <v>1393</v>
      </c>
      <c r="F126" s="25">
        <v>1386</v>
      </c>
      <c r="G126" s="25">
        <v>1312</v>
      </c>
      <c r="H126" s="25">
        <v>1392</v>
      </c>
      <c r="I126" s="25">
        <v>1440</v>
      </c>
      <c r="J126" s="25">
        <v>1207</v>
      </c>
      <c r="K126" s="25">
        <v>1267</v>
      </c>
      <c r="L126" s="25">
        <v>1399</v>
      </c>
      <c r="M126" s="25">
        <v>1483</v>
      </c>
      <c r="N126" s="25">
        <v>1441</v>
      </c>
      <c r="O126" s="25">
        <v>1481</v>
      </c>
      <c r="P126" s="25">
        <v>1464</v>
      </c>
      <c r="Q126" s="25">
        <v>1304</v>
      </c>
      <c r="R126" s="25">
        <v>1256</v>
      </c>
      <c r="S126" s="25">
        <v>1471</v>
      </c>
      <c r="T126" s="25">
        <v>1465</v>
      </c>
      <c r="U126" s="25">
        <v>1486</v>
      </c>
      <c r="V126" s="25">
        <v>1488</v>
      </c>
      <c r="W126" s="25">
        <v>1511</v>
      </c>
      <c r="X126" s="25">
        <v>1331</v>
      </c>
      <c r="Y126" s="25">
        <v>1239</v>
      </c>
      <c r="Z126" s="25">
        <v>1432</v>
      </c>
      <c r="AA126" s="25">
        <v>1359</v>
      </c>
      <c r="AB126" s="25">
        <v>1471</v>
      </c>
      <c r="AC126" s="25">
        <v>1471</v>
      </c>
      <c r="AD126" s="25">
        <v>1468</v>
      </c>
      <c r="AE126" s="25">
        <v>1152</v>
      </c>
      <c r="AF126" s="25">
        <v>1145</v>
      </c>
      <c r="AG126" s="25">
        <v>1420</v>
      </c>
      <c r="AH126" s="25">
        <v>1420</v>
      </c>
      <c r="AI126" s="25">
        <v>41554</v>
      </c>
    </row>
  </sheetData>
  <pageMargins left="0.23622047244094491" right="0.23622047244094491" top="0.74803149606299213" bottom="0.74803149606299213" header="0.31496062992125984" footer="0.31496062992125984"/>
  <pageSetup paperSize="9" scale="56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F0EE-0505-4173-BD93-B9FA42282020}">
  <sheetPr>
    <pageSetUpPr fitToPage="1"/>
  </sheetPr>
  <dimension ref="A1:AJ137"/>
  <sheetViews>
    <sheetView zoomScale="90" zoomScaleNormal="90" workbookViewId="0">
      <selection activeCell="S6" sqref="S6"/>
    </sheetView>
  </sheetViews>
  <sheetFormatPr defaultRowHeight="15" x14ac:dyDescent="0.25"/>
  <cols>
    <col min="1" max="1" width="28.42578125" customWidth="1"/>
    <col min="2" max="2" width="7.42578125" customWidth="1"/>
    <col min="3" max="3" width="15.7109375" customWidth="1"/>
    <col min="4" max="4" width="13.42578125" customWidth="1"/>
    <col min="5" max="6" width="12.85546875" customWidth="1"/>
    <col min="7" max="15" width="4.28515625" customWidth="1"/>
    <col min="16" max="22" width="5" customWidth="1"/>
    <col min="23" max="27" width="4.5703125" customWidth="1"/>
    <col min="28" max="35" width="4.140625" customWidth="1"/>
    <col min="36" max="36" width="6.7109375" bestFit="1" customWidth="1"/>
    <col min="37" max="37" width="6.42578125" customWidth="1"/>
    <col min="38" max="38" width="7.85546875" customWidth="1"/>
  </cols>
  <sheetData>
    <row r="1" spans="1:36" x14ac:dyDescent="0.25">
      <c r="A1" s="3" t="s">
        <v>27</v>
      </c>
      <c r="B1" t="s">
        <v>83</v>
      </c>
    </row>
    <row r="3" spans="1:36" x14ac:dyDescent="0.25">
      <c r="A3" s="3" t="s">
        <v>21</v>
      </c>
      <c r="F3" s="3" t="s">
        <v>18</v>
      </c>
    </row>
    <row r="4" spans="1:36" ht="34.5" customHeight="1" x14ac:dyDescent="0.25">
      <c r="A4" s="14" t="s">
        <v>8</v>
      </c>
      <c r="B4" s="14" t="s">
        <v>1</v>
      </c>
      <c r="C4" s="14" t="s">
        <v>3</v>
      </c>
      <c r="D4" s="14" t="s">
        <v>2</v>
      </c>
      <c r="E4" s="14" t="s">
        <v>4</v>
      </c>
      <c r="F4" s="15">
        <v>1</v>
      </c>
      <c r="G4" s="15">
        <v>2</v>
      </c>
      <c r="H4" s="15">
        <v>3</v>
      </c>
      <c r="I4" s="15">
        <v>4</v>
      </c>
      <c r="J4" s="15">
        <v>5</v>
      </c>
      <c r="K4" s="15">
        <v>6</v>
      </c>
      <c r="L4" s="15">
        <v>7</v>
      </c>
      <c r="M4" s="15">
        <v>8</v>
      </c>
      <c r="N4" s="15">
        <v>9</v>
      </c>
      <c r="O4" s="15">
        <v>10</v>
      </c>
      <c r="P4" s="15">
        <v>11</v>
      </c>
      <c r="Q4" s="15">
        <v>12</v>
      </c>
      <c r="R4" s="15">
        <v>13</v>
      </c>
      <c r="S4" s="15">
        <v>14</v>
      </c>
      <c r="T4" s="15">
        <v>15</v>
      </c>
      <c r="U4" s="15">
        <v>16</v>
      </c>
      <c r="V4" s="15">
        <v>17</v>
      </c>
      <c r="W4" s="15">
        <v>18</v>
      </c>
      <c r="X4" s="15">
        <v>19</v>
      </c>
      <c r="Y4" s="15">
        <v>20</v>
      </c>
      <c r="Z4" s="15">
        <v>21</v>
      </c>
      <c r="AA4" s="15">
        <v>22</v>
      </c>
      <c r="AB4" s="15">
        <v>23</v>
      </c>
      <c r="AC4" s="15">
        <v>24</v>
      </c>
      <c r="AD4" s="15">
        <v>25</v>
      </c>
      <c r="AE4" s="15">
        <v>26</v>
      </c>
      <c r="AF4" s="15">
        <v>27</v>
      </c>
      <c r="AG4" s="15">
        <v>28</v>
      </c>
      <c r="AH4" s="15">
        <v>29</v>
      </c>
      <c r="AI4" s="15">
        <v>30</v>
      </c>
      <c r="AJ4" s="16" t="s">
        <v>17</v>
      </c>
    </row>
    <row r="5" spans="1:36" x14ac:dyDescent="0.25">
      <c r="A5">
        <v>1</v>
      </c>
      <c r="B5" t="s">
        <v>12</v>
      </c>
      <c r="C5" t="s">
        <v>42</v>
      </c>
      <c r="D5" t="s">
        <v>20</v>
      </c>
      <c r="E5" t="s">
        <v>38</v>
      </c>
      <c r="F5" s="25"/>
      <c r="G5" s="25">
        <v>11</v>
      </c>
      <c r="H5" s="25"/>
      <c r="I5" s="25"/>
      <c r="J5" s="25">
        <v>11</v>
      </c>
      <c r="K5" s="25">
        <v>66</v>
      </c>
      <c r="L5" s="25">
        <v>66</v>
      </c>
      <c r="M5" s="25"/>
      <c r="N5" s="25"/>
      <c r="O5" s="25"/>
      <c r="P5" s="25">
        <v>22</v>
      </c>
      <c r="Q5" s="25">
        <v>55</v>
      </c>
      <c r="R5" s="25">
        <v>33</v>
      </c>
      <c r="S5" s="25">
        <v>11</v>
      </c>
      <c r="T5" s="25"/>
      <c r="U5" s="25"/>
      <c r="V5" s="25"/>
      <c r="W5" s="25"/>
      <c r="X5" s="25"/>
      <c r="Y5" s="25"/>
      <c r="Z5" s="25"/>
      <c r="AA5" s="25">
        <v>33</v>
      </c>
      <c r="AB5" s="25">
        <v>33</v>
      </c>
      <c r="AC5" s="25">
        <v>11</v>
      </c>
      <c r="AD5" s="25"/>
      <c r="AE5" s="25">
        <v>11</v>
      </c>
      <c r="AF5" s="25"/>
      <c r="AG5" s="25"/>
      <c r="AH5" s="25"/>
      <c r="AI5" s="25"/>
      <c r="AJ5" s="25">
        <v>363</v>
      </c>
    </row>
    <row r="6" spans="1:36" x14ac:dyDescent="0.25">
      <c r="E6" t="s">
        <v>10</v>
      </c>
      <c r="F6" s="25">
        <v>99</v>
      </c>
      <c r="G6" s="25">
        <v>66</v>
      </c>
      <c r="H6" s="25">
        <v>66</v>
      </c>
      <c r="I6" s="25">
        <v>66</v>
      </c>
      <c r="J6" s="25">
        <v>88</v>
      </c>
      <c r="K6" s="25"/>
      <c r="L6" s="25"/>
      <c r="M6" s="25">
        <v>44</v>
      </c>
      <c r="N6" s="25">
        <v>110</v>
      </c>
      <c r="O6" s="25">
        <v>77</v>
      </c>
      <c r="P6" s="25">
        <v>55</v>
      </c>
      <c r="Q6" s="25">
        <v>11</v>
      </c>
      <c r="R6" s="25">
        <v>55</v>
      </c>
      <c r="S6" s="25">
        <v>66</v>
      </c>
      <c r="T6" s="25">
        <v>110</v>
      </c>
      <c r="U6" s="25">
        <v>99</v>
      </c>
      <c r="V6" s="25">
        <v>110</v>
      </c>
      <c r="W6" s="25">
        <v>99</v>
      </c>
      <c r="X6" s="25">
        <v>110</v>
      </c>
      <c r="Y6" s="25">
        <v>88</v>
      </c>
      <c r="Z6" s="25">
        <v>88</v>
      </c>
      <c r="AA6" s="25">
        <v>55</v>
      </c>
      <c r="AB6" s="25">
        <v>44</v>
      </c>
      <c r="AC6" s="25">
        <v>66</v>
      </c>
      <c r="AD6" s="25">
        <v>99</v>
      </c>
      <c r="AE6" s="25">
        <v>77</v>
      </c>
      <c r="AF6" s="25">
        <v>66</v>
      </c>
      <c r="AG6" s="25">
        <v>77</v>
      </c>
      <c r="AH6" s="25">
        <v>88</v>
      </c>
      <c r="AI6" s="25">
        <v>99</v>
      </c>
      <c r="AJ6" s="25">
        <v>2178</v>
      </c>
    </row>
    <row r="7" spans="1:36" x14ac:dyDescent="0.25">
      <c r="E7" t="s">
        <v>23</v>
      </c>
      <c r="F7" s="25"/>
      <c r="G7" s="25"/>
      <c r="H7" s="25"/>
      <c r="I7" s="25">
        <v>11</v>
      </c>
      <c r="J7" s="25">
        <v>11</v>
      </c>
      <c r="K7" s="25"/>
      <c r="L7" s="25"/>
      <c r="M7" s="25">
        <v>22</v>
      </c>
      <c r="N7" s="25"/>
      <c r="O7" s="25">
        <v>11</v>
      </c>
      <c r="P7" s="25"/>
      <c r="Q7" s="25"/>
      <c r="R7" s="25"/>
      <c r="S7" s="25"/>
      <c r="T7" s="25"/>
      <c r="U7" s="25"/>
      <c r="V7" s="25"/>
      <c r="W7" s="25"/>
      <c r="X7" s="25">
        <v>11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>
        <v>66</v>
      </c>
    </row>
    <row r="8" spans="1:36" x14ac:dyDescent="0.25">
      <c r="E8" t="s">
        <v>44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>
        <v>1</v>
      </c>
      <c r="Q8" s="25">
        <v>1</v>
      </c>
      <c r="R8" s="25">
        <v>1</v>
      </c>
      <c r="S8" s="25">
        <v>1</v>
      </c>
      <c r="T8" s="25">
        <v>1</v>
      </c>
      <c r="U8" s="25">
        <v>1</v>
      </c>
      <c r="V8" s="25">
        <v>1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25">
        <v>1</v>
      </c>
      <c r="AI8" s="25">
        <v>1</v>
      </c>
      <c r="AJ8" s="25">
        <v>30</v>
      </c>
    </row>
    <row r="9" spans="1:36" x14ac:dyDescent="0.25">
      <c r="C9" t="s">
        <v>40</v>
      </c>
      <c r="D9" t="s">
        <v>20</v>
      </c>
      <c r="E9" t="s">
        <v>10</v>
      </c>
      <c r="F9" s="25"/>
      <c r="G9" s="25"/>
      <c r="H9" s="25"/>
      <c r="I9" s="25"/>
      <c r="J9" s="25"/>
      <c r="K9" s="25"/>
      <c r="L9" s="25"/>
      <c r="M9" s="25">
        <v>11</v>
      </c>
      <c r="N9" s="25">
        <v>11</v>
      </c>
      <c r="O9" s="25">
        <v>22</v>
      </c>
      <c r="P9" s="25">
        <v>11</v>
      </c>
      <c r="Q9" s="25">
        <v>11</v>
      </c>
      <c r="R9" s="25">
        <v>11</v>
      </c>
      <c r="S9" s="25">
        <v>11</v>
      </c>
      <c r="T9" s="25">
        <v>11</v>
      </c>
      <c r="U9" s="25">
        <v>11</v>
      </c>
      <c r="V9" s="25">
        <v>11</v>
      </c>
      <c r="W9" s="25">
        <v>11</v>
      </c>
      <c r="X9" s="25">
        <v>11</v>
      </c>
      <c r="Y9" s="25">
        <v>11</v>
      </c>
      <c r="Z9" s="25">
        <v>11</v>
      </c>
      <c r="AA9" s="25">
        <v>11</v>
      </c>
      <c r="AB9" s="25">
        <v>11</v>
      </c>
      <c r="AC9" s="25">
        <v>11</v>
      </c>
      <c r="AD9" s="25">
        <v>11</v>
      </c>
      <c r="AE9" s="25">
        <v>11</v>
      </c>
      <c r="AF9" s="25">
        <v>11</v>
      </c>
      <c r="AG9" s="25">
        <v>11</v>
      </c>
      <c r="AH9" s="25">
        <v>11</v>
      </c>
      <c r="AI9" s="25">
        <v>11</v>
      </c>
      <c r="AJ9" s="25">
        <v>264</v>
      </c>
    </row>
    <row r="10" spans="1:36" x14ac:dyDescent="0.25">
      <c r="E10" t="s">
        <v>23</v>
      </c>
      <c r="F10" s="25">
        <v>11</v>
      </c>
      <c r="G10" s="25">
        <v>11</v>
      </c>
      <c r="H10" s="25">
        <v>11</v>
      </c>
      <c r="I10" s="25">
        <v>11</v>
      </c>
      <c r="J10" s="25">
        <v>11</v>
      </c>
      <c r="K10" s="25">
        <v>11</v>
      </c>
      <c r="L10" s="25">
        <v>11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>
        <v>77</v>
      </c>
    </row>
    <row r="11" spans="1:36" x14ac:dyDescent="0.25">
      <c r="C11" t="s">
        <v>13</v>
      </c>
      <c r="D11" t="s">
        <v>20</v>
      </c>
      <c r="E11" t="s">
        <v>24</v>
      </c>
      <c r="F11" s="25"/>
      <c r="G11" s="25">
        <v>8</v>
      </c>
      <c r="H11" s="25">
        <v>8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>
        <v>8</v>
      </c>
      <c r="AJ11" s="25">
        <v>24</v>
      </c>
    </row>
    <row r="12" spans="1:36" x14ac:dyDescent="0.25">
      <c r="E12" t="s">
        <v>30</v>
      </c>
      <c r="F12" s="25"/>
      <c r="G12" s="25"/>
      <c r="H12" s="25"/>
      <c r="I12" s="25"/>
      <c r="J12" s="25"/>
      <c r="K12" s="25">
        <v>1</v>
      </c>
      <c r="L12" s="25">
        <v>1</v>
      </c>
      <c r="M12" s="25"/>
      <c r="N12" s="25"/>
      <c r="O12" s="25"/>
      <c r="P12" s="25"/>
      <c r="Q12" s="25"/>
      <c r="R12" s="25">
        <v>1</v>
      </c>
      <c r="S12" s="25">
        <v>1</v>
      </c>
      <c r="T12" s="25"/>
      <c r="U12" s="25"/>
      <c r="V12" s="25"/>
      <c r="W12" s="25"/>
      <c r="X12" s="25"/>
      <c r="Y12" s="25">
        <v>1</v>
      </c>
      <c r="Z12" s="25">
        <v>1</v>
      </c>
      <c r="AA12" s="25"/>
      <c r="AB12" s="25"/>
      <c r="AC12" s="25"/>
      <c r="AD12" s="25"/>
      <c r="AE12" s="25"/>
      <c r="AF12" s="25">
        <v>1</v>
      </c>
      <c r="AG12" s="25">
        <v>1</v>
      </c>
      <c r="AH12" s="25"/>
      <c r="AI12" s="25"/>
      <c r="AJ12" s="25">
        <v>8</v>
      </c>
    </row>
    <row r="13" spans="1:36" x14ac:dyDescent="0.25">
      <c r="E13" t="s">
        <v>29</v>
      </c>
      <c r="F13" s="25">
        <v>8</v>
      </c>
      <c r="G13" s="25">
        <v>8</v>
      </c>
      <c r="H13" s="25">
        <v>8</v>
      </c>
      <c r="I13" s="25">
        <v>8</v>
      </c>
      <c r="J13" s="25">
        <v>8</v>
      </c>
      <c r="K13" s="25"/>
      <c r="L13" s="25"/>
      <c r="M13" s="25">
        <v>8</v>
      </c>
      <c r="N13" s="25">
        <v>8</v>
      </c>
      <c r="O13" s="25">
        <v>8</v>
      </c>
      <c r="P13" s="25">
        <v>8</v>
      </c>
      <c r="Q13" s="25">
        <v>8</v>
      </c>
      <c r="R13" s="25"/>
      <c r="S13" s="25"/>
      <c r="T13" s="25">
        <v>8</v>
      </c>
      <c r="U13" s="25">
        <v>8</v>
      </c>
      <c r="V13" s="25">
        <v>8</v>
      </c>
      <c r="W13" s="25">
        <v>8</v>
      </c>
      <c r="X13" s="25">
        <v>8</v>
      </c>
      <c r="Y13" s="25"/>
      <c r="Z13" s="25"/>
      <c r="AA13" s="25">
        <v>8</v>
      </c>
      <c r="AB13" s="25">
        <v>8</v>
      </c>
      <c r="AC13" s="25">
        <v>8</v>
      </c>
      <c r="AD13" s="25">
        <v>8</v>
      </c>
      <c r="AE13" s="25">
        <v>8</v>
      </c>
      <c r="AF13" s="25"/>
      <c r="AG13" s="25"/>
      <c r="AH13" s="25">
        <v>8</v>
      </c>
      <c r="AI13" s="25"/>
      <c r="AJ13" s="25">
        <v>168</v>
      </c>
    </row>
    <row r="14" spans="1:36" x14ac:dyDescent="0.25">
      <c r="E14" t="s">
        <v>10</v>
      </c>
      <c r="F14" s="25">
        <v>22</v>
      </c>
      <c r="G14" s="25">
        <v>11</v>
      </c>
      <c r="H14" s="25">
        <v>11</v>
      </c>
      <c r="I14" s="25">
        <v>27</v>
      </c>
      <c r="J14" s="25">
        <v>22</v>
      </c>
      <c r="K14" s="25">
        <v>22</v>
      </c>
      <c r="L14" s="25">
        <v>22</v>
      </c>
      <c r="M14" s="25">
        <v>22</v>
      </c>
      <c r="N14" s="25">
        <v>22</v>
      </c>
      <c r="O14" s="25">
        <v>22</v>
      </c>
      <c r="P14" s="25">
        <v>33</v>
      </c>
      <c r="Q14" s="25">
        <v>33</v>
      </c>
      <c r="R14" s="25">
        <v>22</v>
      </c>
      <c r="S14" s="25">
        <v>33</v>
      </c>
      <c r="T14" s="25">
        <v>33</v>
      </c>
      <c r="U14" s="25">
        <v>33</v>
      </c>
      <c r="V14" s="25">
        <v>33</v>
      </c>
      <c r="W14" s="25">
        <v>33</v>
      </c>
      <c r="X14" s="25">
        <v>33</v>
      </c>
      <c r="Y14" s="25">
        <v>16</v>
      </c>
      <c r="Z14" s="25">
        <v>33</v>
      </c>
      <c r="AA14" s="25">
        <v>28</v>
      </c>
      <c r="AB14" s="25">
        <v>28</v>
      </c>
      <c r="AC14" s="25">
        <v>22</v>
      </c>
      <c r="AD14" s="25">
        <v>17</v>
      </c>
      <c r="AE14" s="25">
        <v>6</v>
      </c>
      <c r="AF14" s="25">
        <v>6</v>
      </c>
      <c r="AG14" s="25">
        <v>6</v>
      </c>
      <c r="AH14" s="25">
        <v>6</v>
      </c>
      <c r="AI14" s="25">
        <v>27</v>
      </c>
      <c r="AJ14" s="25">
        <v>684</v>
      </c>
    </row>
    <row r="15" spans="1:36" x14ac:dyDescent="0.25">
      <c r="E15" t="s">
        <v>23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>
        <v>11</v>
      </c>
      <c r="AF15" s="25">
        <v>11</v>
      </c>
      <c r="AG15" s="25">
        <v>11</v>
      </c>
      <c r="AH15" s="25"/>
      <c r="AI15" s="25"/>
      <c r="AJ15" s="25">
        <v>33</v>
      </c>
    </row>
    <row r="16" spans="1:36" x14ac:dyDescent="0.25">
      <c r="E16" t="s">
        <v>20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3:36" x14ac:dyDescent="0.25">
      <c r="E17" t="s">
        <v>70</v>
      </c>
      <c r="F17" s="25"/>
      <c r="G17" s="25"/>
      <c r="H17" s="25"/>
      <c r="I17" s="25">
        <v>17</v>
      </c>
      <c r="J17" s="25">
        <v>22</v>
      </c>
      <c r="K17" s="25">
        <v>22</v>
      </c>
      <c r="L17" s="25">
        <v>22</v>
      </c>
      <c r="M17" s="25">
        <v>22</v>
      </c>
      <c r="N17" s="25">
        <v>11</v>
      </c>
      <c r="O17" s="25">
        <v>22</v>
      </c>
      <c r="P17" s="25">
        <v>11</v>
      </c>
      <c r="Q17" s="25">
        <v>11</v>
      </c>
      <c r="R17" s="25">
        <v>22</v>
      </c>
      <c r="S17" s="25">
        <v>11</v>
      </c>
      <c r="T17" s="25">
        <v>11</v>
      </c>
      <c r="U17" s="25">
        <v>11</v>
      </c>
      <c r="V17" s="25">
        <v>11</v>
      </c>
      <c r="W17" s="25">
        <v>11</v>
      </c>
      <c r="X17" s="25"/>
      <c r="Y17" s="25">
        <v>17</v>
      </c>
      <c r="Z17" s="25"/>
      <c r="AA17" s="25">
        <v>5</v>
      </c>
      <c r="AB17" s="25">
        <v>5</v>
      </c>
      <c r="AC17" s="25">
        <v>11</v>
      </c>
      <c r="AD17" s="25">
        <v>16</v>
      </c>
      <c r="AE17" s="25">
        <v>5</v>
      </c>
      <c r="AF17" s="25">
        <v>5</v>
      </c>
      <c r="AG17" s="25">
        <v>5</v>
      </c>
      <c r="AH17" s="25">
        <v>16</v>
      </c>
      <c r="AI17" s="25">
        <v>17</v>
      </c>
      <c r="AJ17" s="25">
        <v>339</v>
      </c>
    </row>
    <row r="18" spans="3:36" x14ac:dyDescent="0.25">
      <c r="C18" t="s">
        <v>20</v>
      </c>
      <c r="D18" t="s">
        <v>20</v>
      </c>
      <c r="E18" t="s">
        <v>44</v>
      </c>
      <c r="F18" s="25">
        <v>2</v>
      </c>
      <c r="G18" s="25">
        <v>2</v>
      </c>
      <c r="H18" s="25">
        <v>2</v>
      </c>
      <c r="I18" s="25">
        <v>2</v>
      </c>
      <c r="J18" s="25">
        <v>2</v>
      </c>
      <c r="K18" s="25">
        <v>2</v>
      </c>
      <c r="L18" s="25">
        <v>2</v>
      </c>
      <c r="M18" s="25">
        <v>2</v>
      </c>
      <c r="N18" s="25">
        <v>2</v>
      </c>
      <c r="O18" s="25">
        <v>2</v>
      </c>
      <c r="P18" s="25">
        <v>2</v>
      </c>
      <c r="Q18" s="25">
        <v>2</v>
      </c>
      <c r="R18" s="25">
        <v>2</v>
      </c>
      <c r="S18" s="25">
        <v>2</v>
      </c>
      <c r="T18" s="25">
        <v>2</v>
      </c>
      <c r="U18" s="25">
        <v>2</v>
      </c>
      <c r="V18" s="25">
        <v>2</v>
      </c>
      <c r="W18" s="25">
        <v>2</v>
      </c>
      <c r="X18" s="25">
        <v>2</v>
      </c>
      <c r="Y18" s="25">
        <v>2</v>
      </c>
      <c r="Z18" s="25">
        <v>2</v>
      </c>
      <c r="AA18" s="25">
        <v>2</v>
      </c>
      <c r="AB18" s="25">
        <v>2</v>
      </c>
      <c r="AC18" s="25">
        <v>2</v>
      </c>
      <c r="AD18" s="25">
        <v>2</v>
      </c>
      <c r="AE18" s="25">
        <v>2</v>
      </c>
      <c r="AF18" s="25">
        <v>2</v>
      </c>
      <c r="AG18" s="25">
        <v>2</v>
      </c>
      <c r="AH18" s="25">
        <v>2</v>
      </c>
      <c r="AI18" s="25">
        <v>2</v>
      </c>
      <c r="AJ18" s="25">
        <v>60</v>
      </c>
    </row>
    <row r="19" spans="3:36" x14ac:dyDescent="0.25">
      <c r="C19" t="s">
        <v>65</v>
      </c>
      <c r="D19" t="s">
        <v>20</v>
      </c>
      <c r="E19" t="s">
        <v>24</v>
      </c>
      <c r="F19" s="25"/>
      <c r="G19" s="25"/>
      <c r="H19" s="25">
        <v>8</v>
      </c>
      <c r="I19" s="25"/>
      <c r="J19" s="25"/>
      <c r="K19" s="25"/>
      <c r="L19" s="25">
        <v>8</v>
      </c>
      <c r="M19" s="25">
        <v>8</v>
      </c>
      <c r="N19" s="25">
        <v>8</v>
      </c>
      <c r="O19" s="25">
        <v>8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>
        <v>40</v>
      </c>
    </row>
    <row r="20" spans="3:36" x14ac:dyDescent="0.25">
      <c r="E20" t="s">
        <v>10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>
        <v>11</v>
      </c>
      <c r="R20" s="25">
        <v>11</v>
      </c>
      <c r="S20" s="25">
        <v>11</v>
      </c>
      <c r="T20" s="25">
        <v>11</v>
      </c>
      <c r="U20" s="25">
        <v>11</v>
      </c>
      <c r="V20" s="25">
        <v>11</v>
      </c>
      <c r="W20" s="25">
        <v>22</v>
      </c>
      <c r="X20" s="25">
        <v>11</v>
      </c>
      <c r="Y20" s="25">
        <v>11</v>
      </c>
      <c r="Z20" s="25">
        <v>11</v>
      </c>
      <c r="AA20" s="25">
        <v>11</v>
      </c>
      <c r="AB20" s="25">
        <v>11</v>
      </c>
      <c r="AC20" s="25">
        <v>22</v>
      </c>
      <c r="AD20" s="25">
        <v>22</v>
      </c>
      <c r="AE20" s="25">
        <v>11</v>
      </c>
      <c r="AF20" s="25">
        <v>11</v>
      </c>
      <c r="AG20" s="25">
        <v>11</v>
      </c>
      <c r="AH20" s="25">
        <v>22</v>
      </c>
      <c r="AI20" s="25">
        <v>11</v>
      </c>
      <c r="AJ20" s="25">
        <v>253</v>
      </c>
    </row>
    <row r="21" spans="3:36" x14ac:dyDescent="0.25">
      <c r="E21" t="s">
        <v>23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>
        <v>11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>
        <v>11</v>
      </c>
    </row>
    <row r="22" spans="3:36" x14ac:dyDescent="0.25">
      <c r="E22" t="s">
        <v>52</v>
      </c>
      <c r="F22" s="25">
        <v>1</v>
      </c>
      <c r="G22" s="25">
        <v>1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>
        <v>2</v>
      </c>
    </row>
    <row r="23" spans="3:36" x14ac:dyDescent="0.25">
      <c r="E23" t="s">
        <v>50</v>
      </c>
      <c r="F23" s="25"/>
      <c r="G23" s="25"/>
      <c r="H23" s="25"/>
      <c r="I23" s="25">
        <v>11</v>
      </c>
      <c r="J23" s="25">
        <v>11</v>
      </c>
      <c r="K23" s="25">
        <v>11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>
        <v>33</v>
      </c>
    </row>
    <row r="24" spans="3:36" x14ac:dyDescent="0.25">
      <c r="C24" t="s">
        <v>66</v>
      </c>
      <c r="D24" t="s">
        <v>20</v>
      </c>
      <c r="E24" t="s">
        <v>38</v>
      </c>
      <c r="F24" s="25"/>
      <c r="G24" s="25"/>
      <c r="H24" s="25">
        <v>33</v>
      </c>
      <c r="I24" s="25"/>
      <c r="J24" s="25">
        <v>22</v>
      </c>
      <c r="K24" s="25">
        <v>33</v>
      </c>
      <c r="L24" s="25">
        <v>22</v>
      </c>
      <c r="M24" s="25"/>
      <c r="N24" s="25"/>
      <c r="O24" s="25"/>
      <c r="P24" s="25"/>
      <c r="Q24" s="25">
        <v>22</v>
      </c>
      <c r="R24" s="25">
        <v>22</v>
      </c>
      <c r="S24" s="25"/>
      <c r="T24" s="25"/>
      <c r="U24" s="25"/>
      <c r="V24" s="25"/>
      <c r="W24" s="25"/>
      <c r="X24" s="25"/>
      <c r="Y24" s="25">
        <v>11</v>
      </c>
      <c r="Z24" s="25"/>
      <c r="AA24" s="25"/>
      <c r="AB24" s="25"/>
      <c r="AC24" s="25"/>
      <c r="AD24" s="25"/>
      <c r="AE24" s="25"/>
      <c r="AF24" s="25"/>
      <c r="AG24" s="25">
        <v>11</v>
      </c>
      <c r="AH24" s="25">
        <v>11</v>
      </c>
      <c r="AI24" s="25"/>
      <c r="AJ24" s="25">
        <v>187</v>
      </c>
    </row>
    <row r="25" spans="3:36" x14ac:dyDescent="0.25">
      <c r="E25" t="s">
        <v>24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>
        <v>8</v>
      </c>
      <c r="Q25" s="25">
        <v>8</v>
      </c>
      <c r="R25" s="25"/>
      <c r="S25" s="25"/>
      <c r="T25" s="25">
        <v>8</v>
      </c>
      <c r="U25" s="25">
        <v>16</v>
      </c>
      <c r="V25" s="25"/>
      <c r="W25" s="25"/>
      <c r="X25" s="25"/>
      <c r="Y25" s="25">
        <v>16</v>
      </c>
      <c r="Z25" s="25">
        <v>16</v>
      </c>
      <c r="AA25" s="25">
        <v>8</v>
      </c>
      <c r="AB25" s="25">
        <v>16</v>
      </c>
      <c r="AC25" s="25">
        <v>8</v>
      </c>
      <c r="AD25" s="25"/>
      <c r="AE25" s="25"/>
      <c r="AF25" s="25"/>
      <c r="AG25" s="25">
        <v>8</v>
      </c>
      <c r="AH25" s="25">
        <v>16</v>
      </c>
      <c r="AI25" s="25">
        <v>8</v>
      </c>
      <c r="AJ25" s="25">
        <v>136</v>
      </c>
    </row>
    <row r="26" spans="3:36" x14ac:dyDescent="0.25">
      <c r="E26" t="s">
        <v>30</v>
      </c>
      <c r="F26" s="25"/>
      <c r="G26" s="25"/>
      <c r="H26" s="25"/>
      <c r="I26" s="25"/>
      <c r="J26" s="25"/>
      <c r="K26" s="25">
        <v>1</v>
      </c>
      <c r="L26" s="25">
        <v>1</v>
      </c>
      <c r="M26" s="25"/>
      <c r="N26" s="25"/>
      <c r="O26" s="25"/>
      <c r="P26" s="25"/>
      <c r="Q26" s="25"/>
      <c r="R26" s="25">
        <v>2</v>
      </c>
      <c r="S26" s="25">
        <v>2</v>
      </c>
      <c r="T26" s="25"/>
      <c r="U26" s="25"/>
      <c r="V26" s="25"/>
      <c r="W26" s="25"/>
      <c r="X26" s="25">
        <v>1</v>
      </c>
      <c r="Y26" s="25">
        <v>4</v>
      </c>
      <c r="Z26" s="25">
        <v>5</v>
      </c>
      <c r="AA26" s="25">
        <v>2</v>
      </c>
      <c r="AB26" s="25">
        <v>1</v>
      </c>
      <c r="AC26" s="25">
        <v>1</v>
      </c>
      <c r="AD26" s="25"/>
      <c r="AE26" s="25"/>
      <c r="AF26" s="25">
        <v>5</v>
      </c>
      <c r="AG26" s="25">
        <v>4</v>
      </c>
      <c r="AH26" s="25"/>
      <c r="AI26" s="25"/>
      <c r="AJ26" s="25">
        <v>29</v>
      </c>
    </row>
    <row r="27" spans="3:36" x14ac:dyDescent="0.25">
      <c r="E27" t="s">
        <v>29</v>
      </c>
      <c r="F27" s="25">
        <v>8</v>
      </c>
      <c r="G27" s="25">
        <v>8</v>
      </c>
      <c r="H27" s="25">
        <v>8</v>
      </c>
      <c r="I27" s="25">
        <v>8</v>
      </c>
      <c r="J27" s="25">
        <v>8</v>
      </c>
      <c r="K27" s="25"/>
      <c r="L27" s="25"/>
      <c r="M27" s="25">
        <v>8</v>
      </c>
      <c r="N27" s="25">
        <v>8</v>
      </c>
      <c r="O27" s="25">
        <v>8</v>
      </c>
      <c r="P27" s="25">
        <v>8</v>
      </c>
      <c r="Q27" s="25">
        <v>8</v>
      </c>
      <c r="R27" s="25"/>
      <c r="S27" s="25"/>
      <c r="T27" s="25">
        <v>16</v>
      </c>
      <c r="U27" s="25">
        <v>16</v>
      </c>
      <c r="V27" s="25">
        <v>24</v>
      </c>
      <c r="W27" s="25">
        <v>24</v>
      </c>
      <c r="X27" s="25">
        <v>24</v>
      </c>
      <c r="Y27" s="25"/>
      <c r="Z27" s="25"/>
      <c r="AA27" s="25">
        <v>32</v>
      </c>
      <c r="AB27" s="25">
        <v>32</v>
      </c>
      <c r="AC27" s="25">
        <v>24</v>
      </c>
      <c r="AD27" s="25">
        <v>32</v>
      </c>
      <c r="AE27" s="25">
        <v>32</v>
      </c>
      <c r="AF27" s="25"/>
      <c r="AG27" s="25"/>
      <c r="AH27" s="25">
        <v>32</v>
      </c>
      <c r="AI27" s="25">
        <v>40</v>
      </c>
      <c r="AJ27" s="25">
        <v>408</v>
      </c>
    </row>
    <row r="28" spans="3:36" x14ac:dyDescent="0.25">
      <c r="E28" t="s">
        <v>10</v>
      </c>
      <c r="F28" s="25">
        <v>209</v>
      </c>
      <c r="G28" s="25">
        <v>286</v>
      </c>
      <c r="H28" s="25">
        <v>220</v>
      </c>
      <c r="I28" s="25">
        <v>231</v>
      </c>
      <c r="J28" s="25">
        <v>231</v>
      </c>
      <c r="K28" s="25">
        <v>187</v>
      </c>
      <c r="L28" s="25">
        <v>242</v>
      </c>
      <c r="M28" s="25">
        <v>242</v>
      </c>
      <c r="N28" s="25">
        <v>231</v>
      </c>
      <c r="O28" s="25">
        <v>242</v>
      </c>
      <c r="P28" s="25">
        <v>264</v>
      </c>
      <c r="Q28" s="25">
        <v>231</v>
      </c>
      <c r="R28" s="25">
        <v>220</v>
      </c>
      <c r="S28" s="25">
        <v>264</v>
      </c>
      <c r="T28" s="25">
        <v>209</v>
      </c>
      <c r="U28" s="25">
        <v>209</v>
      </c>
      <c r="V28" s="25">
        <v>209</v>
      </c>
      <c r="W28" s="25">
        <v>220</v>
      </c>
      <c r="X28" s="25">
        <v>220</v>
      </c>
      <c r="Y28" s="25">
        <v>220</v>
      </c>
      <c r="Z28" s="25">
        <v>165</v>
      </c>
      <c r="AA28" s="25">
        <v>198</v>
      </c>
      <c r="AB28" s="25">
        <v>165</v>
      </c>
      <c r="AC28" s="25">
        <v>187</v>
      </c>
      <c r="AD28" s="25">
        <v>198</v>
      </c>
      <c r="AE28" s="25">
        <v>220</v>
      </c>
      <c r="AF28" s="25">
        <v>176</v>
      </c>
      <c r="AG28" s="25">
        <v>143</v>
      </c>
      <c r="AH28" s="25">
        <v>165</v>
      </c>
      <c r="AI28" s="25">
        <v>165</v>
      </c>
      <c r="AJ28" s="25">
        <v>6369</v>
      </c>
    </row>
    <row r="29" spans="3:36" x14ac:dyDescent="0.25">
      <c r="E29" t="s">
        <v>23</v>
      </c>
      <c r="F29" s="25"/>
      <c r="G29" s="25"/>
      <c r="H29" s="25"/>
      <c r="I29" s="25"/>
      <c r="J29" s="25"/>
      <c r="K29" s="25"/>
      <c r="L29" s="25">
        <v>11</v>
      </c>
      <c r="M29" s="25">
        <v>11</v>
      </c>
      <c r="N29" s="25">
        <v>11</v>
      </c>
      <c r="O29" s="25"/>
      <c r="P29" s="25"/>
      <c r="Q29" s="25"/>
      <c r="R29" s="25"/>
      <c r="S29" s="25"/>
      <c r="T29" s="25">
        <v>22</v>
      </c>
      <c r="U29" s="25">
        <v>22</v>
      </c>
      <c r="V29" s="25">
        <v>11</v>
      </c>
      <c r="W29" s="25">
        <v>22</v>
      </c>
      <c r="X29" s="25">
        <v>22</v>
      </c>
      <c r="Y29" s="25">
        <v>11</v>
      </c>
      <c r="Z29" s="25">
        <v>22</v>
      </c>
      <c r="AA29" s="25"/>
      <c r="AB29" s="25"/>
      <c r="AC29" s="25">
        <v>11</v>
      </c>
      <c r="AD29" s="25">
        <v>11</v>
      </c>
      <c r="AE29" s="25">
        <v>11</v>
      </c>
      <c r="AF29" s="25"/>
      <c r="AG29" s="25"/>
      <c r="AH29" s="25"/>
      <c r="AI29" s="25"/>
      <c r="AJ29" s="25">
        <v>198</v>
      </c>
    </row>
    <row r="30" spans="3:36" x14ac:dyDescent="0.25">
      <c r="E30" t="s">
        <v>70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>
        <v>11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>
        <v>11</v>
      </c>
    </row>
    <row r="31" spans="3:36" x14ac:dyDescent="0.25">
      <c r="E31" t="s">
        <v>44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25">
        <v>1</v>
      </c>
      <c r="AI31" s="25">
        <v>1</v>
      </c>
      <c r="AJ31" s="25">
        <v>7</v>
      </c>
    </row>
    <row r="32" spans="3:36" x14ac:dyDescent="0.25">
      <c r="E32" t="s">
        <v>50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>
        <v>11</v>
      </c>
      <c r="W32" s="25">
        <v>11</v>
      </c>
      <c r="X32" s="25">
        <v>11</v>
      </c>
      <c r="Y32" s="25"/>
      <c r="Z32" s="25"/>
      <c r="AA32" s="25"/>
      <c r="AB32" s="25"/>
      <c r="AC32" s="25">
        <v>11</v>
      </c>
      <c r="AD32" s="25"/>
      <c r="AE32" s="25"/>
      <c r="AF32" s="25"/>
      <c r="AG32" s="25"/>
      <c r="AH32" s="25"/>
      <c r="AI32" s="25"/>
      <c r="AJ32" s="25">
        <v>44</v>
      </c>
    </row>
    <row r="33" spans="3:36" x14ac:dyDescent="0.25">
      <c r="C33" t="s">
        <v>68</v>
      </c>
      <c r="D33" t="s">
        <v>20</v>
      </c>
      <c r="E33" t="s">
        <v>38</v>
      </c>
      <c r="F33" s="25"/>
      <c r="G33" s="25"/>
      <c r="H33" s="25"/>
      <c r="I33" s="25"/>
      <c r="J33" s="25">
        <v>22</v>
      </c>
      <c r="K33" s="25">
        <v>33</v>
      </c>
      <c r="L33" s="25"/>
      <c r="M33" s="25"/>
      <c r="N33" s="25"/>
      <c r="O33" s="25">
        <v>11</v>
      </c>
      <c r="P33" s="25"/>
      <c r="Q33" s="25">
        <v>11</v>
      </c>
      <c r="R33" s="25">
        <v>11</v>
      </c>
      <c r="S33" s="25"/>
      <c r="T33" s="25"/>
      <c r="U33" s="25"/>
      <c r="V33" s="25"/>
      <c r="W33" s="25"/>
      <c r="X33" s="25"/>
      <c r="Y33" s="25"/>
      <c r="Z33" s="25"/>
      <c r="AA33" s="25">
        <v>11</v>
      </c>
      <c r="AB33" s="25"/>
      <c r="AC33" s="25"/>
      <c r="AD33" s="25"/>
      <c r="AE33" s="25"/>
      <c r="AF33" s="25"/>
      <c r="AG33" s="25"/>
      <c r="AH33" s="25"/>
      <c r="AI33" s="25"/>
      <c r="AJ33" s="25">
        <v>99</v>
      </c>
    </row>
    <row r="34" spans="3:36" x14ac:dyDescent="0.25">
      <c r="E34" t="s">
        <v>24</v>
      </c>
      <c r="F34" s="25"/>
      <c r="G34" s="25"/>
      <c r="H34" s="25"/>
      <c r="I34" s="25"/>
      <c r="J34" s="25"/>
      <c r="K34" s="25"/>
      <c r="L34" s="25">
        <v>8</v>
      </c>
      <c r="M34" s="25">
        <v>8</v>
      </c>
      <c r="N34" s="25">
        <v>8</v>
      </c>
      <c r="O34" s="25">
        <v>8</v>
      </c>
      <c r="P34" s="25"/>
      <c r="Q34" s="25"/>
      <c r="R34" s="25"/>
      <c r="S34" s="25"/>
      <c r="T34" s="25"/>
      <c r="U34" s="25"/>
      <c r="V34" s="25"/>
      <c r="W34" s="25"/>
      <c r="X34" s="25">
        <v>8</v>
      </c>
      <c r="Y34" s="25">
        <v>8</v>
      </c>
      <c r="Z34" s="25">
        <v>8</v>
      </c>
      <c r="AA34" s="25">
        <v>16</v>
      </c>
      <c r="AB34" s="25">
        <v>8</v>
      </c>
      <c r="AC34" s="25">
        <v>8</v>
      </c>
      <c r="AD34" s="25">
        <v>16</v>
      </c>
      <c r="AE34" s="25">
        <v>8</v>
      </c>
      <c r="AF34" s="25">
        <v>8</v>
      </c>
      <c r="AG34" s="25">
        <v>8</v>
      </c>
      <c r="AH34" s="25">
        <v>8</v>
      </c>
      <c r="AI34" s="25">
        <v>8</v>
      </c>
      <c r="AJ34" s="25">
        <v>144</v>
      </c>
    </row>
    <row r="35" spans="3:36" x14ac:dyDescent="0.25">
      <c r="E35" t="s">
        <v>30</v>
      </c>
      <c r="F35" s="25"/>
      <c r="G35" s="25">
        <v>1</v>
      </c>
      <c r="H35" s="25">
        <v>1</v>
      </c>
      <c r="I35" s="25">
        <v>1</v>
      </c>
      <c r="J35" s="25">
        <v>1</v>
      </c>
      <c r="K35" s="25">
        <v>4</v>
      </c>
      <c r="L35" s="25">
        <v>3</v>
      </c>
      <c r="M35" s="25">
        <v>1</v>
      </c>
      <c r="N35" s="25"/>
      <c r="O35" s="25">
        <v>1</v>
      </c>
      <c r="P35" s="25">
        <v>1</v>
      </c>
      <c r="Q35" s="25">
        <v>1</v>
      </c>
      <c r="R35" s="25">
        <v>3</v>
      </c>
      <c r="S35" s="25">
        <v>3</v>
      </c>
      <c r="T35" s="25">
        <v>1</v>
      </c>
      <c r="U35" s="25">
        <v>1</v>
      </c>
      <c r="V35" s="25">
        <v>1</v>
      </c>
      <c r="W35" s="25">
        <v>1</v>
      </c>
      <c r="X35" s="25">
        <v>1</v>
      </c>
      <c r="Y35" s="25">
        <v>3</v>
      </c>
      <c r="Z35" s="25">
        <v>3</v>
      </c>
      <c r="AA35" s="25"/>
      <c r="AB35" s="25"/>
      <c r="AC35" s="25"/>
      <c r="AD35" s="25"/>
      <c r="AE35" s="25"/>
      <c r="AF35" s="25">
        <v>3</v>
      </c>
      <c r="AG35" s="25">
        <v>3</v>
      </c>
      <c r="AH35" s="25"/>
      <c r="AI35" s="25"/>
      <c r="AJ35" s="25">
        <v>38</v>
      </c>
    </row>
    <row r="36" spans="3:36" x14ac:dyDescent="0.25">
      <c r="E36" t="s">
        <v>29</v>
      </c>
      <c r="F36" s="25">
        <v>24</v>
      </c>
      <c r="G36" s="25">
        <v>24</v>
      </c>
      <c r="H36" s="25">
        <v>24</v>
      </c>
      <c r="I36" s="25">
        <v>24</v>
      </c>
      <c r="J36" s="25">
        <v>24</v>
      </c>
      <c r="K36" s="25"/>
      <c r="L36" s="25"/>
      <c r="M36" s="25">
        <v>16</v>
      </c>
      <c r="N36" s="25">
        <v>16</v>
      </c>
      <c r="O36" s="25">
        <v>16</v>
      </c>
      <c r="P36" s="25">
        <v>16</v>
      </c>
      <c r="Q36" s="25">
        <v>16</v>
      </c>
      <c r="R36" s="25"/>
      <c r="S36" s="25"/>
      <c r="T36" s="25">
        <v>16</v>
      </c>
      <c r="U36" s="25">
        <v>16</v>
      </c>
      <c r="V36" s="25">
        <v>16</v>
      </c>
      <c r="W36" s="25">
        <v>16</v>
      </c>
      <c r="X36" s="25">
        <v>16</v>
      </c>
      <c r="Y36" s="25"/>
      <c r="Z36" s="25"/>
      <c r="AA36" s="25">
        <v>16</v>
      </c>
      <c r="AB36" s="25">
        <v>24</v>
      </c>
      <c r="AC36" s="25">
        <v>24</v>
      </c>
      <c r="AD36" s="25">
        <v>16</v>
      </c>
      <c r="AE36" s="25">
        <v>24</v>
      </c>
      <c r="AF36" s="25"/>
      <c r="AG36" s="25"/>
      <c r="AH36" s="25">
        <v>24</v>
      </c>
      <c r="AI36" s="25">
        <v>24</v>
      </c>
      <c r="AJ36" s="25">
        <v>432</v>
      </c>
    </row>
    <row r="37" spans="3:36" x14ac:dyDescent="0.25">
      <c r="E37" t="s">
        <v>10</v>
      </c>
      <c r="F37" s="25">
        <v>88</v>
      </c>
      <c r="G37" s="25">
        <v>77</v>
      </c>
      <c r="H37" s="25">
        <v>79</v>
      </c>
      <c r="I37" s="25">
        <v>77</v>
      </c>
      <c r="J37" s="25">
        <v>66</v>
      </c>
      <c r="K37" s="25">
        <v>50</v>
      </c>
      <c r="L37" s="25">
        <v>77</v>
      </c>
      <c r="M37" s="25">
        <v>95</v>
      </c>
      <c r="N37" s="25">
        <v>87</v>
      </c>
      <c r="O37" s="25">
        <v>55</v>
      </c>
      <c r="P37" s="25">
        <v>66</v>
      </c>
      <c r="Q37" s="25">
        <v>73</v>
      </c>
      <c r="R37" s="25">
        <v>79</v>
      </c>
      <c r="S37" s="25">
        <v>69</v>
      </c>
      <c r="T37" s="25">
        <v>81</v>
      </c>
      <c r="U37" s="25">
        <v>77</v>
      </c>
      <c r="V37" s="25">
        <v>79</v>
      </c>
      <c r="W37" s="25">
        <v>77</v>
      </c>
      <c r="X37" s="25">
        <v>93</v>
      </c>
      <c r="Y37" s="25">
        <v>98</v>
      </c>
      <c r="Z37" s="25">
        <v>77</v>
      </c>
      <c r="AA37" s="25">
        <v>55</v>
      </c>
      <c r="AB37" s="25">
        <v>88</v>
      </c>
      <c r="AC37" s="25">
        <v>110</v>
      </c>
      <c r="AD37" s="25">
        <v>98</v>
      </c>
      <c r="AE37" s="25">
        <v>110</v>
      </c>
      <c r="AF37" s="25">
        <v>89</v>
      </c>
      <c r="AG37" s="25">
        <v>88</v>
      </c>
      <c r="AH37" s="25">
        <v>121</v>
      </c>
      <c r="AI37" s="25">
        <v>91</v>
      </c>
      <c r="AJ37" s="25">
        <v>2470</v>
      </c>
    </row>
    <row r="38" spans="3:36" x14ac:dyDescent="0.25">
      <c r="E38" t="s">
        <v>23</v>
      </c>
      <c r="F38" s="25"/>
      <c r="G38" s="25"/>
      <c r="H38" s="25"/>
      <c r="I38" s="25"/>
      <c r="J38" s="25"/>
      <c r="K38" s="25"/>
      <c r="L38" s="25"/>
      <c r="M38" s="25"/>
      <c r="N38" s="25">
        <v>11</v>
      </c>
      <c r="O38" s="25">
        <v>11</v>
      </c>
      <c r="P38" s="25">
        <v>11</v>
      </c>
      <c r="Q38" s="25">
        <v>11</v>
      </c>
      <c r="R38" s="25">
        <v>11</v>
      </c>
      <c r="S38" s="25">
        <v>11</v>
      </c>
      <c r="T38" s="25">
        <v>11</v>
      </c>
      <c r="U38" s="25">
        <v>11</v>
      </c>
      <c r="V38" s="25">
        <v>11</v>
      </c>
      <c r="W38" s="25">
        <v>11</v>
      </c>
      <c r="X38" s="25"/>
      <c r="Y38" s="25"/>
      <c r="Z38" s="25">
        <v>11</v>
      </c>
      <c r="AA38" s="25">
        <v>11</v>
      </c>
      <c r="AB38" s="25">
        <v>11</v>
      </c>
      <c r="AC38" s="25"/>
      <c r="AD38" s="25"/>
      <c r="AE38" s="25"/>
      <c r="AF38" s="25"/>
      <c r="AG38" s="25"/>
      <c r="AH38" s="25"/>
      <c r="AI38" s="25">
        <v>11</v>
      </c>
      <c r="AJ38" s="25">
        <v>154</v>
      </c>
    </row>
    <row r="39" spans="3:36" x14ac:dyDescent="0.25">
      <c r="E39" t="s">
        <v>70</v>
      </c>
      <c r="F39" s="25"/>
      <c r="G39" s="25"/>
      <c r="H39" s="25"/>
      <c r="I39" s="25"/>
      <c r="J39" s="25"/>
      <c r="K39" s="25"/>
      <c r="L39" s="25"/>
      <c r="M39" s="25"/>
      <c r="N39" s="25"/>
      <c r="O39" s="25">
        <v>11</v>
      </c>
      <c r="P39" s="25"/>
      <c r="Q39" s="25"/>
      <c r="R39" s="25"/>
      <c r="S39" s="25"/>
      <c r="T39" s="25"/>
      <c r="U39" s="25">
        <v>11</v>
      </c>
      <c r="V39" s="25">
        <v>11</v>
      </c>
      <c r="W39" s="25"/>
      <c r="X39" s="25"/>
      <c r="Y39" s="25"/>
      <c r="Z39" s="25"/>
      <c r="AA39" s="25">
        <v>22</v>
      </c>
      <c r="AB39" s="25"/>
      <c r="AC39" s="25"/>
      <c r="AD39" s="25">
        <v>1</v>
      </c>
      <c r="AE39" s="25"/>
      <c r="AF39" s="25">
        <v>10</v>
      </c>
      <c r="AG39" s="25">
        <v>11</v>
      </c>
      <c r="AH39" s="25"/>
      <c r="AI39" s="25"/>
      <c r="AJ39" s="25">
        <v>77</v>
      </c>
    </row>
    <row r="40" spans="3:36" x14ac:dyDescent="0.25">
      <c r="E40" t="s">
        <v>50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>
        <v>11</v>
      </c>
      <c r="Q40" s="25">
        <v>11</v>
      </c>
      <c r="R40" s="25"/>
      <c r="S40" s="25">
        <v>11</v>
      </c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>
        <v>33</v>
      </c>
    </row>
    <row r="41" spans="3:36" x14ac:dyDescent="0.25">
      <c r="C41" t="s">
        <v>72</v>
      </c>
      <c r="D41" t="s">
        <v>20</v>
      </c>
      <c r="E41" t="s">
        <v>38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>
        <v>11</v>
      </c>
      <c r="R41" s="25">
        <v>11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>
        <v>22</v>
      </c>
    </row>
    <row r="42" spans="3:36" x14ac:dyDescent="0.25">
      <c r="E42" t="s">
        <v>24</v>
      </c>
      <c r="F42" s="25"/>
      <c r="G42" s="25"/>
      <c r="H42" s="25"/>
      <c r="I42" s="25"/>
      <c r="J42" s="25"/>
      <c r="K42" s="25"/>
      <c r="L42" s="25"/>
      <c r="M42" s="25"/>
      <c r="N42" s="25">
        <v>8</v>
      </c>
      <c r="O42" s="25">
        <v>8</v>
      </c>
      <c r="P42" s="25"/>
      <c r="Q42" s="25"/>
      <c r="R42" s="25"/>
      <c r="S42" s="25"/>
      <c r="T42" s="25"/>
      <c r="U42" s="25">
        <v>8</v>
      </c>
      <c r="V42" s="25"/>
      <c r="W42" s="25"/>
      <c r="X42" s="25"/>
      <c r="Y42" s="25">
        <v>8</v>
      </c>
      <c r="Z42" s="25">
        <v>8</v>
      </c>
      <c r="AA42" s="25">
        <v>8</v>
      </c>
      <c r="AB42" s="25">
        <v>8</v>
      </c>
      <c r="AC42" s="25"/>
      <c r="AD42" s="25"/>
      <c r="AE42" s="25"/>
      <c r="AF42" s="25"/>
      <c r="AG42" s="25">
        <v>8</v>
      </c>
      <c r="AH42" s="25">
        <v>8</v>
      </c>
      <c r="AI42" s="25">
        <v>8</v>
      </c>
      <c r="AJ42" s="25">
        <v>80</v>
      </c>
    </row>
    <row r="43" spans="3:36" x14ac:dyDescent="0.25">
      <c r="E43" t="s">
        <v>30</v>
      </c>
      <c r="F43" s="25"/>
      <c r="G43" s="25"/>
      <c r="H43" s="25"/>
      <c r="I43" s="25"/>
      <c r="J43" s="25"/>
      <c r="K43" s="25">
        <v>1</v>
      </c>
      <c r="L43" s="25">
        <v>1</v>
      </c>
      <c r="M43" s="25"/>
      <c r="N43" s="25"/>
      <c r="O43" s="25"/>
      <c r="P43" s="25"/>
      <c r="Q43" s="25"/>
      <c r="R43" s="25">
        <v>1</v>
      </c>
      <c r="S43" s="25">
        <v>1</v>
      </c>
      <c r="T43" s="25"/>
      <c r="U43" s="25"/>
      <c r="V43" s="25"/>
      <c r="W43" s="25"/>
      <c r="X43" s="25"/>
      <c r="Y43" s="25">
        <v>1</v>
      </c>
      <c r="Z43" s="25">
        <v>1</v>
      </c>
      <c r="AA43" s="25"/>
      <c r="AB43" s="25"/>
      <c r="AC43" s="25"/>
      <c r="AD43" s="25"/>
      <c r="AE43" s="25"/>
      <c r="AF43" s="25">
        <v>1</v>
      </c>
      <c r="AG43" s="25">
        <v>1</v>
      </c>
      <c r="AH43" s="25"/>
      <c r="AI43" s="25"/>
      <c r="AJ43" s="25">
        <v>8</v>
      </c>
    </row>
    <row r="44" spans="3:36" x14ac:dyDescent="0.25">
      <c r="E44" t="s">
        <v>29</v>
      </c>
      <c r="F44" s="25">
        <v>8</v>
      </c>
      <c r="G44" s="25">
        <v>8</v>
      </c>
      <c r="H44" s="25">
        <v>8</v>
      </c>
      <c r="I44" s="25">
        <v>8</v>
      </c>
      <c r="J44" s="25">
        <v>8</v>
      </c>
      <c r="K44" s="25"/>
      <c r="L44" s="25"/>
      <c r="M44" s="25">
        <v>8</v>
      </c>
      <c r="N44" s="25">
        <v>8</v>
      </c>
      <c r="O44" s="25">
        <v>8</v>
      </c>
      <c r="P44" s="25">
        <v>8</v>
      </c>
      <c r="Q44" s="25">
        <v>8</v>
      </c>
      <c r="R44" s="25"/>
      <c r="S44" s="25"/>
      <c r="T44" s="25">
        <v>8</v>
      </c>
      <c r="U44" s="25">
        <v>8</v>
      </c>
      <c r="V44" s="25">
        <v>8</v>
      </c>
      <c r="W44" s="25">
        <v>8</v>
      </c>
      <c r="X44" s="25">
        <v>8</v>
      </c>
      <c r="Y44" s="25"/>
      <c r="Z44" s="25"/>
      <c r="AA44" s="25">
        <v>8</v>
      </c>
      <c r="AB44" s="25">
        <v>8</v>
      </c>
      <c r="AC44" s="25">
        <v>8</v>
      </c>
      <c r="AD44" s="25">
        <v>8</v>
      </c>
      <c r="AE44" s="25">
        <v>8</v>
      </c>
      <c r="AF44" s="25"/>
      <c r="AG44" s="25"/>
      <c r="AH44" s="25">
        <v>8</v>
      </c>
      <c r="AI44" s="25">
        <v>8</v>
      </c>
      <c r="AJ44" s="25">
        <v>176</v>
      </c>
    </row>
    <row r="45" spans="3:36" x14ac:dyDescent="0.25">
      <c r="E45" t="s">
        <v>10</v>
      </c>
      <c r="F45" s="25">
        <v>22</v>
      </c>
      <c r="G45" s="25">
        <v>35</v>
      </c>
      <c r="H45" s="25">
        <v>44</v>
      </c>
      <c r="I45" s="25">
        <v>33</v>
      </c>
      <c r="J45" s="25">
        <v>33</v>
      </c>
      <c r="K45" s="25">
        <v>33</v>
      </c>
      <c r="L45" s="25">
        <v>26</v>
      </c>
      <c r="M45" s="25">
        <v>22</v>
      </c>
      <c r="N45" s="25">
        <v>22</v>
      </c>
      <c r="O45" s="25">
        <v>26</v>
      </c>
      <c r="P45" s="25">
        <v>22</v>
      </c>
      <c r="Q45" s="25">
        <v>17</v>
      </c>
      <c r="R45" s="25">
        <v>33</v>
      </c>
      <c r="S45" s="25">
        <v>22</v>
      </c>
      <c r="T45" s="25">
        <v>37</v>
      </c>
      <c r="U45" s="25">
        <v>33</v>
      </c>
      <c r="V45" s="25">
        <v>44</v>
      </c>
      <c r="W45" s="25">
        <v>44</v>
      </c>
      <c r="X45" s="25">
        <v>33</v>
      </c>
      <c r="Y45" s="25">
        <v>44</v>
      </c>
      <c r="Z45" s="25">
        <v>33</v>
      </c>
      <c r="AA45" s="25">
        <v>22</v>
      </c>
      <c r="AB45" s="25">
        <v>22</v>
      </c>
      <c r="AC45" s="25">
        <v>44</v>
      </c>
      <c r="AD45" s="25">
        <v>44</v>
      </c>
      <c r="AE45" s="25">
        <v>37</v>
      </c>
      <c r="AF45" s="25">
        <v>48</v>
      </c>
      <c r="AG45" s="25">
        <v>37</v>
      </c>
      <c r="AH45" s="25">
        <v>33</v>
      </c>
      <c r="AI45" s="25">
        <v>33</v>
      </c>
      <c r="AJ45" s="25">
        <v>978</v>
      </c>
    </row>
    <row r="46" spans="3:36" x14ac:dyDescent="0.25">
      <c r="E46" t="s">
        <v>23</v>
      </c>
      <c r="F46" s="25">
        <v>11</v>
      </c>
      <c r="G46" s="25"/>
      <c r="H46" s="25"/>
      <c r="I46" s="25"/>
      <c r="J46" s="25"/>
      <c r="K46" s="25"/>
      <c r="L46" s="25">
        <v>11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>
        <v>22</v>
      </c>
    </row>
    <row r="47" spans="3:36" x14ac:dyDescent="0.25">
      <c r="E47" t="s">
        <v>20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3:36" x14ac:dyDescent="0.25">
      <c r="E48" t="s">
        <v>70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>
        <v>11</v>
      </c>
      <c r="AB48" s="25">
        <v>11</v>
      </c>
      <c r="AC48" s="25"/>
      <c r="AD48" s="25"/>
      <c r="AE48" s="25"/>
      <c r="AF48" s="25"/>
      <c r="AG48" s="25"/>
      <c r="AH48" s="25"/>
      <c r="AI48" s="25"/>
      <c r="AJ48" s="25">
        <v>22</v>
      </c>
    </row>
    <row r="49" spans="2:36" x14ac:dyDescent="0.25">
      <c r="E49" t="s">
        <v>52</v>
      </c>
      <c r="F49" s="25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5">
        <v>1</v>
      </c>
      <c r="M49" s="25">
        <v>1</v>
      </c>
      <c r="N49" s="25"/>
      <c r="O49" s="25"/>
      <c r="P49" s="25"/>
      <c r="Q49" s="25"/>
      <c r="R49" s="25"/>
      <c r="S49" s="25"/>
      <c r="T49" s="25">
        <v>1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>
        <v>9</v>
      </c>
    </row>
    <row r="50" spans="2:36" x14ac:dyDescent="0.25">
      <c r="E50" t="s">
        <v>50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>
        <v>11</v>
      </c>
      <c r="Q50" s="25">
        <v>11</v>
      </c>
      <c r="R50" s="25"/>
      <c r="S50" s="25">
        <v>11</v>
      </c>
      <c r="T50" s="25"/>
      <c r="U50" s="25"/>
      <c r="V50" s="25">
        <v>11</v>
      </c>
      <c r="W50" s="25">
        <v>11</v>
      </c>
      <c r="X50" s="25">
        <v>11</v>
      </c>
      <c r="Y50" s="25"/>
      <c r="Z50" s="25"/>
      <c r="AA50" s="25"/>
      <c r="AB50" s="25"/>
      <c r="AC50" s="25">
        <v>11</v>
      </c>
      <c r="AD50" s="25">
        <v>11</v>
      </c>
      <c r="AE50" s="25">
        <v>11</v>
      </c>
      <c r="AF50" s="25">
        <v>11</v>
      </c>
      <c r="AG50" s="25"/>
      <c r="AH50" s="25"/>
      <c r="AI50" s="25"/>
      <c r="AJ50" s="25">
        <v>110</v>
      </c>
    </row>
    <row r="51" spans="2:36" x14ac:dyDescent="0.25">
      <c r="C51" t="s">
        <v>73</v>
      </c>
      <c r="D51" t="s">
        <v>20</v>
      </c>
      <c r="E51" t="s">
        <v>38</v>
      </c>
      <c r="F51" s="25"/>
      <c r="G51" s="25"/>
      <c r="H51" s="25">
        <v>22</v>
      </c>
      <c r="I51" s="25"/>
      <c r="J51" s="25">
        <v>11</v>
      </c>
      <c r="K51" s="25">
        <v>22</v>
      </c>
      <c r="L51" s="25">
        <v>11</v>
      </c>
      <c r="M51" s="25">
        <v>11</v>
      </c>
      <c r="N51" s="25">
        <v>11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>
        <v>88</v>
      </c>
    </row>
    <row r="52" spans="2:36" x14ac:dyDescent="0.25">
      <c r="E52" t="s">
        <v>24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>
        <v>8</v>
      </c>
      <c r="AI52" s="25">
        <v>8</v>
      </c>
      <c r="AJ52" s="25">
        <v>16</v>
      </c>
    </row>
    <row r="53" spans="2:36" x14ac:dyDescent="0.25">
      <c r="E53" t="s">
        <v>10</v>
      </c>
      <c r="F53" s="25">
        <v>22</v>
      </c>
      <c r="G53" s="25">
        <v>22</v>
      </c>
      <c r="H53" s="25"/>
      <c r="I53" s="25">
        <v>22</v>
      </c>
      <c r="J53" s="25">
        <v>22</v>
      </c>
      <c r="K53" s="25"/>
      <c r="L53" s="25">
        <v>11</v>
      </c>
      <c r="M53" s="25">
        <v>11</v>
      </c>
      <c r="N53" s="25">
        <v>22</v>
      </c>
      <c r="O53" s="25">
        <v>22</v>
      </c>
      <c r="P53" s="25">
        <v>44</v>
      </c>
      <c r="Q53" s="25">
        <v>33</v>
      </c>
      <c r="R53" s="25">
        <v>22</v>
      </c>
      <c r="S53" s="25">
        <v>22</v>
      </c>
      <c r="T53" s="25">
        <v>44</v>
      </c>
      <c r="U53" s="25">
        <v>22</v>
      </c>
      <c r="V53" s="25">
        <v>22</v>
      </c>
      <c r="W53" s="25">
        <v>33</v>
      </c>
      <c r="X53" s="25">
        <v>33</v>
      </c>
      <c r="Y53" s="25">
        <v>33</v>
      </c>
      <c r="Z53" s="25">
        <v>22</v>
      </c>
      <c r="AA53" s="25">
        <v>33</v>
      </c>
      <c r="AB53" s="25">
        <v>22</v>
      </c>
      <c r="AC53" s="25">
        <v>44</v>
      </c>
      <c r="AD53" s="25">
        <v>22</v>
      </c>
      <c r="AE53" s="25">
        <v>22</v>
      </c>
      <c r="AF53" s="25">
        <v>33</v>
      </c>
      <c r="AG53" s="25">
        <v>44</v>
      </c>
      <c r="AH53" s="25">
        <v>22</v>
      </c>
      <c r="AI53" s="25">
        <v>33</v>
      </c>
      <c r="AJ53" s="25">
        <v>759</v>
      </c>
    </row>
    <row r="54" spans="2:36" x14ac:dyDescent="0.25">
      <c r="C54" t="s">
        <v>86</v>
      </c>
      <c r="D54" t="s">
        <v>20</v>
      </c>
      <c r="E54" t="s">
        <v>10</v>
      </c>
      <c r="F54" s="25"/>
      <c r="G54" s="25"/>
      <c r="H54" s="25"/>
      <c r="I54" s="25"/>
      <c r="J54" s="25"/>
      <c r="K54" s="25"/>
      <c r="L54" s="25"/>
      <c r="M54" s="25">
        <v>11</v>
      </c>
      <c r="N54" s="25">
        <v>22</v>
      </c>
      <c r="O54" s="25">
        <v>22</v>
      </c>
      <c r="P54" s="25">
        <v>11</v>
      </c>
      <c r="Q54" s="25">
        <v>22</v>
      </c>
      <c r="R54" s="25">
        <v>11</v>
      </c>
      <c r="S54" s="25">
        <v>22</v>
      </c>
      <c r="T54" s="25">
        <v>22</v>
      </c>
      <c r="U54" s="25">
        <v>22</v>
      </c>
      <c r="V54" s="25">
        <v>22</v>
      </c>
      <c r="W54" s="25">
        <v>16</v>
      </c>
      <c r="X54" s="25">
        <v>22</v>
      </c>
      <c r="Y54" s="25">
        <v>15</v>
      </c>
      <c r="Z54" s="25">
        <v>22</v>
      </c>
      <c r="AA54" s="25">
        <v>22</v>
      </c>
      <c r="AB54" s="25">
        <v>22</v>
      </c>
      <c r="AC54" s="25">
        <v>16</v>
      </c>
      <c r="AD54" s="25">
        <v>11</v>
      </c>
      <c r="AE54" s="25">
        <v>18</v>
      </c>
      <c r="AF54" s="25">
        <v>22</v>
      </c>
      <c r="AG54" s="25">
        <v>22</v>
      </c>
      <c r="AH54" s="25">
        <v>11</v>
      </c>
      <c r="AI54" s="25">
        <v>14</v>
      </c>
      <c r="AJ54" s="25">
        <v>420</v>
      </c>
    </row>
    <row r="55" spans="2:36" x14ac:dyDescent="0.25">
      <c r="B55" t="s">
        <v>26</v>
      </c>
      <c r="C55" t="s">
        <v>26</v>
      </c>
      <c r="D55" t="s">
        <v>20</v>
      </c>
      <c r="E55" t="s">
        <v>24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>
        <v>8</v>
      </c>
      <c r="AC55" s="25">
        <v>8</v>
      </c>
      <c r="AD55" s="25">
        <v>8</v>
      </c>
      <c r="AE55" s="25">
        <v>8</v>
      </c>
      <c r="AF55" s="25"/>
      <c r="AG55" s="25"/>
      <c r="AH55" s="25"/>
      <c r="AI55" s="25"/>
      <c r="AJ55" s="25">
        <v>32</v>
      </c>
    </row>
    <row r="56" spans="2:36" x14ac:dyDescent="0.25">
      <c r="E56" t="s">
        <v>30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>
        <v>2</v>
      </c>
      <c r="AG56" s="25">
        <v>2</v>
      </c>
      <c r="AH56" s="25"/>
      <c r="AI56" s="25"/>
      <c r="AJ56" s="25">
        <v>4</v>
      </c>
    </row>
    <row r="57" spans="2:36" x14ac:dyDescent="0.25">
      <c r="E57" t="s">
        <v>29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>
        <v>8</v>
      </c>
      <c r="AE57" s="25">
        <v>8</v>
      </c>
      <c r="AF57" s="25"/>
      <c r="AG57" s="25"/>
      <c r="AH57" s="25">
        <v>16</v>
      </c>
      <c r="AI57" s="25">
        <v>16</v>
      </c>
      <c r="AJ57" s="25">
        <v>48</v>
      </c>
    </row>
    <row r="58" spans="2:36" x14ac:dyDescent="0.25">
      <c r="E58" t="s">
        <v>10</v>
      </c>
      <c r="F58" s="25">
        <v>11</v>
      </c>
      <c r="G58" s="25">
        <v>11</v>
      </c>
      <c r="H58" s="25">
        <v>11</v>
      </c>
      <c r="I58" s="25">
        <v>11</v>
      </c>
      <c r="J58" s="25">
        <v>11</v>
      </c>
      <c r="K58" s="25">
        <v>11</v>
      </c>
      <c r="L58" s="25">
        <v>11</v>
      </c>
      <c r="M58" s="25">
        <v>11</v>
      </c>
      <c r="N58" s="25">
        <v>11</v>
      </c>
      <c r="O58" s="25">
        <v>11</v>
      </c>
      <c r="P58" s="25">
        <v>11</v>
      </c>
      <c r="Q58" s="25">
        <v>11</v>
      </c>
      <c r="R58" s="25">
        <v>11</v>
      </c>
      <c r="S58" s="25">
        <v>11</v>
      </c>
      <c r="T58" s="25">
        <v>11</v>
      </c>
      <c r="U58" s="25">
        <v>11</v>
      </c>
      <c r="V58" s="25">
        <v>11</v>
      </c>
      <c r="W58" s="25">
        <v>11</v>
      </c>
      <c r="X58" s="25">
        <v>11</v>
      </c>
      <c r="Y58" s="25">
        <v>11</v>
      </c>
      <c r="Z58" s="25">
        <v>11</v>
      </c>
      <c r="AA58" s="25">
        <v>11</v>
      </c>
      <c r="AB58" s="25"/>
      <c r="AC58" s="25"/>
      <c r="AD58" s="25"/>
      <c r="AE58" s="25"/>
      <c r="AF58" s="25"/>
      <c r="AG58" s="25"/>
      <c r="AH58" s="25"/>
      <c r="AI58" s="25"/>
      <c r="AJ58" s="25">
        <v>242</v>
      </c>
    </row>
    <row r="59" spans="2:36" x14ac:dyDescent="0.25">
      <c r="E59" t="s">
        <v>48</v>
      </c>
      <c r="F59" s="25">
        <v>1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25">
        <v>1</v>
      </c>
      <c r="M59" s="25">
        <v>1</v>
      </c>
      <c r="N59" s="25">
        <v>1</v>
      </c>
      <c r="O59" s="25">
        <v>1</v>
      </c>
      <c r="P59" s="25">
        <v>1</v>
      </c>
      <c r="Q59" s="25">
        <v>1</v>
      </c>
      <c r="R59" s="25">
        <v>1</v>
      </c>
      <c r="S59" s="25">
        <v>1</v>
      </c>
      <c r="T59" s="25">
        <v>1</v>
      </c>
      <c r="U59" s="25">
        <v>1</v>
      </c>
      <c r="V59" s="25">
        <v>1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B59" s="25">
        <v>1</v>
      </c>
      <c r="AC59" s="25">
        <v>1</v>
      </c>
      <c r="AD59" s="25"/>
      <c r="AE59" s="25"/>
      <c r="AF59" s="25"/>
      <c r="AG59" s="25"/>
      <c r="AH59" s="25"/>
      <c r="AI59" s="25"/>
      <c r="AJ59" s="25">
        <v>24</v>
      </c>
    </row>
    <row r="60" spans="2:36" x14ac:dyDescent="0.25">
      <c r="B60" t="s">
        <v>32</v>
      </c>
      <c r="C60" t="s">
        <v>31</v>
      </c>
      <c r="D60" t="s">
        <v>20</v>
      </c>
      <c r="E60" t="s">
        <v>38</v>
      </c>
      <c r="F60" s="25"/>
      <c r="G60" s="25">
        <v>11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>
        <v>11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>
        <v>11</v>
      </c>
      <c r="AH60" s="25"/>
      <c r="AI60" s="25"/>
      <c r="AJ60" s="25">
        <v>33</v>
      </c>
    </row>
    <row r="61" spans="2:36" x14ac:dyDescent="0.25">
      <c r="E61" t="s">
        <v>24</v>
      </c>
      <c r="F61" s="25"/>
      <c r="G61" s="25"/>
      <c r="H61" s="25"/>
      <c r="I61" s="25"/>
      <c r="J61" s="25"/>
      <c r="K61" s="25"/>
      <c r="L61" s="25"/>
      <c r="M61" s="25"/>
      <c r="N61" s="25">
        <v>8</v>
      </c>
      <c r="O61" s="25">
        <v>24</v>
      </c>
      <c r="P61" s="25">
        <v>8</v>
      </c>
      <c r="Q61" s="25">
        <v>8</v>
      </c>
      <c r="R61" s="25"/>
      <c r="S61" s="25">
        <v>8</v>
      </c>
      <c r="T61" s="25">
        <v>8</v>
      </c>
      <c r="U61" s="25">
        <v>8</v>
      </c>
      <c r="V61" s="25">
        <v>16</v>
      </c>
      <c r="W61" s="25">
        <v>8</v>
      </c>
      <c r="X61" s="25">
        <v>8</v>
      </c>
      <c r="Y61" s="25"/>
      <c r="Z61" s="25"/>
      <c r="AA61" s="25">
        <v>8</v>
      </c>
      <c r="AB61" s="25">
        <v>8</v>
      </c>
      <c r="AC61" s="25">
        <v>8</v>
      </c>
      <c r="AD61" s="25"/>
      <c r="AE61" s="25"/>
      <c r="AF61" s="25"/>
      <c r="AG61" s="25"/>
      <c r="AH61" s="25">
        <v>16</v>
      </c>
      <c r="AI61" s="25">
        <v>16</v>
      </c>
      <c r="AJ61" s="25">
        <v>160</v>
      </c>
    </row>
    <row r="62" spans="2:36" x14ac:dyDescent="0.25">
      <c r="E62" t="s">
        <v>30</v>
      </c>
      <c r="F62" s="25"/>
      <c r="G62" s="25"/>
      <c r="H62" s="25"/>
      <c r="I62" s="25"/>
      <c r="J62" s="25"/>
      <c r="K62" s="25">
        <v>3</v>
      </c>
      <c r="L62" s="25">
        <v>3</v>
      </c>
      <c r="M62" s="25"/>
      <c r="N62" s="25"/>
      <c r="O62" s="25"/>
      <c r="P62" s="25"/>
      <c r="Q62" s="25"/>
      <c r="R62" s="25">
        <v>2</v>
      </c>
      <c r="S62" s="25">
        <v>2</v>
      </c>
      <c r="T62" s="25"/>
      <c r="U62" s="25"/>
      <c r="V62" s="25"/>
      <c r="W62" s="25"/>
      <c r="X62" s="25"/>
      <c r="Y62" s="25">
        <v>3</v>
      </c>
      <c r="Z62" s="25">
        <v>3</v>
      </c>
      <c r="AA62" s="25"/>
      <c r="AB62" s="25"/>
      <c r="AC62" s="25"/>
      <c r="AD62" s="25"/>
      <c r="AE62" s="25"/>
      <c r="AF62" s="25">
        <v>4</v>
      </c>
      <c r="AG62" s="25">
        <v>4</v>
      </c>
      <c r="AH62" s="25"/>
      <c r="AI62" s="25"/>
      <c r="AJ62" s="25">
        <v>24</v>
      </c>
    </row>
    <row r="63" spans="2:36" x14ac:dyDescent="0.25">
      <c r="E63" t="s">
        <v>29</v>
      </c>
      <c r="F63" s="25">
        <v>24</v>
      </c>
      <c r="G63" s="25">
        <v>24</v>
      </c>
      <c r="H63" s="25">
        <v>24</v>
      </c>
      <c r="I63" s="25">
        <v>24</v>
      </c>
      <c r="J63" s="25">
        <v>24</v>
      </c>
      <c r="K63" s="25"/>
      <c r="L63" s="25"/>
      <c r="M63" s="25">
        <v>24</v>
      </c>
      <c r="N63" s="25">
        <v>16</v>
      </c>
      <c r="O63" s="25">
        <v>8</v>
      </c>
      <c r="P63" s="25">
        <v>8</v>
      </c>
      <c r="Q63" s="25">
        <v>8</v>
      </c>
      <c r="R63" s="25"/>
      <c r="S63" s="25"/>
      <c r="T63" s="25">
        <v>24</v>
      </c>
      <c r="U63" s="25">
        <v>24</v>
      </c>
      <c r="V63" s="25">
        <v>16</v>
      </c>
      <c r="W63" s="25">
        <v>24</v>
      </c>
      <c r="X63" s="25">
        <v>24</v>
      </c>
      <c r="Y63" s="25"/>
      <c r="Z63" s="25"/>
      <c r="AA63" s="25">
        <v>24</v>
      </c>
      <c r="AB63" s="25">
        <v>24</v>
      </c>
      <c r="AC63" s="25">
        <v>24</v>
      </c>
      <c r="AD63" s="25">
        <v>32</v>
      </c>
      <c r="AE63" s="25">
        <v>32</v>
      </c>
      <c r="AF63" s="25"/>
      <c r="AG63" s="25"/>
      <c r="AH63" s="25">
        <v>32</v>
      </c>
      <c r="AI63" s="25">
        <v>32</v>
      </c>
      <c r="AJ63" s="25">
        <v>496</v>
      </c>
    </row>
    <row r="64" spans="2:36" x14ac:dyDescent="0.25">
      <c r="E64" t="s">
        <v>10</v>
      </c>
      <c r="F64" s="25">
        <v>154</v>
      </c>
      <c r="G64" s="25">
        <v>132</v>
      </c>
      <c r="H64" s="25">
        <v>132</v>
      </c>
      <c r="I64" s="25">
        <v>154</v>
      </c>
      <c r="J64" s="25">
        <v>121</v>
      </c>
      <c r="K64" s="25">
        <v>132</v>
      </c>
      <c r="L64" s="25">
        <v>132</v>
      </c>
      <c r="M64" s="25">
        <v>154</v>
      </c>
      <c r="N64" s="25">
        <v>143</v>
      </c>
      <c r="O64" s="25">
        <v>121</v>
      </c>
      <c r="P64" s="25">
        <v>138</v>
      </c>
      <c r="Q64" s="25">
        <v>127</v>
      </c>
      <c r="R64" s="25">
        <v>132</v>
      </c>
      <c r="S64" s="25">
        <v>127</v>
      </c>
      <c r="T64" s="25">
        <v>116</v>
      </c>
      <c r="U64" s="25">
        <v>136</v>
      </c>
      <c r="V64" s="25">
        <v>139</v>
      </c>
      <c r="W64" s="25">
        <v>110</v>
      </c>
      <c r="X64" s="25">
        <v>137</v>
      </c>
      <c r="Y64" s="25">
        <v>138</v>
      </c>
      <c r="Z64" s="25">
        <v>148</v>
      </c>
      <c r="AA64" s="25">
        <v>132</v>
      </c>
      <c r="AB64" s="25">
        <v>110</v>
      </c>
      <c r="AC64" s="25">
        <v>121</v>
      </c>
      <c r="AD64" s="25">
        <v>138</v>
      </c>
      <c r="AE64" s="25">
        <v>137</v>
      </c>
      <c r="AF64" s="25">
        <v>126</v>
      </c>
      <c r="AG64" s="25">
        <v>115</v>
      </c>
      <c r="AH64" s="25">
        <v>110</v>
      </c>
      <c r="AI64" s="25">
        <v>99</v>
      </c>
      <c r="AJ64" s="25">
        <v>3911</v>
      </c>
    </row>
    <row r="65" spans="2:36" x14ac:dyDescent="0.25">
      <c r="E65" t="s">
        <v>23</v>
      </c>
      <c r="F65" s="25">
        <v>11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>
        <v>11</v>
      </c>
    </row>
    <row r="66" spans="2:36" x14ac:dyDescent="0.25">
      <c r="E66" t="s">
        <v>70</v>
      </c>
      <c r="F66" s="25"/>
      <c r="G66" s="25"/>
      <c r="H66" s="25"/>
      <c r="I66" s="25"/>
      <c r="J66" s="25">
        <v>11</v>
      </c>
      <c r="K66" s="25"/>
      <c r="L66" s="25"/>
      <c r="M66" s="25"/>
      <c r="N66" s="25"/>
      <c r="O66" s="25">
        <v>22</v>
      </c>
      <c r="P66" s="25">
        <v>5</v>
      </c>
      <c r="Q66" s="25">
        <v>5</v>
      </c>
      <c r="R66" s="25">
        <v>11</v>
      </c>
      <c r="S66" s="25">
        <v>5</v>
      </c>
      <c r="T66" s="25">
        <v>5</v>
      </c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>
        <v>64</v>
      </c>
    </row>
    <row r="67" spans="2:36" x14ac:dyDescent="0.25">
      <c r="E67" t="s">
        <v>50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>
        <v>11</v>
      </c>
      <c r="Q67" s="25">
        <v>11</v>
      </c>
      <c r="R67" s="25"/>
      <c r="S67" s="25">
        <v>11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>
        <v>33</v>
      </c>
    </row>
    <row r="68" spans="2:36" x14ac:dyDescent="0.25">
      <c r="C68" t="s">
        <v>32</v>
      </c>
      <c r="D68" t="s">
        <v>20</v>
      </c>
      <c r="E68" t="s">
        <v>52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>
        <v>1</v>
      </c>
      <c r="AF68" s="25">
        <v>1</v>
      </c>
      <c r="AG68" s="25">
        <v>1</v>
      </c>
      <c r="AH68" s="25">
        <v>1</v>
      </c>
      <c r="AI68" s="25">
        <v>1</v>
      </c>
      <c r="AJ68" s="25">
        <v>5</v>
      </c>
    </row>
    <row r="69" spans="2:36" x14ac:dyDescent="0.25">
      <c r="B69" t="s">
        <v>35</v>
      </c>
      <c r="C69" t="s">
        <v>36</v>
      </c>
      <c r="D69" t="s">
        <v>20</v>
      </c>
      <c r="E69" t="s">
        <v>38</v>
      </c>
      <c r="F69" s="25"/>
      <c r="G69" s="25"/>
      <c r="H69" s="25"/>
      <c r="I69" s="25"/>
      <c r="J69" s="25">
        <v>22</v>
      </c>
      <c r="K69" s="25">
        <v>22</v>
      </c>
      <c r="L69" s="25">
        <v>11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>
        <v>55</v>
      </c>
    </row>
    <row r="70" spans="2:36" x14ac:dyDescent="0.25">
      <c r="E70" t="s">
        <v>24</v>
      </c>
      <c r="F70" s="25"/>
      <c r="G70" s="25">
        <v>8</v>
      </c>
      <c r="H70" s="25">
        <v>8</v>
      </c>
      <c r="I70" s="25">
        <v>8</v>
      </c>
      <c r="J70" s="25"/>
      <c r="K70" s="25"/>
      <c r="L70" s="25"/>
      <c r="M70" s="25"/>
      <c r="N70" s="25">
        <v>8</v>
      </c>
      <c r="O70" s="25">
        <v>8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>
        <v>8</v>
      </c>
      <c r="AG70" s="25">
        <v>8</v>
      </c>
      <c r="AH70" s="25">
        <v>8</v>
      </c>
      <c r="AI70" s="25">
        <v>8</v>
      </c>
      <c r="AJ70" s="25">
        <v>72</v>
      </c>
    </row>
    <row r="71" spans="2:36" x14ac:dyDescent="0.25">
      <c r="E71" t="s">
        <v>10</v>
      </c>
      <c r="F71" s="25">
        <v>33</v>
      </c>
      <c r="G71" s="25">
        <v>33</v>
      </c>
      <c r="H71" s="25">
        <v>33</v>
      </c>
      <c r="I71" s="25">
        <v>33</v>
      </c>
      <c r="J71" s="25">
        <v>11</v>
      </c>
      <c r="K71" s="25">
        <v>11</v>
      </c>
      <c r="L71" s="25"/>
      <c r="M71" s="25">
        <v>11</v>
      </c>
      <c r="N71" s="25">
        <v>22</v>
      </c>
      <c r="O71" s="25">
        <v>22</v>
      </c>
      <c r="P71" s="25">
        <v>22</v>
      </c>
      <c r="Q71" s="25">
        <v>44</v>
      </c>
      <c r="R71" s="25">
        <v>44</v>
      </c>
      <c r="S71" s="25">
        <v>44</v>
      </c>
      <c r="T71" s="25">
        <v>44</v>
      </c>
      <c r="U71" s="25">
        <v>44</v>
      </c>
      <c r="V71" s="25">
        <v>44</v>
      </c>
      <c r="W71" s="25">
        <v>44</v>
      </c>
      <c r="X71" s="25">
        <v>44</v>
      </c>
      <c r="Y71" s="25">
        <v>44</v>
      </c>
      <c r="Z71" s="25">
        <v>44</v>
      </c>
      <c r="AA71" s="25">
        <v>44</v>
      </c>
      <c r="AB71" s="25">
        <v>44</v>
      </c>
      <c r="AC71" s="25">
        <v>44</v>
      </c>
      <c r="AD71" s="25">
        <v>44</v>
      </c>
      <c r="AE71" s="25">
        <v>44</v>
      </c>
      <c r="AF71" s="25">
        <v>33</v>
      </c>
      <c r="AG71" s="25">
        <v>33</v>
      </c>
      <c r="AH71" s="25">
        <v>33</v>
      </c>
      <c r="AI71" s="25">
        <v>33</v>
      </c>
      <c r="AJ71" s="25">
        <v>1023</v>
      </c>
    </row>
    <row r="72" spans="2:36" x14ac:dyDescent="0.25">
      <c r="E72" t="s">
        <v>23</v>
      </c>
      <c r="F72" s="25"/>
      <c r="G72" s="25"/>
      <c r="H72" s="25"/>
      <c r="I72" s="25"/>
      <c r="J72" s="25"/>
      <c r="K72" s="25"/>
      <c r="L72" s="25">
        <v>22</v>
      </c>
      <c r="M72" s="25">
        <v>22</v>
      </c>
      <c r="N72" s="25"/>
      <c r="O72" s="25"/>
      <c r="P72" s="25">
        <v>11</v>
      </c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>
        <v>55</v>
      </c>
    </row>
    <row r="73" spans="2:36" x14ac:dyDescent="0.25">
      <c r="E73" t="s">
        <v>70</v>
      </c>
      <c r="F73" s="25"/>
      <c r="G73" s="25"/>
      <c r="H73" s="25"/>
      <c r="I73" s="25"/>
      <c r="J73" s="25"/>
      <c r="K73" s="25"/>
      <c r="L73" s="25"/>
      <c r="M73" s="25"/>
      <c r="N73" s="25">
        <v>11</v>
      </c>
      <c r="O73" s="25">
        <v>11</v>
      </c>
      <c r="P73" s="25">
        <v>11</v>
      </c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>
        <v>33</v>
      </c>
    </row>
    <row r="74" spans="2:36" x14ac:dyDescent="0.25">
      <c r="E74" t="s">
        <v>44</v>
      </c>
      <c r="F74" s="25">
        <v>2</v>
      </c>
      <c r="G74" s="25">
        <v>1</v>
      </c>
      <c r="H74" s="25">
        <v>1</v>
      </c>
      <c r="I74" s="25">
        <v>1</v>
      </c>
      <c r="J74" s="25">
        <v>1</v>
      </c>
      <c r="K74" s="25">
        <v>1</v>
      </c>
      <c r="L74" s="25">
        <v>1</v>
      </c>
      <c r="M74" s="25">
        <v>1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>
        <v>9</v>
      </c>
    </row>
    <row r="75" spans="2:36" x14ac:dyDescent="0.25">
      <c r="B75" t="s">
        <v>49</v>
      </c>
      <c r="C75" t="s">
        <v>51</v>
      </c>
      <c r="D75" t="s">
        <v>20</v>
      </c>
      <c r="E75" t="s">
        <v>24</v>
      </c>
      <c r="F75" s="25"/>
      <c r="G75" s="25"/>
      <c r="H75" s="25"/>
      <c r="I75" s="25"/>
      <c r="J75" s="25"/>
      <c r="K75" s="25"/>
      <c r="L75" s="25"/>
      <c r="M75" s="25"/>
      <c r="N75" s="25"/>
      <c r="O75" s="25">
        <v>8</v>
      </c>
      <c r="P75" s="25">
        <v>8</v>
      </c>
      <c r="Q75" s="25">
        <v>8</v>
      </c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>
        <v>8</v>
      </c>
      <c r="AF75" s="25">
        <v>8</v>
      </c>
      <c r="AG75" s="25">
        <v>8</v>
      </c>
      <c r="AH75" s="25"/>
      <c r="AI75" s="25"/>
      <c r="AJ75" s="25">
        <v>48</v>
      </c>
    </row>
    <row r="76" spans="2:36" x14ac:dyDescent="0.25">
      <c r="E76" t="s">
        <v>30</v>
      </c>
      <c r="F76" s="25"/>
      <c r="G76" s="25"/>
      <c r="H76" s="25"/>
      <c r="I76" s="25"/>
      <c r="J76" s="25"/>
      <c r="K76" s="25">
        <v>1</v>
      </c>
      <c r="L76" s="25">
        <v>1</v>
      </c>
      <c r="M76" s="25"/>
      <c r="N76" s="25"/>
      <c r="O76" s="25"/>
      <c r="P76" s="25"/>
      <c r="Q76" s="25"/>
      <c r="R76" s="25">
        <v>2</v>
      </c>
      <c r="S76" s="25">
        <v>2</v>
      </c>
      <c r="T76" s="25"/>
      <c r="U76" s="25"/>
      <c r="V76" s="25"/>
      <c r="W76" s="25"/>
      <c r="X76" s="25"/>
      <c r="Y76" s="25">
        <v>2</v>
      </c>
      <c r="Z76" s="25">
        <v>2</v>
      </c>
      <c r="AA76" s="25"/>
      <c r="AB76" s="25"/>
      <c r="AC76" s="25"/>
      <c r="AD76" s="25"/>
      <c r="AE76" s="25"/>
      <c r="AF76" s="25">
        <v>1</v>
      </c>
      <c r="AG76" s="25">
        <v>1</v>
      </c>
      <c r="AH76" s="25"/>
      <c r="AI76" s="25"/>
      <c r="AJ76" s="25">
        <v>12</v>
      </c>
    </row>
    <row r="77" spans="2:36" x14ac:dyDescent="0.25">
      <c r="E77" t="s">
        <v>29</v>
      </c>
      <c r="F77" s="25">
        <v>8</v>
      </c>
      <c r="G77" s="25">
        <v>8</v>
      </c>
      <c r="H77" s="25">
        <v>8</v>
      </c>
      <c r="I77" s="25">
        <v>8</v>
      </c>
      <c r="J77" s="25">
        <v>8</v>
      </c>
      <c r="K77" s="25"/>
      <c r="L77" s="25"/>
      <c r="M77" s="25">
        <v>8</v>
      </c>
      <c r="N77" s="25">
        <v>8</v>
      </c>
      <c r="O77" s="25">
        <v>8</v>
      </c>
      <c r="P77" s="25">
        <v>8</v>
      </c>
      <c r="Q77" s="25">
        <v>8</v>
      </c>
      <c r="R77" s="25"/>
      <c r="S77" s="25"/>
      <c r="T77" s="25">
        <v>16</v>
      </c>
      <c r="U77" s="25">
        <v>16</v>
      </c>
      <c r="V77" s="25">
        <v>16</v>
      </c>
      <c r="W77" s="25">
        <v>16</v>
      </c>
      <c r="X77" s="25">
        <v>16</v>
      </c>
      <c r="Y77" s="25"/>
      <c r="Z77" s="25"/>
      <c r="AA77" s="25">
        <v>16</v>
      </c>
      <c r="AB77" s="25">
        <v>16</v>
      </c>
      <c r="AC77" s="25">
        <v>16</v>
      </c>
      <c r="AD77" s="25">
        <v>16</v>
      </c>
      <c r="AE77" s="25">
        <v>8</v>
      </c>
      <c r="AF77" s="25"/>
      <c r="AG77" s="25"/>
      <c r="AH77" s="25">
        <v>8</v>
      </c>
      <c r="AI77" s="25">
        <v>8</v>
      </c>
      <c r="AJ77" s="25">
        <v>248</v>
      </c>
    </row>
    <row r="78" spans="2:36" x14ac:dyDescent="0.25">
      <c r="E78" t="s">
        <v>10</v>
      </c>
      <c r="F78" s="25">
        <v>36</v>
      </c>
      <c r="G78" s="25">
        <v>33</v>
      </c>
      <c r="H78" s="25">
        <v>33</v>
      </c>
      <c r="I78" s="25">
        <v>33</v>
      </c>
      <c r="J78" s="25">
        <v>33</v>
      </c>
      <c r="K78" s="25">
        <v>33</v>
      </c>
      <c r="L78" s="25">
        <v>33</v>
      </c>
      <c r="M78" s="25">
        <v>33</v>
      </c>
      <c r="N78" s="25">
        <v>33</v>
      </c>
      <c r="O78" s="25">
        <v>22</v>
      </c>
      <c r="P78" s="25">
        <v>22</v>
      </c>
      <c r="Q78" s="25">
        <v>22</v>
      </c>
      <c r="R78" s="25">
        <v>22</v>
      </c>
      <c r="S78" s="25">
        <v>22</v>
      </c>
      <c r="T78" s="25">
        <v>22</v>
      </c>
      <c r="U78" s="25">
        <v>22</v>
      </c>
      <c r="V78" s="25">
        <v>22</v>
      </c>
      <c r="W78" s="25">
        <v>22</v>
      </c>
      <c r="X78" s="25">
        <v>22</v>
      </c>
      <c r="Y78" s="25">
        <v>33</v>
      </c>
      <c r="Z78" s="25">
        <v>22</v>
      </c>
      <c r="AA78" s="25">
        <v>22</v>
      </c>
      <c r="AB78" s="25">
        <v>22</v>
      </c>
      <c r="AC78" s="25">
        <v>22</v>
      </c>
      <c r="AD78" s="25">
        <v>22</v>
      </c>
      <c r="AE78" s="25">
        <v>22</v>
      </c>
      <c r="AF78" s="25">
        <v>22</v>
      </c>
      <c r="AG78" s="25">
        <v>22</v>
      </c>
      <c r="AH78" s="25">
        <v>33</v>
      </c>
      <c r="AI78" s="25">
        <v>33</v>
      </c>
      <c r="AJ78" s="25">
        <v>795</v>
      </c>
    </row>
    <row r="79" spans="2:36" x14ac:dyDescent="0.25">
      <c r="E79" t="s">
        <v>23</v>
      </c>
      <c r="F79" s="25"/>
      <c r="G79" s="25"/>
      <c r="H79" s="25"/>
      <c r="I79" s="25"/>
      <c r="J79" s="25"/>
      <c r="K79" s="25"/>
      <c r="L79" s="25">
        <v>11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>
        <v>11</v>
      </c>
      <c r="X79" s="25">
        <v>11</v>
      </c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>
        <v>33</v>
      </c>
    </row>
    <row r="80" spans="2:36" x14ac:dyDescent="0.25">
      <c r="B80" t="s">
        <v>39</v>
      </c>
      <c r="C80" t="s">
        <v>40</v>
      </c>
      <c r="D80" t="s">
        <v>20</v>
      </c>
      <c r="E80" t="s">
        <v>38</v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>
        <v>11</v>
      </c>
      <c r="AC80" s="25"/>
      <c r="AD80" s="25"/>
      <c r="AE80" s="25"/>
      <c r="AF80" s="25"/>
      <c r="AG80" s="25"/>
      <c r="AH80" s="25"/>
      <c r="AI80" s="25"/>
      <c r="AJ80" s="25">
        <v>11</v>
      </c>
    </row>
    <row r="81" spans="2:36" x14ac:dyDescent="0.25">
      <c r="E81" t="s">
        <v>10</v>
      </c>
      <c r="F81" s="25">
        <v>44</v>
      </c>
      <c r="G81" s="25">
        <v>44</v>
      </c>
      <c r="H81" s="25">
        <v>33</v>
      </c>
      <c r="I81" s="25">
        <v>33</v>
      </c>
      <c r="J81" s="25">
        <v>44</v>
      </c>
      <c r="K81" s="25">
        <v>44</v>
      </c>
      <c r="L81" s="25">
        <v>44</v>
      </c>
      <c r="M81" s="25">
        <v>33</v>
      </c>
      <c r="N81" s="25">
        <v>44</v>
      </c>
      <c r="O81" s="25">
        <v>33</v>
      </c>
      <c r="P81" s="25">
        <v>33</v>
      </c>
      <c r="Q81" s="25">
        <v>44</v>
      </c>
      <c r="R81" s="25">
        <v>33</v>
      </c>
      <c r="S81" s="25">
        <v>22</v>
      </c>
      <c r="T81" s="25">
        <v>33</v>
      </c>
      <c r="U81" s="25">
        <v>33</v>
      </c>
      <c r="V81" s="25">
        <v>33</v>
      </c>
      <c r="W81" s="25">
        <v>44</v>
      </c>
      <c r="X81" s="25">
        <v>33</v>
      </c>
      <c r="Y81" s="25">
        <v>44</v>
      </c>
      <c r="Z81" s="25">
        <v>33</v>
      </c>
      <c r="AA81" s="25">
        <v>22</v>
      </c>
      <c r="AB81" s="25">
        <v>11</v>
      </c>
      <c r="AC81" s="25">
        <v>44</v>
      </c>
      <c r="AD81" s="25">
        <v>44</v>
      </c>
      <c r="AE81" s="25">
        <v>33</v>
      </c>
      <c r="AF81" s="25">
        <v>27</v>
      </c>
      <c r="AG81" s="25">
        <v>33</v>
      </c>
      <c r="AH81" s="25">
        <v>33</v>
      </c>
      <c r="AI81" s="25">
        <v>33</v>
      </c>
      <c r="AJ81" s="25">
        <v>1061</v>
      </c>
    </row>
    <row r="82" spans="2:36" x14ac:dyDescent="0.25">
      <c r="B82" t="s">
        <v>9</v>
      </c>
      <c r="C82" t="s">
        <v>9</v>
      </c>
      <c r="D82" t="s">
        <v>20</v>
      </c>
      <c r="E82" t="s">
        <v>24</v>
      </c>
      <c r="F82" s="25"/>
      <c r="G82" s="25"/>
      <c r="H82" s="25"/>
      <c r="I82" s="25">
        <v>5</v>
      </c>
      <c r="J82" s="25">
        <v>8</v>
      </c>
      <c r="K82" s="25">
        <v>8</v>
      </c>
      <c r="L82" s="25">
        <v>8</v>
      </c>
      <c r="M82" s="25">
        <v>8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>
        <v>8</v>
      </c>
      <c r="AH82" s="25">
        <v>8</v>
      </c>
      <c r="AI82" s="25">
        <v>8</v>
      </c>
      <c r="AJ82" s="25">
        <v>61</v>
      </c>
    </row>
    <row r="83" spans="2:36" x14ac:dyDescent="0.25">
      <c r="E83" t="s">
        <v>30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>
        <v>1</v>
      </c>
      <c r="S83" s="25">
        <v>1</v>
      </c>
      <c r="T83" s="25"/>
      <c r="U83" s="25"/>
      <c r="V83" s="25"/>
      <c r="W83" s="25"/>
      <c r="X83" s="25"/>
      <c r="Y83" s="25">
        <v>1</v>
      </c>
      <c r="Z83" s="25">
        <v>1</v>
      </c>
      <c r="AA83" s="25"/>
      <c r="AB83" s="25"/>
      <c r="AC83" s="25"/>
      <c r="AD83" s="25"/>
      <c r="AE83" s="25"/>
      <c r="AF83" s="25">
        <v>1</v>
      </c>
      <c r="AG83" s="25">
        <v>1</v>
      </c>
      <c r="AH83" s="25"/>
      <c r="AI83" s="25"/>
      <c r="AJ83" s="25">
        <v>6</v>
      </c>
    </row>
    <row r="84" spans="2:36" x14ac:dyDescent="0.25">
      <c r="E84" t="s">
        <v>29</v>
      </c>
      <c r="F84" s="25"/>
      <c r="G84" s="25"/>
      <c r="H84" s="25"/>
      <c r="I84" s="25"/>
      <c r="J84" s="25"/>
      <c r="K84" s="25"/>
      <c r="L84" s="25"/>
      <c r="M84" s="25"/>
      <c r="N84" s="25">
        <v>8</v>
      </c>
      <c r="O84" s="25">
        <v>8</v>
      </c>
      <c r="P84" s="25">
        <v>8</v>
      </c>
      <c r="Q84" s="25">
        <v>8</v>
      </c>
      <c r="R84" s="25"/>
      <c r="S84" s="25"/>
      <c r="T84" s="25">
        <v>8</v>
      </c>
      <c r="U84" s="25">
        <v>8</v>
      </c>
      <c r="V84" s="25">
        <v>8</v>
      </c>
      <c r="W84" s="25">
        <v>8</v>
      </c>
      <c r="X84" s="25">
        <v>8</v>
      </c>
      <c r="Y84" s="25"/>
      <c r="Z84" s="25"/>
      <c r="AA84" s="25">
        <v>8</v>
      </c>
      <c r="AB84" s="25">
        <v>8</v>
      </c>
      <c r="AC84" s="25">
        <v>8</v>
      </c>
      <c r="AD84" s="25">
        <v>8</v>
      </c>
      <c r="AE84" s="25">
        <v>8</v>
      </c>
      <c r="AF84" s="25"/>
      <c r="AG84" s="25"/>
      <c r="AH84" s="25">
        <v>8</v>
      </c>
      <c r="AI84" s="25">
        <v>8</v>
      </c>
      <c r="AJ84" s="25">
        <v>128</v>
      </c>
    </row>
    <row r="85" spans="2:36" x14ac:dyDescent="0.25">
      <c r="E85" t="s">
        <v>10</v>
      </c>
      <c r="F85" s="25">
        <v>22</v>
      </c>
      <c r="G85" s="25">
        <v>22</v>
      </c>
      <c r="H85" s="25">
        <v>22</v>
      </c>
      <c r="I85" s="25">
        <v>14</v>
      </c>
      <c r="J85" s="25">
        <v>11</v>
      </c>
      <c r="K85" s="25">
        <v>11</v>
      </c>
      <c r="L85" s="25">
        <v>11</v>
      </c>
      <c r="M85" s="25">
        <v>11</v>
      </c>
      <c r="N85" s="25">
        <v>11</v>
      </c>
      <c r="O85" s="25">
        <v>11</v>
      </c>
      <c r="P85" s="25">
        <v>11</v>
      </c>
      <c r="Q85" s="25">
        <v>11</v>
      </c>
      <c r="R85" s="25">
        <v>11</v>
      </c>
      <c r="S85" s="25">
        <v>11</v>
      </c>
      <c r="T85" s="25">
        <v>11</v>
      </c>
      <c r="U85" s="25">
        <v>11</v>
      </c>
      <c r="V85" s="25">
        <v>11</v>
      </c>
      <c r="W85" s="25">
        <v>11</v>
      </c>
      <c r="X85" s="25">
        <v>11</v>
      </c>
      <c r="Y85" s="25">
        <v>11</v>
      </c>
      <c r="Z85" s="25">
        <v>11</v>
      </c>
      <c r="AA85" s="25">
        <v>11</v>
      </c>
      <c r="AB85" s="25">
        <v>11</v>
      </c>
      <c r="AC85" s="25">
        <v>11</v>
      </c>
      <c r="AD85" s="25">
        <v>11</v>
      </c>
      <c r="AE85" s="25">
        <v>11</v>
      </c>
      <c r="AF85" s="25">
        <v>11</v>
      </c>
      <c r="AG85" s="25">
        <v>11</v>
      </c>
      <c r="AH85" s="25">
        <v>11</v>
      </c>
      <c r="AI85" s="25">
        <v>11</v>
      </c>
      <c r="AJ85" s="25">
        <v>366</v>
      </c>
    </row>
    <row r="86" spans="2:36" x14ac:dyDescent="0.25">
      <c r="E86" t="s">
        <v>52</v>
      </c>
      <c r="F86" s="25">
        <v>1</v>
      </c>
      <c r="G86" s="25">
        <v>1</v>
      </c>
      <c r="H86" s="25">
        <v>1</v>
      </c>
      <c r="I86" s="25">
        <v>1</v>
      </c>
      <c r="J86" s="25">
        <v>1</v>
      </c>
      <c r="K86" s="25">
        <v>1</v>
      </c>
      <c r="L86" s="25">
        <v>1</v>
      </c>
      <c r="M86" s="25">
        <v>1</v>
      </c>
      <c r="N86" s="25">
        <v>1</v>
      </c>
      <c r="O86" s="25">
        <v>1</v>
      </c>
      <c r="P86" s="25">
        <v>1</v>
      </c>
      <c r="Q86" s="25">
        <v>1</v>
      </c>
      <c r="R86" s="25">
        <v>1</v>
      </c>
      <c r="S86" s="25">
        <v>1</v>
      </c>
      <c r="T86" s="25">
        <v>1</v>
      </c>
      <c r="U86" s="25">
        <v>1</v>
      </c>
      <c r="V86" s="25">
        <v>1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25">
        <v>1</v>
      </c>
      <c r="AI86" s="25">
        <v>1</v>
      </c>
      <c r="AJ86" s="25">
        <v>30</v>
      </c>
    </row>
    <row r="87" spans="2:36" x14ac:dyDescent="0.25">
      <c r="B87" t="s">
        <v>33</v>
      </c>
      <c r="C87" t="s">
        <v>33</v>
      </c>
      <c r="D87" t="s">
        <v>20</v>
      </c>
      <c r="E87" t="s">
        <v>30</v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>
        <v>1</v>
      </c>
      <c r="S87" s="25">
        <v>1</v>
      </c>
      <c r="T87" s="25"/>
      <c r="U87" s="25"/>
      <c r="V87" s="25"/>
      <c r="W87" s="25"/>
      <c r="X87" s="25"/>
      <c r="Y87" s="25">
        <v>1</v>
      </c>
      <c r="Z87" s="25">
        <v>1</v>
      </c>
      <c r="AA87" s="25"/>
      <c r="AB87" s="25"/>
      <c r="AC87" s="25"/>
      <c r="AD87" s="25"/>
      <c r="AE87" s="25"/>
      <c r="AF87" s="25"/>
      <c r="AG87" s="25"/>
      <c r="AH87" s="25"/>
      <c r="AI87" s="25"/>
      <c r="AJ87" s="25">
        <v>4</v>
      </c>
    </row>
    <row r="88" spans="2:36" x14ac:dyDescent="0.25">
      <c r="E88" t="s">
        <v>29</v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>
        <v>8</v>
      </c>
      <c r="Q88" s="25">
        <v>8</v>
      </c>
      <c r="R88" s="25"/>
      <c r="S88" s="25"/>
      <c r="T88" s="25">
        <v>8</v>
      </c>
      <c r="U88" s="25">
        <v>8</v>
      </c>
      <c r="V88" s="25">
        <v>8</v>
      </c>
      <c r="W88" s="25">
        <v>8</v>
      </c>
      <c r="X88" s="25">
        <v>8</v>
      </c>
      <c r="Y88" s="25"/>
      <c r="Z88" s="25"/>
      <c r="AA88" s="25">
        <v>8</v>
      </c>
      <c r="AB88" s="25">
        <v>8</v>
      </c>
      <c r="AC88" s="25">
        <v>8</v>
      </c>
      <c r="AD88" s="25"/>
      <c r="AE88" s="25"/>
      <c r="AF88" s="25"/>
      <c r="AG88" s="25"/>
      <c r="AH88" s="25"/>
      <c r="AI88" s="25"/>
      <c r="AJ88" s="25">
        <v>80</v>
      </c>
    </row>
    <row r="89" spans="2:36" x14ac:dyDescent="0.25">
      <c r="E89" t="s">
        <v>10</v>
      </c>
      <c r="F89" s="25">
        <v>11</v>
      </c>
      <c r="G89" s="25">
        <v>11</v>
      </c>
      <c r="H89" s="25">
        <v>11</v>
      </c>
      <c r="I89" s="25">
        <v>11</v>
      </c>
      <c r="J89" s="25">
        <v>11</v>
      </c>
      <c r="K89" s="25">
        <v>11</v>
      </c>
      <c r="L89" s="25">
        <v>11</v>
      </c>
      <c r="M89" s="25">
        <v>11</v>
      </c>
      <c r="N89" s="25">
        <v>11</v>
      </c>
      <c r="O89" s="25">
        <v>11</v>
      </c>
      <c r="P89" s="25">
        <v>11</v>
      </c>
      <c r="Q89" s="25">
        <v>11</v>
      </c>
      <c r="R89" s="25">
        <v>11</v>
      </c>
      <c r="S89" s="25">
        <v>11</v>
      </c>
      <c r="T89" s="25">
        <v>11</v>
      </c>
      <c r="U89" s="25">
        <v>11</v>
      </c>
      <c r="V89" s="25">
        <v>11</v>
      </c>
      <c r="W89" s="25">
        <v>11</v>
      </c>
      <c r="X89" s="25">
        <v>11</v>
      </c>
      <c r="Y89" s="25">
        <v>11</v>
      </c>
      <c r="Z89" s="25">
        <v>11</v>
      </c>
      <c r="AA89" s="25">
        <v>11</v>
      </c>
      <c r="AB89" s="25">
        <v>11</v>
      </c>
      <c r="AC89" s="25">
        <v>11</v>
      </c>
      <c r="AD89" s="25">
        <v>11</v>
      </c>
      <c r="AE89" s="25">
        <v>11</v>
      </c>
      <c r="AF89" s="25">
        <v>11</v>
      </c>
      <c r="AG89" s="25">
        <v>11</v>
      </c>
      <c r="AH89" s="25">
        <v>11</v>
      </c>
      <c r="AI89" s="25">
        <v>11</v>
      </c>
      <c r="AJ89" s="25">
        <v>330</v>
      </c>
    </row>
    <row r="90" spans="2:36" x14ac:dyDescent="0.25">
      <c r="E90" t="s">
        <v>48</v>
      </c>
      <c r="F90" s="25">
        <v>1</v>
      </c>
      <c r="G90" s="25">
        <v>1</v>
      </c>
      <c r="H90" s="25">
        <v>1</v>
      </c>
      <c r="I90" s="25">
        <v>1</v>
      </c>
      <c r="J90" s="25">
        <v>1</v>
      </c>
      <c r="K90" s="25">
        <v>1</v>
      </c>
      <c r="L90" s="25">
        <v>1</v>
      </c>
      <c r="M90" s="25">
        <v>1</v>
      </c>
      <c r="N90" s="25">
        <v>1</v>
      </c>
      <c r="O90" s="25">
        <v>1</v>
      </c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>
        <v>1</v>
      </c>
      <c r="AE90" s="25">
        <v>1</v>
      </c>
      <c r="AF90" s="25">
        <v>1</v>
      </c>
      <c r="AG90" s="25">
        <v>1</v>
      </c>
      <c r="AH90" s="25">
        <v>1</v>
      </c>
      <c r="AI90" s="25">
        <v>1</v>
      </c>
      <c r="AJ90" s="25">
        <v>16</v>
      </c>
    </row>
    <row r="91" spans="2:36" x14ac:dyDescent="0.25">
      <c r="B91" t="s">
        <v>28</v>
      </c>
      <c r="C91" t="s">
        <v>28</v>
      </c>
      <c r="D91" t="s">
        <v>20</v>
      </c>
      <c r="E91" t="s">
        <v>38</v>
      </c>
      <c r="F91" s="25"/>
      <c r="G91" s="25"/>
      <c r="H91" s="25"/>
      <c r="I91" s="25"/>
      <c r="J91" s="25">
        <v>55</v>
      </c>
      <c r="K91" s="25">
        <v>55</v>
      </c>
      <c r="L91" s="25">
        <v>55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>
        <v>165</v>
      </c>
    </row>
    <row r="92" spans="2:36" x14ac:dyDescent="0.25">
      <c r="E92" t="s">
        <v>24</v>
      </c>
      <c r="F92" s="25"/>
      <c r="G92" s="25"/>
      <c r="H92" s="25"/>
      <c r="I92" s="25">
        <v>24</v>
      </c>
      <c r="J92" s="25">
        <v>24</v>
      </c>
      <c r="K92" s="25">
        <v>24</v>
      </c>
      <c r="L92" s="25">
        <v>32</v>
      </c>
      <c r="M92" s="25">
        <v>32</v>
      </c>
      <c r="N92" s="25">
        <v>24</v>
      </c>
      <c r="O92" s="25">
        <v>40</v>
      </c>
      <c r="P92" s="25">
        <v>32</v>
      </c>
      <c r="Q92" s="25">
        <v>32</v>
      </c>
      <c r="R92" s="25">
        <v>24</v>
      </c>
      <c r="S92" s="25"/>
      <c r="T92" s="25"/>
      <c r="U92" s="25"/>
      <c r="V92" s="25">
        <v>16</v>
      </c>
      <c r="W92" s="25">
        <v>16</v>
      </c>
      <c r="X92" s="25">
        <v>24</v>
      </c>
      <c r="Y92" s="25">
        <v>16</v>
      </c>
      <c r="Z92" s="25">
        <v>16</v>
      </c>
      <c r="AA92" s="25">
        <v>24</v>
      </c>
      <c r="AB92" s="25">
        <v>8</v>
      </c>
      <c r="AC92" s="25">
        <v>8</v>
      </c>
      <c r="AD92" s="25"/>
      <c r="AE92" s="25"/>
      <c r="AF92" s="25">
        <v>8</v>
      </c>
      <c r="AG92" s="25">
        <v>8</v>
      </c>
      <c r="AH92" s="25">
        <v>8</v>
      </c>
      <c r="AI92" s="25">
        <v>8</v>
      </c>
      <c r="AJ92" s="25">
        <v>448</v>
      </c>
    </row>
    <row r="93" spans="2:36" x14ac:dyDescent="0.25">
      <c r="E93" t="s">
        <v>30</v>
      </c>
      <c r="F93" s="25">
        <v>3</v>
      </c>
      <c r="G93" s="25">
        <v>4</v>
      </c>
      <c r="H93" s="25">
        <v>4</v>
      </c>
      <c r="I93" s="25"/>
      <c r="J93" s="25"/>
      <c r="K93" s="25">
        <v>4</v>
      </c>
      <c r="L93" s="25">
        <v>3</v>
      </c>
      <c r="M93" s="25"/>
      <c r="N93" s="25"/>
      <c r="O93" s="25"/>
      <c r="P93" s="25"/>
      <c r="Q93" s="25"/>
      <c r="R93" s="25">
        <v>6</v>
      </c>
      <c r="S93" s="25">
        <v>9</v>
      </c>
      <c r="T93" s="25"/>
      <c r="U93" s="25"/>
      <c r="V93" s="25"/>
      <c r="W93" s="25"/>
      <c r="X93" s="25"/>
      <c r="Y93" s="25">
        <v>9</v>
      </c>
      <c r="Z93" s="25">
        <v>9</v>
      </c>
      <c r="AA93" s="25"/>
      <c r="AB93" s="25"/>
      <c r="AC93" s="25"/>
      <c r="AD93" s="25"/>
      <c r="AE93" s="25"/>
      <c r="AF93" s="25">
        <v>12</v>
      </c>
      <c r="AG93" s="25">
        <v>12</v>
      </c>
      <c r="AH93" s="25"/>
      <c r="AI93" s="25"/>
      <c r="AJ93" s="25">
        <v>75</v>
      </c>
    </row>
    <row r="94" spans="2:36" x14ac:dyDescent="0.25">
      <c r="E94" t="s">
        <v>29</v>
      </c>
      <c r="F94" s="25">
        <v>40</v>
      </c>
      <c r="G94" s="25">
        <v>40</v>
      </c>
      <c r="H94" s="25">
        <v>32</v>
      </c>
      <c r="I94" s="25">
        <v>32</v>
      </c>
      <c r="J94" s="25">
        <v>32</v>
      </c>
      <c r="K94" s="25"/>
      <c r="L94" s="25"/>
      <c r="M94" s="25">
        <v>32</v>
      </c>
      <c r="N94" s="25">
        <v>40</v>
      </c>
      <c r="O94" s="25">
        <v>40</v>
      </c>
      <c r="P94" s="25">
        <v>40</v>
      </c>
      <c r="Q94" s="25">
        <v>40</v>
      </c>
      <c r="R94" s="25"/>
      <c r="S94" s="25"/>
      <c r="T94" s="25">
        <v>72</v>
      </c>
      <c r="U94" s="25">
        <v>72</v>
      </c>
      <c r="V94" s="25">
        <v>72</v>
      </c>
      <c r="W94" s="25">
        <v>72</v>
      </c>
      <c r="X94" s="25">
        <v>72</v>
      </c>
      <c r="Y94" s="25"/>
      <c r="Z94" s="25"/>
      <c r="AA94" s="25">
        <v>72</v>
      </c>
      <c r="AB94" s="25">
        <v>88</v>
      </c>
      <c r="AC94" s="25">
        <v>88</v>
      </c>
      <c r="AD94" s="25">
        <v>96</v>
      </c>
      <c r="AE94" s="25">
        <v>96</v>
      </c>
      <c r="AF94" s="25"/>
      <c r="AG94" s="25"/>
      <c r="AH94" s="25">
        <v>96</v>
      </c>
      <c r="AI94" s="25">
        <v>96</v>
      </c>
      <c r="AJ94" s="25">
        <v>1360</v>
      </c>
    </row>
    <row r="95" spans="2:36" x14ac:dyDescent="0.25">
      <c r="E95" t="s">
        <v>10</v>
      </c>
      <c r="F95" s="25">
        <v>229</v>
      </c>
      <c r="G95" s="25">
        <v>207</v>
      </c>
      <c r="H95" s="25">
        <v>196</v>
      </c>
      <c r="I95" s="25">
        <v>218</v>
      </c>
      <c r="J95" s="25">
        <v>142</v>
      </c>
      <c r="K95" s="25">
        <v>142</v>
      </c>
      <c r="L95" s="25">
        <v>153</v>
      </c>
      <c r="M95" s="25">
        <v>207</v>
      </c>
      <c r="N95" s="25">
        <v>229</v>
      </c>
      <c r="O95" s="25">
        <v>197</v>
      </c>
      <c r="P95" s="25">
        <v>219</v>
      </c>
      <c r="Q95" s="25">
        <v>208</v>
      </c>
      <c r="R95" s="25">
        <v>208</v>
      </c>
      <c r="S95" s="25">
        <v>186</v>
      </c>
      <c r="T95" s="25">
        <v>186</v>
      </c>
      <c r="U95" s="25">
        <v>187</v>
      </c>
      <c r="V95" s="25">
        <v>187</v>
      </c>
      <c r="W95" s="25">
        <v>187</v>
      </c>
      <c r="X95" s="25">
        <v>176</v>
      </c>
      <c r="Y95" s="25">
        <v>187</v>
      </c>
      <c r="Z95" s="25">
        <v>188</v>
      </c>
      <c r="AA95" s="25">
        <v>177</v>
      </c>
      <c r="AB95" s="25">
        <v>177</v>
      </c>
      <c r="AC95" s="25">
        <v>175</v>
      </c>
      <c r="AD95" s="25">
        <v>175</v>
      </c>
      <c r="AE95" s="25">
        <v>175</v>
      </c>
      <c r="AF95" s="25">
        <v>164</v>
      </c>
      <c r="AG95" s="25">
        <v>164</v>
      </c>
      <c r="AH95" s="25">
        <v>164</v>
      </c>
      <c r="AI95" s="25">
        <v>164</v>
      </c>
      <c r="AJ95" s="25">
        <v>5574</v>
      </c>
    </row>
    <row r="96" spans="2:36" x14ac:dyDescent="0.25">
      <c r="E96" t="s">
        <v>44</v>
      </c>
      <c r="F96" s="25">
        <v>2</v>
      </c>
      <c r="G96" s="25">
        <v>2</v>
      </c>
      <c r="H96" s="25">
        <v>2</v>
      </c>
      <c r="I96" s="25">
        <v>2</v>
      </c>
      <c r="J96" s="25">
        <v>2</v>
      </c>
      <c r="K96" s="25">
        <v>2</v>
      </c>
      <c r="L96" s="25">
        <v>2</v>
      </c>
      <c r="M96" s="25">
        <v>2</v>
      </c>
      <c r="N96" s="25">
        <v>2</v>
      </c>
      <c r="O96" s="25">
        <v>2</v>
      </c>
      <c r="P96" s="25">
        <v>2</v>
      </c>
      <c r="Q96" s="25">
        <v>2</v>
      </c>
      <c r="R96" s="25">
        <v>2</v>
      </c>
      <c r="S96" s="25">
        <v>2</v>
      </c>
      <c r="T96" s="25">
        <v>2</v>
      </c>
      <c r="U96" s="25">
        <v>2</v>
      </c>
      <c r="V96" s="25">
        <v>1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25">
        <v>1</v>
      </c>
      <c r="AI96" s="25">
        <v>1</v>
      </c>
      <c r="AJ96" s="25">
        <v>46</v>
      </c>
    </row>
    <row r="97" spans="2:36" x14ac:dyDescent="0.25">
      <c r="E97" t="s">
        <v>52</v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>
        <v>1</v>
      </c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>
        <v>1</v>
      </c>
    </row>
    <row r="98" spans="2:36" x14ac:dyDescent="0.25">
      <c r="E98" t="s">
        <v>81</v>
      </c>
      <c r="F98" s="25">
        <v>1</v>
      </c>
      <c r="G98" s="25">
        <v>1</v>
      </c>
      <c r="H98" s="25">
        <v>2</v>
      </c>
      <c r="I98" s="25">
        <v>2</v>
      </c>
      <c r="J98" s="25">
        <v>2</v>
      </c>
      <c r="K98" s="25">
        <v>2</v>
      </c>
      <c r="L98" s="25">
        <v>2</v>
      </c>
      <c r="M98" s="25">
        <v>1</v>
      </c>
      <c r="N98" s="25">
        <v>1</v>
      </c>
      <c r="O98" s="25">
        <v>1</v>
      </c>
      <c r="P98" s="25">
        <v>1</v>
      </c>
      <c r="Q98" s="25">
        <v>1</v>
      </c>
      <c r="R98" s="25">
        <v>1</v>
      </c>
      <c r="S98" s="25">
        <v>1</v>
      </c>
      <c r="T98" s="25">
        <v>1</v>
      </c>
      <c r="U98" s="25">
        <v>1</v>
      </c>
      <c r="V98" s="25">
        <v>1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25">
        <v>1</v>
      </c>
      <c r="AI98" s="25">
        <v>1</v>
      </c>
      <c r="AJ98" s="25">
        <v>35</v>
      </c>
    </row>
    <row r="99" spans="2:36" x14ac:dyDescent="0.25">
      <c r="B99" t="s">
        <v>64</v>
      </c>
      <c r="C99" t="s">
        <v>65</v>
      </c>
      <c r="D99" t="s">
        <v>20</v>
      </c>
      <c r="E99" t="s">
        <v>38</v>
      </c>
      <c r="F99" s="25"/>
      <c r="G99" s="25"/>
      <c r="H99" s="25">
        <v>11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>
        <v>11</v>
      </c>
    </row>
    <row r="100" spans="2:36" x14ac:dyDescent="0.25">
      <c r="E100" t="s">
        <v>24</v>
      </c>
      <c r="F100" s="25"/>
      <c r="G100" s="25"/>
      <c r="H100" s="25"/>
      <c r="I100" s="25">
        <v>8</v>
      </c>
      <c r="J100" s="25">
        <v>8</v>
      </c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>
        <v>16</v>
      </c>
    </row>
    <row r="101" spans="2:36" x14ac:dyDescent="0.25">
      <c r="E101" t="s">
        <v>30</v>
      </c>
      <c r="F101" s="25"/>
      <c r="G101" s="25"/>
      <c r="H101" s="25"/>
      <c r="I101" s="25"/>
      <c r="J101" s="25"/>
      <c r="K101" s="25">
        <v>1</v>
      </c>
      <c r="L101" s="25">
        <v>1</v>
      </c>
      <c r="M101" s="25"/>
      <c r="N101" s="25"/>
      <c r="O101" s="25"/>
      <c r="P101" s="25"/>
      <c r="Q101" s="25"/>
      <c r="R101" s="25">
        <v>1</v>
      </c>
      <c r="S101" s="25">
        <v>1</v>
      </c>
      <c r="T101" s="25"/>
      <c r="U101" s="25"/>
      <c r="V101" s="25"/>
      <c r="W101" s="25"/>
      <c r="X101" s="25"/>
      <c r="Y101" s="25">
        <v>1</v>
      </c>
      <c r="Z101" s="25">
        <v>1</v>
      </c>
      <c r="AA101" s="25"/>
      <c r="AB101" s="25"/>
      <c r="AC101" s="25"/>
      <c r="AD101" s="25"/>
      <c r="AE101" s="25"/>
      <c r="AF101" s="25">
        <v>1</v>
      </c>
      <c r="AG101" s="25">
        <v>1</v>
      </c>
      <c r="AH101" s="25"/>
      <c r="AI101" s="25"/>
      <c r="AJ101" s="25">
        <v>8</v>
      </c>
    </row>
    <row r="102" spans="2:36" x14ac:dyDescent="0.25">
      <c r="E102" t="s">
        <v>29</v>
      </c>
      <c r="F102" s="25"/>
      <c r="G102" s="25"/>
      <c r="H102" s="25"/>
      <c r="I102" s="25"/>
      <c r="J102" s="25"/>
      <c r="K102" s="25"/>
      <c r="L102" s="25"/>
      <c r="M102" s="25">
        <v>8</v>
      </c>
      <c r="N102" s="25">
        <v>8</v>
      </c>
      <c r="O102" s="25">
        <v>8</v>
      </c>
      <c r="P102" s="25">
        <v>8</v>
      </c>
      <c r="Q102" s="25">
        <v>8</v>
      </c>
      <c r="R102" s="25"/>
      <c r="S102" s="25"/>
      <c r="T102" s="25">
        <v>8</v>
      </c>
      <c r="U102" s="25">
        <v>8</v>
      </c>
      <c r="V102" s="25">
        <v>8</v>
      </c>
      <c r="W102" s="25">
        <v>8</v>
      </c>
      <c r="X102" s="25">
        <v>8</v>
      </c>
      <c r="Y102" s="25"/>
      <c r="Z102" s="25"/>
      <c r="AA102" s="25">
        <v>8</v>
      </c>
      <c r="AB102" s="25">
        <v>8</v>
      </c>
      <c r="AC102" s="25">
        <v>8</v>
      </c>
      <c r="AD102" s="25">
        <v>8</v>
      </c>
      <c r="AE102" s="25">
        <v>8</v>
      </c>
      <c r="AF102" s="25"/>
      <c r="AG102" s="25"/>
      <c r="AH102" s="25">
        <v>8</v>
      </c>
      <c r="AI102" s="25">
        <v>8</v>
      </c>
      <c r="AJ102" s="25">
        <v>136</v>
      </c>
    </row>
    <row r="103" spans="2:36" x14ac:dyDescent="0.25">
      <c r="E103" t="s">
        <v>10</v>
      </c>
      <c r="F103" s="25">
        <v>11</v>
      </c>
      <c r="G103" s="25">
        <v>11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>
        <v>22</v>
      </c>
    </row>
    <row r="104" spans="2:36" x14ac:dyDescent="0.25">
      <c r="B104" t="s">
        <v>69</v>
      </c>
      <c r="C104" t="s">
        <v>69</v>
      </c>
      <c r="D104" t="s">
        <v>20</v>
      </c>
      <c r="E104" t="s">
        <v>24</v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>
        <v>8</v>
      </c>
      <c r="AB104" s="25">
        <v>8</v>
      </c>
      <c r="AC104" s="25">
        <v>8</v>
      </c>
      <c r="AD104" s="25">
        <v>8</v>
      </c>
      <c r="AE104" s="25">
        <v>8</v>
      </c>
      <c r="AF104" s="25"/>
      <c r="AG104" s="25"/>
      <c r="AH104" s="25"/>
      <c r="AI104" s="25"/>
      <c r="AJ104" s="25">
        <v>40</v>
      </c>
    </row>
    <row r="105" spans="2:36" x14ac:dyDescent="0.25">
      <c r="E105" t="s">
        <v>30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>
        <v>1</v>
      </c>
      <c r="AG105" s="25">
        <v>1</v>
      </c>
      <c r="AH105" s="25"/>
      <c r="AI105" s="25"/>
      <c r="AJ105" s="25">
        <v>2</v>
      </c>
    </row>
    <row r="106" spans="2:36" x14ac:dyDescent="0.25">
      <c r="E106" t="s">
        <v>29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>
        <v>8</v>
      </c>
      <c r="AI106" s="25">
        <v>8</v>
      </c>
      <c r="AJ106" s="25">
        <v>16</v>
      </c>
    </row>
    <row r="107" spans="2:36" x14ac:dyDescent="0.25">
      <c r="E107" t="s">
        <v>10</v>
      </c>
      <c r="F107" s="25">
        <v>41</v>
      </c>
      <c r="G107" s="25">
        <v>39</v>
      </c>
      <c r="H107" s="25">
        <v>35</v>
      </c>
      <c r="I107" s="25">
        <v>44</v>
      </c>
      <c r="J107" s="25">
        <v>44</v>
      </c>
      <c r="K107" s="25">
        <v>44</v>
      </c>
      <c r="L107" s="25">
        <v>33</v>
      </c>
      <c r="M107" s="25">
        <v>33</v>
      </c>
      <c r="N107" s="25">
        <v>36</v>
      </c>
      <c r="O107" s="25">
        <v>33</v>
      </c>
      <c r="P107" s="25">
        <v>38</v>
      </c>
      <c r="Q107" s="25">
        <v>33</v>
      </c>
      <c r="R107" s="25">
        <v>33</v>
      </c>
      <c r="S107" s="25">
        <v>44</v>
      </c>
      <c r="T107" s="25">
        <v>44</v>
      </c>
      <c r="U107" s="25">
        <v>36</v>
      </c>
      <c r="V107" s="25">
        <v>33</v>
      </c>
      <c r="W107" s="25">
        <v>37</v>
      </c>
      <c r="X107" s="25">
        <v>36</v>
      </c>
      <c r="Y107" s="25">
        <v>33</v>
      </c>
      <c r="Z107" s="25">
        <v>33</v>
      </c>
      <c r="AA107" s="25">
        <v>22</v>
      </c>
      <c r="AB107" s="25">
        <v>22</v>
      </c>
      <c r="AC107" s="25">
        <v>22</v>
      </c>
      <c r="AD107" s="25">
        <v>22</v>
      </c>
      <c r="AE107" s="25">
        <v>22</v>
      </c>
      <c r="AF107" s="25">
        <v>22</v>
      </c>
      <c r="AG107" s="25">
        <v>22</v>
      </c>
      <c r="AH107" s="25">
        <v>22</v>
      </c>
      <c r="AI107" s="25">
        <v>22</v>
      </c>
      <c r="AJ107" s="25">
        <v>980</v>
      </c>
    </row>
    <row r="108" spans="2:36" x14ac:dyDescent="0.25">
      <c r="B108" t="s">
        <v>71</v>
      </c>
      <c r="C108" t="s">
        <v>71</v>
      </c>
      <c r="D108" t="s">
        <v>20</v>
      </c>
      <c r="E108" t="s">
        <v>24</v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>
        <v>8</v>
      </c>
      <c r="U108" s="25">
        <v>8</v>
      </c>
      <c r="V108" s="25">
        <v>8</v>
      </c>
      <c r="W108" s="25">
        <v>8</v>
      </c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>
        <v>32</v>
      </c>
    </row>
    <row r="109" spans="2:36" x14ac:dyDescent="0.25">
      <c r="E109" t="s">
        <v>30</v>
      </c>
      <c r="F109" s="25"/>
      <c r="G109" s="25"/>
      <c r="H109" s="25"/>
      <c r="I109" s="25"/>
      <c r="J109" s="25"/>
      <c r="K109" s="25">
        <v>1</v>
      </c>
      <c r="L109" s="25">
        <v>1</v>
      </c>
      <c r="M109" s="25"/>
      <c r="N109" s="25"/>
      <c r="O109" s="25"/>
      <c r="P109" s="25"/>
      <c r="Q109" s="25"/>
      <c r="R109" s="25">
        <v>1</v>
      </c>
      <c r="S109" s="25">
        <v>1</v>
      </c>
      <c r="T109" s="25"/>
      <c r="U109" s="25"/>
      <c r="V109" s="25"/>
      <c r="W109" s="25"/>
      <c r="X109" s="25"/>
      <c r="Y109" s="25">
        <v>1</v>
      </c>
      <c r="Z109" s="25">
        <v>1</v>
      </c>
      <c r="AA109" s="25"/>
      <c r="AB109" s="25"/>
      <c r="AC109" s="25"/>
      <c r="AD109" s="25"/>
      <c r="AE109" s="25"/>
      <c r="AF109" s="25">
        <v>1</v>
      </c>
      <c r="AG109" s="25">
        <v>1</v>
      </c>
      <c r="AH109" s="25"/>
      <c r="AI109" s="25"/>
      <c r="AJ109" s="25">
        <v>8</v>
      </c>
    </row>
    <row r="110" spans="2:36" x14ac:dyDescent="0.25">
      <c r="E110" t="s">
        <v>29</v>
      </c>
      <c r="F110" s="25">
        <v>8</v>
      </c>
      <c r="G110" s="25">
        <v>8</v>
      </c>
      <c r="H110" s="25">
        <v>8</v>
      </c>
      <c r="I110" s="25">
        <v>8</v>
      </c>
      <c r="J110" s="25">
        <v>8</v>
      </c>
      <c r="K110" s="25"/>
      <c r="L110" s="25"/>
      <c r="M110" s="25">
        <v>8</v>
      </c>
      <c r="N110" s="25">
        <v>8</v>
      </c>
      <c r="O110" s="25">
        <v>8</v>
      </c>
      <c r="P110" s="25">
        <v>8</v>
      </c>
      <c r="Q110" s="25">
        <v>8</v>
      </c>
      <c r="R110" s="25"/>
      <c r="S110" s="25"/>
      <c r="T110" s="25">
        <v>8</v>
      </c>
      <c r="U110" s="25">
        <v>8</v>
      </c>
      <c r="V110" s="25">
        <v>8</v>
      </c>
      <c r="W110" s="25">
        <v>8</v>
      </c>
      <c r="X110" s="25">
        <v>8</v>
      </c>
      <c r="Y110" s="25"/>
      <c r="Z110" s="25"/>
      <c r="AA110" s="25">
        <v>8</v>
      </c>
      <c r="AB110" s="25">
        <v>8</v>
      </c>
      <c r="AC110" s="25">
        <v>8</v>
      </c>
      <c r="AD110" s="25">
        <v>8</v>
      </c>
      <c r="AE110" s="25">
        <v>8</v>
      </c>
      <c r="AF110" s="25"/>
      <c r="AG110" s="25"/>
      <c r="AH110" s="25">
        <v>8</v>
      </c>
      <c r="AI110" s="25">
        <v>8</v>
      </c>
      <c r="AJ110" s="25">
        <v>176</v>
      </c>
    </row>
    <row r="111" spans="2:36" x14ac:dyDescent="0.25">
      <c r="E111" t="s">
        <v>10</v>
      </c>
      <c r="F111" s="25">
        <v>52</v>
      </c>
      <c r="G111" s="25">
        <v>50</v>
      </c>
      <c r="H111" s="25">
        <v>46</v>
      </c>
      <c r="I111" s="25">
        <v>55</v>
      </c>
      <c r="J111" s="25">
        <v>55</v>
      </c>
      <c r="K111" s="25">
        <v>55</v>
      </c>
      <c r="L111" s="25">
        <v>44</v>
      </c>
      <c r="M111" s="25">
        <v>48</v>
      </c>
      <c r="N111" s="25">
        <v>47</v>
      </c>
      <c r="O111" s="25">
        <v>46</v>
      </c>
      <c r="P111" s="25">
        <v>49</v>
      </c>
      <c r="Q111" s="25">
        <v>46</v>
      </c>
      <c r="R111" s="25">
        <v>47</v>
      </c>
      <c r="S111" s="25">
        <v>55</v>
      </c>
      <c r="T111" s="25">
        <v>44</v>
      </c>
      <c r="U111" s="25">
        <v>36</v>
      </c>
      <c r="V111" s="25">
        <v>35</v>
      </c>
      <c r="W111" s="25">
        <v>37</v>
      </c>
      <c r="X111" s="25">
        <v>47</v>
      </c>
      <c r="Y111" s="25">
        <v>48</v>
      </c>
      <c r="Z111" s="25">
        <v>48</v>
      </c>
      <c r="AA111" s="25">
        <v>44</v>
      </c>
      <c r="AB111" s="25">
        <v>44</v>
      </c>
      <c r="AC111" s="25">
        <v>44</v>
      </c>
      <c r="AD111" s="25">
        <v>44</v>
      </c>
      <c r="AE111" s="25">
        <v>52</v>
      </c>
      <c r="AF111" s="25">
        <v>44</v>
      </c>
      <c r="AG111" s="25">
        <v>44</v>
      </c>
      <c r="AH111" s="25">
        <v>44</v>
      </c>
      <c r="AI111" s="25">
        <v>49</v>
      </c>
      <c r="AJ111" s="25">
        <v>1399</v>
      </c>
    </row>
    <row r="112" spans="2:36" x14ac:dyDescent="0.25">
      <c r="B112" t="s">
        <v>77</v>
      </c>
      <c r="C112" t="s">
        <v>77</v>
      </c>
      <c r="D112" t="s">
        <v>20</v>
      </c>
      <c r="E112" t="s">
        <v>24</v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>
        <v>8</v>
      </c>
      <c r="AF112" s="25">
        <v>8</v>
      </c>
      <c r="AG112" s="25">
        <v>8</v>
      </c>
      <c r="AH112" s="25"/>
      <c r="AI112" s="25"/>
      <c r="AJ112" s="25">
        <v>24</v>
      </c>
    </row>
    <row r="113" spans="1:36" x14ac:dyDescent="0.25">
      <c r="E113" t="s">
        <v>30</v>
      </c>
      <c r="F113" s="25"/>
      <c r="G113" s="25"/>
      <c r="H113" s="25"/>
      <c r="I113" s="25"/>
      <c r="J113" s="25"/>
      <c r="K113" s="25">
        <v>1</v>
      </c>
      <c r="L113" s="25">
        <v>1</v>
      </c>
      <c r="M113" s="25"/>
      <c r="N113" s="25"/>
      <c r="O113" s="25"/>
      <c r="P113" s="25"/>
      <c r="Q113" s="25"/>
      <c r="R113" s="25">
        <v>1</v>
      </c>
      <c r="S113" s="25">
        <v>1</v>
      </c>
      <c r="T113" s="25"/>
      <c r="U113" s="25"/>
      <c r="V113" s="25"/>
      <c r="W113" s="25"/>
      <c r="X113" s="25"/>
      <c r="Y113" s="25">
        <v>1</v>
      </c>
      <c r="Z113" s="25">
        <v>1</v>
      </c>
      <c r="AA113" s="25"/>
      <c r="AB113" s="25"/>
      <c r="AC113" s="25"/>
      <c r="AD113" s="25"/>
      <c r="AE113" s="25"/>
      <c r="AF113" s="25"/>
      <c r="AG113" s="25"/>
      <c r="AH113" s="25"/>
      <c r="AI113" s="25"/>
      <c r="AJ113" s="25">
        <v>6</v>
      </c>
    </row>
    <row r="114" spans="1:36" x14ac:dyDescent="0.25">
      <c r="E114" t="s">
        <v>29</v>
      </c>
      <c r="F114" s="25">
        <v>8</v>
      </c>
      <c r="G114" s="25">
        <v>8</v>
      </c>
      <c r="H114" s="25">
        <v>8</v>
      </c>
      <c r="I114" s="25">
        <v>8</v>
      </c>
      <c r="J114" s="25">
        <v>8</v>
      </c>
      <c r="K114" s="25"/>
      <c r="L114" s="25"/>
      <c r="M114" s="25">
        <v>8</v>
      </c>
      <c r="N114" s="25">
        <v>8</v>
      </c>
      <c r="O114" s="25">
        <v>8</v>
      </c>
      <c r="P114" s="25">
        <v>8</v>
      </c>
      <c r="Q114" s="25">
        <v>8</v>
      </c>
      <c r="R114" s="25"/>
      <c r="S114" s="25"/>
      <c r="T114" s="25">
        <v>8</v>
      </c>
      <c r="U114" s="25">
        <v>8</v>
      </c>
      <c r="V114" s="25">
        <v>8</v>
      </c>
      <c r="W114" s="25">
        <v>8</v>
      </c>
      <c r="X114" s="25">
        <v>8</v>
      </c>
      <c r="Y114" s="25"/>
      <c r="Z114" s="25"/>
      <c r="AA114" s="25">
        <v>8</v>
      </c>
      <c r="AB114" s="25">
        <v>8</v>
      </c>
      <c r="AC114" s="25">
        <v>8</v>
      </c>
      <c r="AD114" s="25">
        <v>8</v>
      </c>
      <c r="AE114" s="25"/>
      <c r="AF114" s="25"/>
      <c r="AG114" s="25"/>
      <c r="AH114" s="25"/>
      <c r="AI114" s="25"/>
      <c r="AJ114" s="25">
        <v>152</v>
      </c>
    </row>
    <row r="115" spans="1:36" x14ac:dyDescent="0.25">
      <c r="E115" t="s">
        <v>10</v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>
        <v>11</v>
      </c>
      <c r="AI115" s="25">
        <v>11</v>
      </c>
      <c r="AJ115" s="25">
        <v>22</v>
      </c>
    </row>
    <row r="116" spans="1:36" x14ac:dyDescent="0.25">
      <c r="B116" t="s">
        <v>79</v>
      </c>
      <c r="C116" t="s">
        <v>9</v>
      </c>
      <c r="D116" t="s">
        <v>20</v>
      </c>
      <c r="E116" t="s">
        <v>24</v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>
        <v>8</v>
      </c>
      <c r="W116" s="25">
        <v>8</v>
      </c>
      <c r="X116" s="25">
        <v>8</v>
      </c>
      <c r="Y116" s="25">
        <v>8</v>
      </c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>
        <v>32</v>
      </c>
    </row>
    <row r="117" spans="1:36" x14ac:dyDescent="0.25">
      <c r="E117" t="s">
        <v>10</v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>
        <v>11</v>
      </c>
      <c r="AA117" s="25">
        <v>11</v>
      </c>
      <c r="AB117" s="25">
        <v>11</v>
      </c>
      <c r="AC117" s="25">
        <v>11</v>
      </c>
      <c r="AD117" s="25">
        <v>11</v>
      </c>
      <c r="AE117" s="25">
        <v>11</v>
      </c>
      <c r="AF117" s="25">
        <v>11</v>
      </c>
      <c r="AG117" s="25">
        <v>11</v>
      </c>
      <c r="AH117" s="25">
        <v>11</v>
      </c>
      <c r="AI117" s="25">
        <v>11</v>
      </c>
      <c r="AJ117" s="25">
        <v>110</v>
      </c>
    </row>
    <row r="118" spans="1:36" x14ac:dyDescent="0.25">
      <c r="C118" t="s">
        <v>79</v>
      </c>
      <c r="D118" t="s">
        <v>20</v>
      </c>
      <c r="E118" t="s">
        <v>30</v>
      </c>
      <c r="F118" s="25"/>
      <c r="G118" s="25"/>
      <c r="H118" s="25"/>
      <c r="I118" s="25"/>
      <c r="J118" s="25"/>
      <c r="K118" s="25">
        <v>1</v>
      </c>
      <c r="L118" s="25">
        <v>1</v>
      </c>
      <c r="M118" s="25"/>
      <c r="N118" s="25"/>
      <c r="O118" s="25"/>
      <c r="P118" s="25"/>
      <c r="Q118" s="25"/>
      <c r="R118" s="25">
        <v>1</v>
      </c>
      <c r="S118" s="25">
        <v>1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>
        <v>4</v>
      </c>
    </row>
    <row r="119" spans="1:36" x14ac:dyDescent="0.25">
      <c r="E119" t="s">
        <v>29</v>
      </c>
      <c r="F119" s="25">
        <v>8</v>
      </c>
      <c r="G119" s="25">
        <v>8</v>
      </c>
      <c r="H119" s="25">
        <v>8</v>
      </c>
      <c r="I119" s="25">
        <v>8</v>
      </c>
      <c r="J119" s="25">
        <v>8</v>
      </c>
      <c r="K119" s="25"/>
      <c r="L119" s="25"/>
      <c r="M119" s="25">
        <v>8</v>
      </c>
      <c r="N119" s="25">
        <v>8</v>
      </c>
      <c r="O119" s="25">
        <v>8</v>
      </c>
      <c r="P119" s="25">
        <v>8</v>
      </c>
      <c r="Q119" s="25">
        <v>8</v>
      </c>
      <c r="R119" s="25"/>
      <c r="S119" s="25"/>
      <c r="T119" s="25">
        <v>8</v>
      </c>
      <c r="U119" s="25">
        <v>8</v>
      </c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>
        <v>96</v>
      </c>
    </row>
    <row r="120" spans="1:36" x14ac:dyDescent="0.25">
      <c r="E120" t="s">
        <v>10</v>
      </c>
      <c r="F120" s="25">
        <v>11</v>
      </c>
      <c r="G120" s="25">
        <v>11</v>
      </c>
      <c r="H120" s="25">
        <v>11</v>
      </c>
      <c r="I120" s="25">
        <v>11</v>
      </c>
      <c r="J120" s="25">
        <v>11</v>
      </c>
      <c r="K120" s="25">
        <v>11</v>
      </c>
      <c r="L120" s="25">
        <v>11</v>
      </c>
      <c r="M120" s="25">
        <v>11</v>
      </c>
      <c r="N120" s="25">
        <v>11</v>
      </c>
      <c r="O120" s="25">
        <v>11</v>
      </c>
      <c r="P120" s="25">
        <v>11</v>
      </c>
      <c r="Q120" s="25">
        <v>11</v>
      </c>
      <c r="R120" s="25">
        <v>11</v>
      </c>
      <c r="S120" s="25">
        <v>11</v>
      </c>
      <c r="T120" s="25">
        <v>11</v>
      </c>
      <c r="U120" s="25">
        <v>11</v>
      </c>
      <c r="V120" s="25">
        <v>11</v>
      </c>
      <c r="W120" s="25">
        <v>11</v>
      </c>
      <c r="X120" s="25">
        <v>11</v>
      </c>
      <c r="Y120" s="25">
        <v>11</v>
      </c>
      <c r="Z120" s="25">
        <v>11</v>
      </c>
      <c r="AA120" s="25">
        <v>11</v>
      </c>
      <c r="AB120" s="25">
        <v>11</v>
      </c>
      <c r="AC120" s="25">
        <v>11</v>
      </c>
      <c r="AD120" s="25">
        <v>11</v>
      </c>
      <c r="AE120" s="25">
        <v>11</v>
      </c>
      <c r="AF120" s="25">
        <v>11</v>
      </c>
      <c r="AG120" s="25">
        <v>11</v>
      </c>
      <c r="AH120" s="25">
        <v>11</v>
      </c>
      <c r="AI120" s="25">
        <v>11</v>
      </c>
      <c r="AJ120" s="25">
        <v>330</v>
      </c>
    </row>
    <row r="121" spans="1:36" x14ac:dyDescent="0.25">
      <c r="A121">
        <v>1.2</v>
      </c>
      <c r="B121" t="s">
        <v>26</v>
      </c>
      <c r="C121" t="s">
        <v>26</v>
      </c>
      <c r="D121" t="s">
        <v>20</v>
      </c>
      <c r="E121" t="s">
        <v>10</v>
      </c>
      <c r="F121" s="25">
        <v>11</v>
      </c>
      <c r="G121" s="25">
        <v>11</v>
      </c>
      <c r="H121" s="25">
        <v>11</v>
      </c>
      <c r="I121" s="25">
        <v>11</v>
      </c>
      <c r="J121" s="25">
        <v>11</v>
      </c>
      <c r="K121" s="25">
        <v>11</v>
      </c>
      <c r="L121" s="25">
        <v>11</v>
      </c>
      <c r="M121" s="25">
        <v>11</v>
      </c>
      <c r="N121" s="25">
        <v>11</v>
      </c>
      <c r="O121" s="25">
        <v>11</v>
      </c>
      <c r="P121" s="25">
        <v>11</v>
      </c>
      <c r="Q121" s="25">
        <v>11</v>
      </c>
      <c r="R121" s="25">
        <v>11</v>
      </c>
      <c r="S121" s="25">
        <v>11</v>
      </c>
      <c r="T121" s="25">
        <v>11</v>
      </c>
      <c r="U121" s="25">
        <v>11</v>
      </c>
      <c r="V121" s="25">
        <v>11</v>
      </c>
      <c r="W121" s="25">
        <v>11</v>
      </c>
      <c r="X121" s="25">
        <v>11</v>
      </c>
      <c r="Y121" s="25">
        <v>11</v>
      </c>
      <c r="Z121" s="25">
        <v>11</v>
      </c>
      <c r="AA121" s="25">
        <v>11</v>
      </c>
      <c r="AB121" s="25">
        <v>11</v>
      </c>
      <c r="AC121" s="25">
        <v>11</v>
      </c>
      <c r="AD121" s="25">
        <v>11</v>
      </c>
      <c r="AE121" s="25">
        <v>11</v>
      </c>
      <c r="AF121" s="25">
        <v>11</v>
      </c>
      <c r="AG121" s="25">
        <v>11</v>
      </c>
      <c r="AH121" s="25">
        <v>11</v>
      </c>
      <c r="AI121" s="25">
        <v>11</v>
      </c>
      <c r="AJ121" s="25">
        <v>330</v>
      </c>
    </row>
    <row r="122" spans="1:36" x14ac:dyDescent="0.25">
      <c r="B122" t="s">
        <v>35</v>
      </c>
      <c r="C122" t="s">
        <v>36</v>
      </c>
      <c r="D122" t="s">
        <v>20</v>
      </c>
      <c r="E122" t="s">
        <v>10</v>
      </c>
      <c r="F122" s="25"/>
      <c r="G122" s="25"/>
      <c r="H122" s="25"/>
      <c r="I122" s="25"/>
      <c r="J122" s="25">
        <v>11</v>
      </c>
      <c r="K122" s="25">
        <v>11</v>
      </c>
      <c r="L122" s="25">
        <v>11</v>
      </c>
      <c r="M122" s="25">
        <v>11</v>
      </c>
      <c r="N122" s="25">
        <v>11</v>
      </c>
      <c r="O122" s="25">
        <v>11</v>
      </c>
      <c r="P122" s="25">
        <v>11</v>
      </c>
      <c r="Q122" s="25">
        <v>11</v>
      </c>
      <c r="R122" s="25">
        <v>11</v>
      </c>
      <c r="S122" s="25">
        <v>11</v>
      </c>
      <c r="T122" s="25">
        <v>22</v>
      </c>
      <c r="U122" s="25">
        <v>22</v>
      </c>
      <c r="V122" s="25">
        <v>11</v>
      </c>
      <c r="W122" s="25">
        <v>11</v>
      </c>
      <c r="X122" s="25">
        <v>11</v>
      </c>
      <c r="Y122" s="25">
        <v>11</v>
      </c>
      <c r="Z122" s="25">
        <v>11</v>
      </c>
      <c r="AA122" s="25">
        <v>11</v>
      </c>
      <c r="AB122" s="25">
        <v>11</v>
      </c>
      <c r="AC122" s="25">
        <v>11</v>
      </c>
      <c r="AD122" s="25">
        <v>11</v>
      </c>
      <c r="AE122" s="25">
        <v>11</v>
      </c>
      <c r="AF122" s="25">
        <v>11</v>
      </c>
      <c r="AG122" s="25">
        <v>11</v>
      </c>
      <c r="AH122" s="25">
        <v>11</v>
      </c>
      <c r="AI122" s="25">
        <v>11</v>
      </c>
      <c r="AJ122" s="25">
        <v>308</v>
      </c>
    </row>
    <row r="123" spans="1:36" x14ac:dyDescent="0.25">
      <c r="B123" t="s">
        <v>49</v>
      </c>
      <c r="C123" t="s">
        <v>51</v>
      </c>
      <c r="D123" t="s">
        <v>20</v>
      </c>
      <c r="E123" t="s">
        <v>38</v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>
        <v>11</v>
      </c>
      <c r="AB123" s="25"/>
      <c r="AC123" s="25"/>
      <c r="AD123" s="25"/>
      <c r="AE123" s="25"/>
      <c r="AF123" s="25"/>
      <c r="AG123" s="25"/>
      <c r="AH123" s="25"/>
      <c r="AI123" s="25"/>
      <c r="AJ123" s="25">
        <v>11</v>
      </c>
    </row>
    <row r="124" spans="1:36" x14ac:dyDescent="0.25">
      <c r="E124" t="s">
        <v>10</v>
      </c>
      <c r="F124" s="25">
        <v>11</v>
      </c>
      <c r="G124" s="25">
        <v>11</v>
      </c>
      <c r="H124" s="25">
        <v>11</v>
      </c>
      <c r="I124" s="25">
        <v>11</v>
      </c>
      <c r="J124" s="25">
        <v>11</v>
      </c>
      <c r="K124" s="25">
        <v>4</v>
      </c>
      <c r="L124" s="25"/>
      <c r="M124" s="25"/>
      <c r="N124" s="25">
        <v>11</v>
      </c>
      <c r="O124" s="25">
        <v>11</v>
      </c>
      <c r="P124" s="25">
        <v>11</v>
      </c>
      <c r="Q124" s="25">
        <v>11</v>
      </c>
      <c r="R124" s="25">
        <v>11</v>
      </c>
      <c r="S124" s="25">
        <v>11</v>
      </c>
      <c r="T124" s="25">
        <v>11</v>
      </c>
      <c r="U124" s="25">
        <v>11</v>
      </c>
      <c r="V124" s="25">
        <v>11</v>
      </c>
      <c r="W124" s="25"/>
      <c r="X124" s="25"/>
      <c r="Y124" s="25">
        <v>11</v>
      </c>
      <c r="Z124" s="25">
        <v>11</v>
      </c>
      <c r="AA124" s="25"/>
      <c r="AB124" s="25">
        <v>11</v>
      </c>
      <c r="AC124" s="25">
        <v>11</v>
      </c>
      <c r="AD124" s="25">
        <v>11</v>
      </c>
      <c r="AE124" s="25">
        <v>11</v>
      </c>
      <c r="AF124" s="25">
        <v>11</v>
      </c>
      <c r="AG124" s="25">
        <v>11</v>
      </c>
      <c r="AH124" s="25">
        <v>11</v>
      </c>
      <c r="AI124" s="25">
        <v>11</v>
      </c>
      <c r="AJ124" s="25">
        <v>268</v>
      </c>
    </row>
    <row r="125" spans="1:36" x14ac:dyDescent="0.25">
      <c r="E125" t="s">
        <v>23</v>
      </c>
      <c r="F125" s="25"/>
      <c r="G125" s="25"/>
      <c r="H125" s="25"/>
      <c r="I125" s="25"/>
      <c r="J125" s="25"/>
      <c r="K125" s="25"/>
      <c r="L125" s="25"/>
      <c r="M125" s="25">
        <v>11</v>
      </c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>
        <v>11</v>
      </c>
    </row>
    <row r="126" spans="1:36" x14ac:dyDescent="0.25">
      <c r="B126" t="s">
        <v>9</v>
      </c>
      <c r="C126" t="s">
        <v>9</v>
      </c>
      <c r="D126" t="s">
        <v>20</v>
      </c>
      <c r="E126" t="s">
        <v>10</v>
      </c>
      <c r="F126" s="25">
        <v>22</v>
      </c>
      <c r="G126" s="25">
        <v>22</v>
      </c>
      <c r="H126" s="25">
        <v>22</v>
      </c>
      <c r="I126" s="25">
        <v>22</v>
      </c>
      <c r="J126" s="25">
        <v>22</v>
      </c>
      <c r="K126" s="25">
        <v>22</v>
      </c>
      <c r="L126" s="25">
        <v>22</v>
      </c>
      <c r="M126" s="25">
        <v>22</v>
      </c>
      <c r="N126" s="25">
        <v>22</v>
      </c>
      <c r="O126" s="25">
        <v>22</v>
      </c>
      <c r="P126" s="25">
        <v>22</v>
      </c>
      <c r="Q126" s="25">
        <v>22</v>
      </c>
      <c r="R126" s="25">
        <v>22</v>
      </c>
      <c r="S126" s="25">
        <v>22</v>
      </c>
      <c r="T126" s="25">
        <v>22</v>
      </c>
      <c r="U126" s="25">
        <v>22</v>
      </c>
      <c r="V126" s="25">
        <v>22</v>
      </c>
      <c r="W126" s="25">
        <v>22</v>
      </c>
      <c r="X126" s="25">
        <v>22</v>
      </c>
      <c r="Y126" s="25">
        <v>22</v>
      </c>
      <c r="Z126" s="25">
        <v>22</v>
      </c>
      <c r="AA126" s="25">
        <v>22</v>
      </c>
      <c r="AB126" s="25">
        <v>22</v>
      </c>
      <c r="AC126" s="25">
        <v>22</v>
      </c>
      <c r="AD126" s="25">
        <v>22</v>
      </c>
      <c r="AE126" s="25">
        <v>22</v>
      </c>
      <c r="AF126" s="25">
        <v>22</v>
      </c>
      <c r="AG126" s="25">
        <v>11</v>
      </c>
      <c r="AH126" s="25">
        <v>11</v>
      </c>
      <c r="AI126" s="25">
        <v>11</v>
      </c>
      <c r="AJ126" s="25">
        <v>627</v>
      </c>
    </row>
    <row r="127" spans="1:36" x14ac:dyDescent="0.25">
      <c r="A127" t="s">
        <v>20</v>
      </c>
      <c r="B127" t="s">
        <v>12</v>
      </c>
      <c r="C127" t="s">
        <v>20</v>
      </c>
      <c r="D127" t="s">
        <v>20</v>
      </c>
      <c r="E127" t="s">
        <v>44</v>
      </c>
      <c r="F127" s="25">
        <v>1</v>
      </c>
      <c r="G127" s="25">
        <v>1</v>
      </c>
      <c r="H127" s="25">
        <v>1</v>
      </c>
      <c r="I127" s="25">
        <v>1</v>
      </c>
      <c r="J127" s="25">
        <v>1</v>
      </c>
      <c r="K127" s="25">
        <v>1</v>
      </c>
      <c r="L127" s="25">
        <v>1</v>
      </c>
      <c r="M127" s="25">
        <v>1</v>
      </c>
      <c r="N127" s="25">
        <v>1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>
        <v>9</v>
      </c>
    </row>
    <row r="128" spans="1:36" x14ac:dyDescent="0.25">
      <c r="E128" t="s">
        <v>52</v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>
        <v>1</v>
      </c>
      <c r="P128" s="25">
        <v>1</v>
      </c>
      <c r="Q128" s="25">
        <v>1</v>
      </c>
      <c r="R128" s="25">
        <v>1</v>
      </c>
      <c r="S128" s="25">
        <v>1</v>
      </c>
      <c r="T128" s="25">
        <v>1</v>
      </c>
      <c r="U128" s="25">
        <v>1</v>
      </c>
      <c r="V128" s="25">
        <v>1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B128" s="25">
        <v>1</v>
      </c>
      <c r="AC128" s="25">
        <v>1</v>
      </c>
      <c r="AD128" s="25">
        <v>1</v>
      </c>
      <c r="AE128" s="25">
        <v>1</v>
      </c>
      <c r="AF128" s="25">
        <v>1</v>
      </c>
      <c r="AG128" s="25">
        <v>1</v>
      </c>
      <c r="AH128" s="25">
        <v>1</v>
      </c>
      <c r="AI128" s="25">
        <v>1</v>
      </c>
      <c r="AJ128" s="25">
        <v>21</v>
      </c>
    </row>
    <row r="129" spans="1:36" x14ac:dyDescent="0.25">
      <c r="B129" t="s">
        <v>32</v>
      </c>
      <c r="C129" t="s">
        <v>31</v>
      </c>
      <c r="D129" t="s">
        <v>20</v>
      </c>
      <c r="E129" t="s">
        <v>30</v>
      </c>
      <c r="F129" s="25"/>
      <c r="G129" s="25"/>
      <c r="H129" s="25"/>
      <c r="I129" s="25"/>
      <c r="J129" s="25"/>
      <c r="K129" s="25">
        <v>1</v>
      </c>
      <c r="L129" s="25">
        <v>1</v>
      </c>
      <c r="M129" s="25"/>
      <c r="N129" s="25"/>
      <c r="O129" s="25"/>
      <c r="P129" s="25"/>
      <c r="Q129" s="25"/>
      <c r="R129" s="25">
        <v>1</v>
      </c>
      <c r="S129" s="25">
        <v>1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>
        <v>4</v>
      </c>
    </row>
    <row r="130" spans="1:36" x14ac:dyDescent="0.25">
      <c r="E130" t="s">
        <v>29</v>
      </c>
      <c r="F130" s="25">
        <v>8</v>
      </c>
      <c r="G130" s="25">
        <v>8</v>
      </c>
      <c r="H130" s="25">
        <v>8</v>
      </c>
      <c r="I130" s="25">
        <v>8</v>
      </c>
      <c r="J130" s="25">
        <v>8</v>
      </c>
      <c r="K130" s="25"/>
      <c r="L130" s="25"/>
      <c r="M130" s="25">
        <v>8</v>
      </c>
      <c r="N130" s="25">
        <v>8</v>
      </c>
      <c r="O130" s="25">
        <v>8</v>
      </c>
      <c r="P130" s="25">
        <v>8</v>
      </c>
      <c r="Q130" s="25">
        <v>8</v>
      </c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>
        <v>80</v>
      </c>
    </row>
    <row r="131" spans="1:36" x14ac:dyDescent="0.25">
      <c r="B131" t="s">
        <v>71</v>
      </c>
      <c r="C131" t="s">
        <v>71</v>
      </c>
      <c r="D131" t="s">
        <v>20</v>
      </c>
      <c r="E131" t="s">
        <v>24</v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>
        <v>8</v>
      </c>
      <c r="AH131" s="25">
        <v>8</v>
      </c>
      <c r="AI131" s="25">
        <v>8</v>
      </c>
      <c r="AJ131" s="25">
        <v>24</v>
      </c>
    </row>
    <row r="132" spans="1:36" x14ac:dyDescent="0.25">
      <c r="E132" t="s">
        <v>10</v>
      </c>
      <c r="F132" s="25">
        <v>19</v>
      </c>
      <c r="G132" s="25">
        <v>11</v>
      </c>
      <c r="H132" s="25">
        <v>11</v>
      </c>
      <c r="I132" s="25">
        <v>11</v>
      </c>
      <c r="J132" s="25">
        <v>11</v>
      </c>
      <c r="K132" s="25">
        <v>11</v>
      </c>
      <c r="L132" s="25">
        <v>11</v>
      </c>
      <c r="M132" s="25">
        <v>11</v>
      </c>
      <c r="N132" s="25">
        <v>11</v>
      </c>
      <c r="O132" s="25">
        <v>11</v>
      </c>
      <c r="P132" s="25">
        <v>11</v>
      </c>
      <c r="Q132" s="25">
        <v>11</v>
      </c>
      <c r="R132" s="25">
        <v>11</v>
      </c>
      <c r="S132" s="25">
        <v>11</v>
      </c>
      <c r="T132" s="25">
        <v>11</v>
      </c>
      <c r="U132" s="25">
        <v>11</v>
      </c>
      <c r="V132" s="25">
        <v>11</v>
      </c>
      <c r="W132" s="25">
        <v>11</v>
      </c>
      <c r="X132" s="25">
        <v>11</v>
      </c>
      <c r="Y132" s="25">
        <v>16</v>
      </c>
      <c r="Z132" s="25">
        <v>11</v>
      </c>
      <c r="AA132" s="25">
        <v>11</v>
      </c>
      <c r="AB132" s="25">
        <v>11</v>
      </c>
      <c r="AC132" s="25">
        <v>11</v>
      </c>
      <c r="AD132" s="25">
        <v>11</v>
      </c>
      <c r="AE132" s="25">
        <v>11</v>
      </c>
      <c r="AF132" s="25">
        <v>11</v>
      </c>
      <c r="AG132" s="25"/>
      <c r="AH132" s="25"/>
      <c r="AI132" s="25"/>
      <c r="AJ132" s="25">
        <v>310</v>
      </c>
    </row>
    <row r="133" spans="1:36" x14ac:dyDescent="0.25">
      <c r="B133" t="s">
        <v>77</v>
      </c>
      <c r="C133" t="s">
        <v>77</v>
      </c>
      <c r="D133" t="s">
        <v>20</v>
      </c>
      <c r="E133" t="s">
        <v>10</v>
      </c>
      <c r="F133" s="25">
        <v>11</v>
      </c>
      <c r="G133" s="25">
        <v>11</v>
      </c>
      <c r="H133" s="25">
        <v>11</v>
      </c>
      <c r="I133" s="25">
        <v>11</v>
      </c>
      <c r="J133" s="25">
        <v>11</v>
      </c>
      <c r="K133" s="25">
        <v>11</v>
      </c>
      <c r="L133" s="25">
        <v>11</v>
      </c>
      <c r="M133" s="25">
        <v>11</v>
      </c>
      <c r="N133" s="25">
        <v>11</v>
      </c>
      <c r="O133" s="25">
        <v>11</v>
      </c>
      <c r="P133" s="25">
        <v>11</v>
      </c>
      <c r="Q133" s="25">
        <v>11</v>
      </c>
      <c r="R133" s="25">
        <v>11</v>
      </c>
      <c r="S133" s="25">
        <v>11</v>
      </c>
      <c r="T133" s="25">
        <v>11</v>
      </c>
      <c r="U133" s="25">
        <v>11</v>
      </c>
      <c r="V133" s="25">
        <v>11</v>
      </c>
      <c r="W133" s="25">
        <v>11</v>
      </c>
      <c r="X133" s="25">
        <v>11</v>
      </c>
      <c r="Y133" s="25">
        <v>11</v>
      </c>
      <c r="Z133" s="25">
        <v>11</v>
      </c>
      <c r="AA133" s="25">
        <v>11</v>
      </c>
      <c r="AB133" s="25">
        <v>11</v>
      </c>
      <c r="AC133" s="25">
        <v>11</v>
      </c>
      <c r="AD133" s="25">
        <v>11</v>
      </c>
      <c r="AE133" s="25">
        <v>11</v>
      </c>
      <c r="AF133" s="25">
        <v>11</v>
      </c>
      <c r="AG133" s="25">
        <v>11</v>
      </c>
      <c r="AH133" s="25">
        <v>11</v>
      </c>
      <c r="AI133" s="25">
        <v>11</v>
      </c>
      <c r="AJ133" s="25">
        <v>330</v>
      </c>
    </row>
    <row r="134" spans="1:36" x14ac:dyDescent="0.25">
      <c r="B134" t="s">
        <v>94</v>
      </c>
      <c r="C134" t="s">
        <v>94</v>
      </c>
      <c r="D134" t="s">
        <v>20</v>
      </c>
      <c r="E134" t="s">
        <v>24</v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>
        <v>8</v>
      </c>
      <c r="V134" s="25">
        <v>8</v>
      </c>
      <c r="W134" s="25">
        <v>8</v>
      </c>
      <c r="X134" s="25">
        <v>8</v>
      </c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>
        <v>32</v>
      </c>
    </row>
    <row r="135" spans="1:36" x14ac:dyDescent="0.25">
      <c r="E135" t="s">
        <v>10</v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>
        <v>11</v>
      </c>
      <c r="Z135" s="25">
        <v>11</v>
      </c>
      <c r="AA135" s="25">
        <v>11</v>
      </c>
      <c r="AB135" s="25">
        <v>11</v>
      </c>
      <c r="AC135" s="25">
        <v>11</v>
      </c>
      <c r="AD135" s="25">
        <v>11</v>
      </c>
      <c r="AE135" s="25">
        <v>11</v>
      </c>
      <c r="AF135" s="25">
        <v>11</v>
      </c>
      <c r="AG135" s="25">
        <v>11</v>
      </c>
      <c r="AH135" s="25">
        <v>11</v>
      </c>
      <c r="AI135" s="25">
        <v>11</v>
      </c>
      <c r="AJ135" s="25">
        <v>121</v>
      </c>
    </row>
    <row r="136" spans="1:36" x14ac:dyDescent="0.25">
      <c r="E136" t="s">
        <v>20</v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</row>
    <row r="137" spans="1:36" x14ac:dyDescent="0.25">
      <c r="A137" t="s">
        <v>17</v>
      </c>
      <c r="F137" s="25">
        <v>1393</v>
      </c>
      <c r="G137" s="25">
        <v>1386</v>
      </c>
      <c r="H137" s="25">
        <v>1312</v>
      </c>
      <c r="I137" s="25">
        <v>1392</v>
      </c>
      <c r="J137" s="25">
        <v>1440</v>
      </c>
      <c r="K137" s="25">
        <v>1207</v>
      </c>
      <c r="L137" s="25">
        <v>1267</v>
      </c>
      <c r="M137" s="25">
        <v>1399</v>
      </c>
      <c r="N137" s="25">
        <v>1483</v>
      </c>
      <c r="O137" s="25">
        <v>1441</v>
      </c>
      <c r="P137" s="25">
        <v>1481</v>
      </c>
      <c r="Q137" s="25">
        <v>1464</v>
      </c>
      <c r="R137" s="25">
        <v>1304</v>
      </c>
      <c r="S137" s="25">
        <v>1256</v>
      </c>
      <c r="T137" s="25">
        <v>1471</v>
      </c>
      <c r="U137" s="25">
        <v>1465</v>
      </c>
      <c r="V137" s="25">
        <v>1486</v>
      </c>
      <c r="W137" s="25">
        <v>1488</v>
      </c>
      <c r="X137" s="25">
        <v>1511</v>
      </c>
      <c r="Y137" s="25">
        <v>1331</v>
      </c>
      <c r="Z137" s="25">
        <v>1239</v>
      </c>
      <c r="AA137" s="25">
        <v>1432</v>
      </c>
      <c r="AB137" s="25">
        <v>1359</v>
      </c>
      <c r="AC137" s="25">
        <v>1471</v>
      </c>
      <c r="AD137" s="25">
        <v>1471</v>
      </c>
      <c r="AE137" s="25">
        <v>1468</v>
      </c>
      <c r="AF137" s="25">
        <v>1152</v>
      </c>
      <c r="AG137" s="25">
        <v>1145</v>
      </c>
      <c r="AH137" s="25">
        <v>1420</v>
      </c>
      <c r="AI137" s="25">
        <v>1420</v>
      </c>
      <c r="AJ137" s="25">
        <v>41554</v>
      </c>
    </row>
  </sheetData>
  <pageMargins left="0.23622047244094491" right="0.23622047244094491" top="0.74803149606299213" bottom="0.74803149606299213" header="0.31496062992125984" footer="0.31496062992125984"/>
  <pageSetup paperSize="9" scale="60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4F7B-01C0-4D97-BECF-F998F2651356}">
  <sheetPr>
    <pageSetUpPr fitToPage="1"/>
  </sheetPr>
  <dimension ref="A1:P134"/>
  <sheetViews>
    <sheetView zoomScale="70" zoomScaleNormal="70" workbookViewId="0">
      <selection activeCell="G46" sqref="G46"/>
    </sheetView>
  </sheetViews>
  <sheetFormatPr defaultRowHeight="15" x14ac:dyDescent="0.25"/>
  <cols>
    <col min="1" max="1" width="35.42578125" bestFit="1" customWidth="1"/>
    <col min="2" max="2" width="19.7109375" customWidth="1"/>
    <col min="3" max="3" width="9.85546875" customWidth="1"/>
    <col min="4" max="6" width="12.42578125" bestFit="1" customWidth="1"/>
    <col min="7" max="7" width="27.7109375" customWidth="1"/>
    <col min="8" max="8" width="12.42578125" bestFit="1" customWidth="1"/>
    <col min="9" max="9" width="11.85546875" bestFit="1" customWidth="1"/>
    <col min="10" max="10" width="12.28515625" customWidth="1"/>
    <col min="11" max="11" width="15" customWidth="1"/>
    <col min="12" max="12" width="11.85546875" bestFit="1" customWidth="1"/>
    <col min="13" max="13" width="10.28515625" customWidth="1"/>
  </cols>
  <sheetData>
    <row r="1" spans="1:15" x14ac:dyDescent="0.25">
      <c r="A1" s="10" t="s">
        <v>27</v>
      </c>
      <c r="B1" s="6" t="s">
        <v>215</v>
      </c>
    </row>
    <row r="3" spans="1:15" x14ac:dyDescent="0.25">
      <c r="A3" s="10" t="s">
        <v>21</v>
      </c>
      <c r="B3" s="6"/>
      <c r="C3" s="6"/>
      <c r="D3" s="11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46.5" customHeight="1" x14ac:dyDescent="0.25">
      <c r="A4" s="10" t="s">
        <v>1</v>
      </c>
      <c r="B4" s="10" t="s">
        <v>8</v>
      </c>
      <c r="C4" s="10" t="s">
        <v>22</v>
      </c>
      <c r="D4" s="6" t="s">
        <v>38</v>
      </c>
      <c r="E4" s="2" t="s">
        <v>24</v>
      </c>
      <c r="F4" s="2" t="s">
        <v>30</v>
      </c>
      <c r="G4" s="2" t="s">
        <v>29</v>
      </c>
      <c r="H4" s="2" t="s">
        <v>10</v>
      </c>
      <c r="I4" s="2" t="s">
        <v>23</v>
      </c>
      <c r="J4" s="6" t="s">
        <v>20</v>
      </c>
      <c r="K4" s="6" t="s">
        <v>70</v>
      </c>
      <c r="L4" s="6" t="s">
        <v>44</v>
      </c>
      <c r="M4" s="6" t="s">
        <v>52</v>
      </c>
      <c r="N4" s="6" t="s">
        <v>50</v>
      </c>
      <c r="O4" s="2" t="s">
        <v>17</v>
      </c>
    </row>
    <row r="5" spans="1:15" x14ac:dyDescent="0.25">
      <c r="A5" s="6" t="s">
        <v>12</v>
      </c>
      <c r="B5" s="6">
        <v>1</v>
      </c>
      <c r="C5" s="6">
        <v>135000</v>
      </c>
      <c r="D5" s="26">
        <v>33</v>
      </c>
      <c r="E5" s="26"/>
      <c r="F5" s="26"/>
      <c r="G5" s="26"/>
      <c r="H5" s="26">
        <v>418</v>
      </c>
      <c r="I5" s="26">
        <v>11</v>
      </c>
      <c r="J5" s="26"/>
      <c r="K5" s="26"/>
      <c r="L5" s="26">
        <v>30</v>
      </c>
      <c r="M5" s="26"/>
      <c r="N5" s="26"/>
      <c r="O5" s="26">
        <v>492</v>
      </c>
    </row>
    <row r="6" spans="1:15" x14ac:dyDescent="0.25">
      <c r="A6" s="6"/>
      <c r="B6" s="6"/>
      <c r="C6" s="6">
        <v>145000</v>
      </c>
      <c r="D6" s="26">
        <v>330</v>
      </c>
      <c r="E6" s="26"/>
      <c r="F6" s="26"/>
      <c r="G6" s="26"/>
      <c r="H6" s="26">
        <v>1760</v>
      </c>
      <c r="I6" s="26">
        <v>55</v>
      </c>
      <c r="J6" s="26"/>
      <c r="K6" s="26"/>
      <c r="L6" s="26"/>
      <c r="M6" s="26"/>
      <c r="N6" s="26"/>
      <c r="O6" s="26">
        <v>2145</v>
      </c>
    </row>
    <row r="7" spans="1:15" x14ac:dyDescent="0.25">
      <c r="A7" s="6"/>
      <c r="B7" s="6"/>
      <c r="C7" s="6">
        <v>160000</v>
      </c>
      <c r="D7" s="26"/>
      <c r="E7" s="26"/>
      <c r="F7" s="26"/>
      <c r="G7" s="26"/>
      <c r="H7" s="26">
        <v>420</v>
      </c>
      <c r="I7" s="26"/>
      <c r="J7" s="26"/>
      <c r="K7" s="26"/>
      <c r="L7" s="26"/>
      <c r="M7" s="26"/>
      <c r="N7" s="26"/>
      <c r="O7" s="26">
        <v>420</v>
      </c>
    </row>
    <row r="8" spans="1:15" x14ac:dyDescent="0.25">
      <c r="A8" s="6"/>
      <c r="B8" s="6"/>
      <c r="C8" s="6">
        <v>162000</v>
      </c>
      <c r="D8" s="26">
        <v>132</v>
      </c>
      <c r="E8" s="26">
        <v>64</v>
      </c>
      <c r="F8" s="26">
        <v>21</v>
      </c>
      <c r="G8" s="26">
        <v>256</v>
      </c>
      <c r="H8" s="26">
        <v>5456</v>
      </c>
      <c r="I8" s="26">
        <v>143</v>
      </c>
      <c r="J8" s="26"/>
      <c r="K8" s="26"/>
      <c r="L8" s="26">
        <v>7</v>
      </c>
      <c r="M8" s="26"/>
      <c r="N8" s="26"/>
      <c r="O8" s="26">
        <v>6079</v>
      </c>
    </row>
    <row r="9" spans="1:15" x14ac:dyDescent="0.25">
      <c r="A9" s="6"/>
      <c r="B9" s="6"/>
      <c r="C9" s="6">
        <v>170000</v>
      </c>
      <c r="D9" s="26">
        <v>77</v>
      </c>
      <c r="E9" s="26">
        <v>128</v>
      </c>
      <c r="F9" s="26">
        <v>30</v>
      </c>
      <c r="G9" s="26">
        <v>256</v>
      </c>
      <c r="H9" s="26">
        <v>2459</v>
      </c>
      <c r="I9" s="26">
        <v>198</v>
      </c>
      <c r="J9" s="26"/>
      <c r="K9" s="26">
        <v>77</v>
      </c>
      <c r="L9" s="26"/>
      <c r="M9" s="26"/>
      <c r="N9" s="26">
        <v>33</v>
      </c>
      <c r="O9" s="26">
        <v>3258</v>
      </c>
    </row>
    <row r="10" spans="1:15" x14ac:dyDescent="0.25">
      <c r="A10" s="6"/>
      <c r="B10" s="6"/>
      <c r="C10" s="6">
        <v>174000</v>
      </c>
      <c r="D10" s="26">
        <v>88</v>
      </c>
      <c r="E10" s="26">
        <v>16</v>
      </c>
      <c r="F10" s="26"/>
      <c r="G10" s="26"/>
      <c r="H10" s="26">
        <v>748</v>
      </c>
      <c r="I10" s="26"/>
      <c r="J10" s="26"/>
      <c r="K10" s="26"/>
      <c r="L10" s="26"/>
      <c r="M10" s="26"/>
      <c r="N10" s="26"/>
      <c r="O10" s="26">
        <v>852</v>
      </c>
    </row>
    <row r="11" spans="1:15" x14ac:dyDescent="0.25">
      <c r="A11" s="6"/>
      <c r="B11" s="6"/>
      <c r="C11" s="6">
        <v>190000</v>
      </c>
      <c r="D11" s="26">
        <v>22</v>
      </c>
      <c r="E11" s="26">
        <v>120</v>
      </c>
      <c r="F11" s="26">
        <v>8</v>
      </c>
      <c r="G11" s="26">
        <v>176</v>
      </c>
      <c r="H11" s="26">
        <v>1143</v>
      </c>
      <c r="I11" s="26">
        <v>33</v>
      </c>
      <c r="J11" s="26"/>
      <c r="K11" s="26">
        <v>22</v>
      </c>
      <c r="L11" s="26"/>
      <c r="M11" s="26">
        <v>11</v>
      </c>
      <c r="N11" s="26">
        <v>143</v>
      </c>
      <c r="O11" s="26">
        <v>1678</v>
      </c>
    </row>
    <row r="12" spans="1:15" x14ac:dyDescent="0.25">
      <c r="A12" s="6"/>
      <c r="B12" s="6"/>
      <c r="C12" s="6">
        <v>100000</v>
      </c>
      <c r="D12" s="26"/>
      <c r="E12" s="26">
        <v>16</v>
      </c>
      <c r="F12" s="26"/>
      <c r="G12" s="26"/>
      <c r="H12" s="26">
        <v>374</v>
      </c>
      <c r="I12" s="26">
        <v>33</v>
      </c>
      <c r="J12" s="26"/>
      <c r="K12" s="26">
        <v>132</v>
      </c>
      <c r="L12" s="26"/>
      <c r="M12" s="26"/>
      <c r="N12" s="26"/>
      <c r="O12" s="26">
        <v>555</v>
      </c>
    </row>
    <row r="13" spans="1:15" x14ac:dyDescent="0.25">
      <c r="A13" s="6"/>
      <c r="B13" s="6" t="s">
        <v>20</v>
      </c>
      <c r="C13" s="6" t="s">
        <v>20</v>
      </c>
      <c r="D13" s="26"/>
      <c r="E13" s="26"/>
      <c r="F13" s="26"/>
      <c r="G13" s="26"/>
      <c r="H13" s="26"/>
      <c r="I13" s="26"/>
      <c r="J13" s="26"/>
      <c r="K13" s="26"/>
      <c r="L13" s="26">
        <v>9</v>
      </c>
      <c r="M13" s="26">
        <v>21</v>
      </c>
      <c r="N13" s="26"/>
      <c r="O13" s="26">
        <v>30</v>
      </c>
    </row>
    <row r="14" spans="1:15" x14ac:dyDescent="0.25">
      <c r="A14" s="6" t="s">
        <v>26</v>
      </c>
      <c r="B14" s="6">
        <v>1.2</v>
      </c>
      <c r="C14" s="6">
        <v>120000</v>
      </c>
      <c r="D14" s="26"/>
      <c r="E14" s="26"/>
      <c r="F14" s="26"/>
      <c r="G14" s="26"/>
      <c r="H14" s="26">
        <v>330</v>
      </c>
      <c r="I14" s="26"/>
      <c r="J14" s="26"/>
      <c r="K14" s="26"/>
      <c r="L14" s="26"/>
      <c r="M14" s="26"/>
      <c r="N14" s="26"/>
      <c r="O14" s="26">
        <v>330</v>
      </c>
    </row>
    <row r="15" spans="1:15" x14ac:dyDescent="0.25">
      <c r="A15" s="6" t="s">
        <v>32</v>
      </c>
      <c r="B15" s="6">
        <v>1</v>
      </c>
      <c r="C15" s="6">
        <v>200000</v>
      </c>
      <c r="D15" s="26"/>
      <c r="E15" s="26">
        <v>32</v>
      </c>
      <c r="F15" s="26">
        <v>10</v>
      </c>
      <c r="G15" s="26">
        <v>208</v>
      </c>
      <c r="H15" s="26">
        <v>490</v>
      </c>
      <c r="I15" s="26"/>
      <c r="J15" s="26"/>
      <c r="K15" s="26">
        <v>64</v>
      </c>
      <c r="L15" s="26"/>
      <c r="M15" s="26"/>
      <c r="N15" s="26"/>
      <c r="O15" s="26">
        <v>804</v>
      </c>
    </row>
    <row r="16" spans="1:15" x14ac:dyDescent="0.25">
      <c r="A16" s="6"/>
      <c r="B16" s="6"/>
      <c r="C16" s="6">
        <v>220000</v>
      </c>
      <c r="D16" s="26"/>
      <c r="E16" s="26">
        <v>48</v>
      </c>
      <c r="F16" s="26">
        <v>6</v>
      </c>
      <c r="G16" s="26">
        <v>112</v>
      </c>
      <c r="H16" s="26">
        <v>1232</v>
      </c>
      <c r="I16" s="26"/>
      <c r="J16" s="26"/>
      <c r="K16" s="26"/>
      <c r="L16" s="26"/>
      <c r="M16" s="26"/>
      <c r="N16" s="26"/>
      <c r="O16" s="26">
        <v>1398</v>
      </c>
    </row>
    <row r="17" spans="1:15" x14ac:dyDescent="0.25">
      <c r="A17" s="6"/>
      <c r="B17" s="6" t="s">
        <v>20</v>
      </c>
      <c r="C17" s="6" t="s">
        <v>20</v>
      </c>
      <c r="D17" s="26"/>
      <c r="E17" s="26"/>
      <c r="F17" s="26">
        <v>4</v>
      </c>
      <c r="G17" s="26">
        <v>80</v>
      </c>
      <c r="H17" s="26"/>
      <c r="I17" s="26"/>
      <c r="J17" s="26"/>
      <c r="K17" s="26"/>
      <c r="L17" s="26"/>
      <c r="M17" s="26"/>
      <c r="N17" s="26"/>
      <c r="O17" s="26">
        <v>84</v>
      </c>
    </row>
    <row r="18" spans="1:15" x14ac:dyDescent="0.25">
      <c r="A18" s="6" t="s">
        <v>35</v>
      </c>
      <c r="B18" s="6">
        <v>1</v>
      </c>
      <c r="C18" s="6">
        <v>200000</v>
      </c>
      <c r="D18" s="26">
        <v>55</v>
      </c>
      <c r="E18" s="26">
        <v>72</v>
      </c>
      <c r="F18" s="26"/>
      <c r="G18" s="26"/>
      <c r="H18" s="26">
        <v>1023</v>
      </c>
      <c r="I18" s="26">
        <v>55</v>
      </c>
      <c r="J18" s="26"/>
      <c r="K18" s="26">
        <v>33</v>
      </c>
      <c r="L18" s="26">
        <v>9</v>
      </c>
      <c r="M18" s="26"/>
      <c r="N18" s="26"/>
      <c r="O18" s="26">
        <v>1247</v>
      </c>
    </row>
    <row r="19" spans="1:15" x14ac:dyDescent="0.25">
      <c r="A19" s="6"/>
      <c r="B19" s="6">
        <v>1.2</v>
      </c>
      <c r="C19" s="6">
        <v>200000</v>
      </c>
      <c r="D19" s="26"/>
      <c r="E19" s="26"/>
      <c r="F19" s="26"/>
      <c r="G19" s="26"/>
      <c r="H19" s="26">
        <v>308</v>
      </c>
      <c r="I19" s="26"/>
      <c r="J19" s="26"/>
      <c r="K19" s="26"/>
      <c r="L19" s="26"/>
      <c r="M19" s="26"/>
      <c r="N19" s="26"/>
      <c r="O19" s="26">
        <v>308</v>
      </c>
    </row>
    <row r="20" spans="1:15" x14ac:dyDescent="0.25">
      <c r="A20" s="6" t="s">
        <v>64</v>
      </c>
      <c r="B20" s="6">
        <v>1</v>
      </c>
      <c r="C20" s="6">
        <v>190000</v>
      </c>
      <c r="D20" s="26">
        <v>11</v>
      </c>
      <c r="E20" s="26">
        <v>16</v>
      </c>
      <c r="F20" s="26">
        <v>8</v>
      </c>
      <c r="G20" s="26">
        <v>136</v>
      </c>
      <c r="H20" s="26">
        <v>22</v>
      </c>
      <c r="I20" s="26"/>
      <c r="J20" s="26"/>
      <c r="K20" s="26"/>
      <c r="L20" s="26"/>
      <c r="M20" s="26"/>
      <c r="N20" s="26"/>
      <c r="O20" s="26">
        <v>193</v>
      </c>
    </row>
    <row r="21" spans="1:15" x14ac:dyDescent="0.25">
      <c r="A21" s="6" t="s">
        <v>49</v>
      </c>
      <c r="B21" s="6">
        <v>1</v>
      </c>
      <c r="C21" s="6">
        <v>180000</v>
      </c>
      <c r="D21" s="26"/>
      <c r="E21" s="26">
        <v>48</v>
      </c>
      <c r="F21" s="26">
        <v>12</v>
      </c>
      <c r="G21" s="26">
        <v>248</v>
      </c>
      <c r="H21" s="26">
        <v>795</v>
      </c>
      <c r="I21" s="26">
        <v>33</v>
      </c>
      <c r="J21" s="26"/>
      <c r="K21" s="26"/>
      <c r="L21" s="26"/>
      <c r="M21" s="26"/>
      <c r="N21" s="26"/>
      <c r="O21" s="26">
        <v>1136</v>
      </c>
    </row>
    <row r="22" spans="1:15" x14ac:dyDescent="0.25">
      <c r="A22" s="6"/>
      <c r="B22" s="6">
        <v>1.2</v>
      </c>
      <c r="C22" s="6">
        <v>180000</v>
      </c>
      <c r="D22" s="26">
        <v>11</v>
      </c>
      <c r="E22" s="26"/>
      <c r="F22" s="26"/>
      <c r="G22" s="26"/>
      <c r="H22" s="26">
        <v>268</v>
      </c>
      <c r="I22" s="26">
        <v>11</v>
      </c>
      <c r="J22" s="26"/>
      <c r="K22" s="26"/>
      <c r="L22" s="26"/>
      <c r="M22" s="26"/>
      <c r="N22" s="26"/>
      <c r="O22" s="26">
        <v>290</v>
      </c>
    </row>
    <row r="23" spans="1:15" x14ac:dyDescent="0.25">
      <c r="A23" s="6" t="s">
        <v>39</v>
      </c>
      <c r="B23" s="6">
        <v>1</v>
      </c>
      <c r="C23" s="6">
        <v>170000</v>
      </c>
      <c r="D23" s="26">
        <v>11</v>
      </c>
      <c r="E23" s="26"/>
      <c r="F23" s="26"/>
      <c r="G23" s="26"/>
      <c r="H23" s="26">
        <v>1061</v>
      </c>
      <c r="I23" s="26"/>
      <c r="J23" s="26"/>
      <c r="K23" s="26"/>
      <c r="L23" s="26"/>
      <c r="M23" s="26"/>
      <c r="N23" s="26"/>
      <c r="O23" s="26">
        <v>1072</v>
      </c>
    </row>
    <row r="24" spans="1:15" x14ac:dyDescent="0.25">
      <c r="A24" s="6" t="s">
        <v>69</v>
      </c>
      <c r="B24" s="6">
        <v>1</v>
      </c>
      <c r="C24" s="6" t="s">
        <v>20</v>
      </c>
      <c r="D24" s="26"/>
      <c r="E24" s="26">
        <v>40</v>
      </c>
      <c r="F24" s="26">
        <v>2</v>
      </c>
      <c r="G24" s="26">
        <v>16</v>
      </c>
      <c r="H24" s="26">
        <v>320</v>
      </c>
      <c r="I24" s="26"/>
      <c r="J24" s="26"/>
      <c r="K24" s="26"/>
      <c r="L24" s="26"/>
      <c r="M24" s="26"/>
      <c r="N24" s="26"/>
      <c r="O24" s="26">
        <v>378</v>
      </c>
    </row>
    <row r="25" spans="1:15" x14ac:dyDescent="0.25">
      <c r="A25" s="6" t="s">
        <v>9</v>
      </c>
      <c r="B25" s="6">
        <v>1</v>
      </c>
      <c r="C25" s="6">
        <v>200000</v>
      </c>
      <c r="D25" s="26"/>
      <c r="E25" s="26">
        <v>24</v>
      </c>
      <c r="F25" s="26"/>
      <c r="G25" s="26"/>
      <c r="H25" s="26"/>
      <c r="I25" s="26"/>
      <c r="J25" s="26"/>
      <c r="K25" s="26"/>
      <c r="L25" s="26"/>
      <c r="M25" s="26"/>
      <c r="N25" s="26"/>
      <c r="O25" s="26">
        <v>24</v>
      </c>
    </row>
    <row r="26" spans="1:15" x14ac:dyDescent="0.25">
      <c r="A26" s="6"/>
      <c r="B26" s="6">
        <v>1.2</v>
      </c>
      <c r="C26" s="6">
        <v>200000</v>
      </c>
      <c r="D26" s="26"/>
      <c r="E26" s="26"/>
      <c r="F26" s="26"/>
      <c r="G26" s="26"/>
      <c r="H26" s="26">
        <v>374</v>
      </c>
      <c r="I26" s="26"/>
      <c r="J26" s="26"/>
      <c r="K26" s="26"/>
      <c r="L26" s="26"/>
      <c r="M26" s="26"/>
      <c r="N26" s="26"/>
      <c r="O26" s="26">
        <v>374</v>
      </c>
    </row>
    <row r="27" spans="1:15" x14ac:dyDescent="0.25">
      <c r="A27" s="6" t="s">
        <v>28</v>
      </c>
      <c r="B27" s="6">
        <v>1</v>
      </c>
      <c r="C27" s="6">
        <v>110000</v>
      </c>
      <c r="D27" s="26">
        <v>132</v>
      </c>
      <c r="E27" s="26">
        <v>96</v>
      </c>
      <c r="F27" s="26">
        <v>26</v>
      </c>
      <c r="G27" s="26">
        <v>544</v>
      </c>
      <c r="H27" s="26">
        <v>1933</v>
      </c>
      <c r="I27" s="26"/>
      <c r="J27" s="26"/>
      <c r="K27" s="26"/>
      <c r="L27" s="26"/>
      <c r="M27" s="26"/>
      <c r="N27" s="26"/>
      <c r="O27" s="26">
        <v>2731</v>
      </c>
    </row>
    <row r="28" spans="1:15" x14ac:dyDescent="0.25">
      <c r="A28" s="6"/>
      <c r="B28" s="6"/>
      <c r="C28" s="6">
        <v>100000</v>
      </c>
      <c r="D28" s="26">
        <v>33</v>
      </c>
      <c r="E28" s="26">
        <v>24</v>
      </c>
      <c r="F28" s="26">
        <v>4</v>
      </c>
      <c r="G28" s="26">
        <v>32</v>
      </c>
      <c r="H28" s="26">
        <v>165</v>
      </c>
      <c r="I28" s="26"/>
      <c r="J28" s="26"/>
      <c r="K28" s="26"/>
      <c r="L28" s="26"/>
      <c r="M28" s="26"/>
      <c r="N28" s="26"/>
      <c r="O28" s="26">
        <v>258</v>
      </c>
    </row>
    <row r="29" spans="1:15" x14ac:dyDescent="0.25">
      <c r="A29" s="6" t="s">
        <v>71</v>
      </c>
      <c r="B29" s="6">
        <v>1</v>
      </c>
      <c r="C29" s="6" t="s">
        <v>20</v>
      </c>
      <c r="D29" s="26"/>
      <c r="E29" s="26"/>
      <c r="F29" s="26"/>
      <c r="G29" s="26"/>
      <c r="H29" s="26">
        <v>453</v>
      </c>
      <c r="I29" s="26"/>
      <c r="J29" s="26"/>
      <c r="K29" s="26"/>
      <c r="L29" s="26"/>
      <c r="M29" s="26"/>
      <c r="N29" s="26"/>
      <c r="O29" s="26">
        <v>453</v>
      </c>
    </row>
    <row r="30" spans="1:15" x14ac:dyDescent="0.25">
      <c r="A30" s="6"/>
      <c r="B30" s="6" t="s">
        <v>20</v>
      </c>
      <c r="C30" s="6" t="s">
        <v>20</v>
      </c>
      <c r="D30" s="26"/>
      <c r="E30" s="26">
        <v>24</v>
      </c>
      <c r="F30" s="26"/>
      <c r="G30" s="26"/>
      <c r="H30" s="26">
        <v>310</v>
      </c>
      <c r="I30" s="26"/>
      <c r="J30" s="26"/>
      <c r="K30" s="26"/>
      <c r="L30" s="26"/>
      <c r="M30" s="26"/>
      <c r="N30" s="26"/>
      <c r="O30" s="26">
        <v>334</v>
      </c>
    </row>
    <row r="31" spans="1:15" x14ac:dyDescent="0.25">
      <c r="A31" s="6" t="s">
        <v>77</v>
      </c>
      <c r="B31" s="6" t="s">
        <v>20</v>
      </c>
      <c r="C31" s="6" t="s">
        <v>20</v>
      </c>
      <c r="D31" s="26"/>
      <c r="E31" s="26"/>
      <c r="F31" s="26"/>
      <c r="G31" s="26"/>
      <c r="H31" s="26">
        <v>330</v>
      </c>
      <c r="I31" s="26"/>
      <c r="J31" s="26"/>
      <c r="K31" s="26"/>
      <c r="L31" s="26"/>
      <c r="M31" s="26"/>
      <c r="N31" s="26"/>
      <c r="O31" s="26">
        <v>330</v>
      </c>
    </row>
    <row r="32" spans="1:15" x14ac:dyDescent="0.25">
      <c r="A32" s="6" t="s">
        <v>94</v>
      </c>
      <c r="B32" s="6" t="s">
        <v>20</v>
      </c>
      <c r="C32" s="6" t="s">
        <v>20</v>
      </c>
      <c r="D32" s="26"/>
      <c r="E32" s="26">
        <v>32</v>
      </c>
      <c r="F32" s="26"/>
      <c r="G32" s="26"/>
      <c r="H32" s="26">
        <v>121</v>
      </c>
      <c r="I32" s="26"/>
      <c r="J32" s="26"/>
      <c r="K32" s="26"/>
      <c r="L32" s="26"/>
      <c r="M32" s="26"/>
      <c r="N32" s="26"/>
      <c r="O32" s="26">
        <v>153</v>
      </c>
    </row>
    <row r="33" spans="1:15" x14ac:dyDescent="0.25">
      <c r="A33" s="6" t="s">
        <v>17</v>
      </c>
      <c r="B33" s="6"/>
      <c r="C33" s="6"/>
      <c r="D33" s="26">
        <v>935</v>
      </c>
      <c r="E33" s="26">
        <v>800</v>
      </c>
      <c r="F33" s="26">
        <v>131</v>
      </c>
      <c r="G33" s="26">
        <v>2064</v>
      </c>
      <c r="H33" s="26">
        <v>22313</v>
      </c>
      <c r="I33" s="26">
        <v>572</v>
      </c>
      <c r="J33" s="26"/>
      <c r="K33" s="26">
        <v>328</v>
      </c>
      <c r="L33" s="26">
        <v>55</v>
      </c>
      <c r="M33" s="26">
        <v>32</v>
      </c>
      <c r="N33" s="26">
        <v>176</v>
      </c>
      <c r="O33" s="26">
        <v>27406</v>
      </c>
    </row>
    <row r="34" spans="1:15" ht="14.25" customHeight="1" x14ac:dyDescent="0.25"/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3" t="s">
        <v>27</v>
      </c>
      <c r="B111" t="s">
        <v>83</v>
      </c>
      <c r="C111" s="6"/>
      <c r="D111" s="6"/>
      <c r="E111" s="6"/>
      <c r="F111" s="6"/>
      <c r="G111" s="3" t="s">
        <v>27</v>
      </c>
      <c r="H111" t="s">
        <v>83</v>
      </c>
      <c r="I111" s="6"/>
      <c r="J111" s="6"/>
      <c r="K111" s="6"/>
    </row>
    <row r="112" spans="1:16" x14ac:dyDescent="0.25">
      <c r="A112" s="3" t="s">
        <v>4</v>
      </c>
      <c r="B112" t="s">
        <v>45</v>
      </c>
      <c r="G112" s="3" t="s">
        <v>4</v>
      </c>
      <c r="H112" t="s">
        <v>45</v>
      </c>
    </row>
    <row r="113" spans="1:10" x14ac:dyDescent="0.25">
      <c r="A113" s="3" t="s">
        <v>5</v>
      </c>
      <c r="B113" t="s">
        <v>83</v>
      </c>
      <c r="G113" s="3" t="s">
        <v>47</v>
      </c>
      <c r="H113" t="s">
        <v>83</v>
      </c>
    </row>
    <row r="115" spans="1:10" ht="32.25" customHeight="1" x14ac:dyDescent="0.25">
      <c r="A115" s="10" t="s">
        <v>1</v>
      </c>
      <c r="B115" s="2" t="s">
        <v>55</v>
      </c>
      <c r="C115" s="2" t="s">
        <v>57</v>
      </c>
      <c r="D115" s="2" t="s">
        <v>56</v>
      </c>
      <c r="G115" s="10" t="s">
        <v>1</v>
      </c>
      <c r="H115" s="17" t="s">
        <v>60</v>
      </c>
      <c r="I115" s="18" t="s">
        <v>78</v>
      </c>
      <c r="J115" s="18" t="s">
        <v>62</v>
      </c>
    </row>
    <row r="116" spans="1:10" x14ac:dyDescent="0.25">
      <c r="A116" t="s">
        <v>12</v>
      </c>
      <c r="B116" s="25">
        <v>14824</v>
      </c>
      <c r="C116" s="25">
        <v>5538</v>
      </c>
      <c r="D116" s="25">
        <v>0</v>
      </c>
      <c r="G116" t="s">
        <v>12</v>
      </c>
      <c r="H116" t="s">
        <v>20</v>
      </c>
      <c r="I116" s="25"/>
      <c r="J116" s="25">
        <v>0</v>
      </c>
    </row>
    <row r="117" spans="1:10" x14ac:dyDescent="0.25">
      <c r="A117" t="s">
        <v>26</v>
      </c>
      <c r="B117" s="25">
        <v>572</v>
      </c>
      <c r="C117" s="25">
        <v>0</v>
      </c>
      <c r="D117" s="25">
        <v>0</v>
      </c>
      <c r="H117">
        <v>5000</v>
      </c>
      <c r="I117" s="25">
        <v>54</v>
      </c>
      <c r="J117" s="25">
        <v>270000</v>
      </c>
    </row>
    <row r="118" spans="1:10" x14ac:dyDescent="0.25">
      <c r="A118" t="s">
        <v>32</v>
      </c>
      <c r="B118" s="25">
        <v>3975</v>
      </c>
      <c r="C118" s="25">
        <v>3513</v>
      </c>
      <c r="D118" s="25">
        <v>0</v>
      </c>
      <c r="H118">
        <v>2000</v>
      </c>
      <c r="I118" s="25">
        <v>87</v>
      </c>
      <c r="J118" s="25">
        <v>174000</v>
      </c>
    </row>
    <row r="119" spans="1:10" x14ac:dyDescent="0.25">
      <c r="A119" t="s">
        <v>35</v>
      </c>
      <c r="B119" s="25">
        <v>1364</v>
      </c>
      <c r="C119" s="25">
        <v>1199</v>
      </c>
      <c r="D119" s="25">
        <v>0</v>
      </c>
      <c r="H119">
        <v>1660</v>
      </c>
      <c r="I119" s="25">
        <v>78</v>
      </c>
      <c r="J119" s="25">
        <v>129480</v>
      </c>
    </row>
    <row r="120" spans="1:10" x14ac:dyDescent="0.25">
      <c r="A120" t="s">
        <v>49</v>
      </c>
      <c r="B120" s="25">
        <v>1063</v>
      </c>
      <c r="C120" s="25">
        <v>1049</v>
      </c>
      <c r="D120" s="25">
        <v>0</v>
      </c>
      <c r="G120" t="s">
        <v>26</v>
      </c>
      <c r="H120" t="s">
        <v>20</v>
      </c>
      <c r="I120" s="25"/>
      <c r="J120" s="25">
        <v>0</v>
      </c>
    </row>
    <row r="121" spans="1:10" x14ac:dyDescent="0.25">
      <c r="A121" t="s">
        <v>39</v>
      </c>
      <c r="B121" s="25">
        <v>1061</v>
      </c>
      <c r="C121" s="25">
        <v>1061</v>
      </c>
      <c r="D121" s="25">
        <v>0</v>
      </c>
      <c r="G121" t="s">
        <v>32</v>
      </c>
      <c r="H121" t="s">
        <v>20</v>
      </c>
      <c r="I121" s="25"/>
      <c r="J121" s="25">
        <v>0</v>
      </c>
    </row>
    <row r="122" spans="1:10" x14ac:dyDescent="0.25">
      <c r="A122" t="s">
        <v>9</v>
      </c>
      <c r="B122" s="25">
        <v>993</v>
      </c>
      <c r="C122" s="25">
        <v>0</v>
      </c>
      <c r="D122" s="25">
        <v>0</v>
      </c>
      <c r="G122" t="s">
        <v>35</v>
      </c>
      <c r="H122" t="s">
        <v>20</v>
      </c>
      <c r="I122" s="25"/>
      <c r="J122" s="25">
        <v>0</v>
      </c>
    </row>
    <row r="123" spans="1:10" x14ac:dyDescent="0.25">
      <c r="A123" t="s">
        <v>33</v>
      </c>
      <c r="B123" s="25">
        <v>330</v>
      </c>
      <c r="C123" s="25">
        <v>0</v>
      </c>
      <c r="D123" s="25">
        <v>0</v>
      </c>
      <c r="G123" t="s">
        <v>49</v>
      </c>
      <c r="H123" t="s">
        <v>20</v>
      </c>
      <c r="I123" s="25"/>
      <c r="J123" s="25">
        <v>0</v>
      </c>
    </row>
    <row r="124" spans="1:10" x14ac:dyDescent="0.25">
      <c r="A124" t="s">
        <v>28</v>
      </c>
      <c r="B124" s="25">
        <v>5574</v>
      </c>
      <c r="C124" s="25">
        <v>2805</v>
      </c>
      <c r="D124" s="25">
        <v>0</v>
      </c>
      <c r="G124" t="s">
        <v>39</v>
      </c>
      <c r="H124" t="s">
        <v>20</v>
      </c>
      <c r="I124" s="25"/>
      <c r="J124" s="25">
        <v>0</v>
      </c>
    </row>
    <row r="125" spans="1:10" x14ac:dyDescent="0.25">
      <c r="A125" t="s">
        <v>64</v>
      </c>
      <c r="B125" s="25">
        <v>22</v>
      </c>
      <c r="C125" s="25">
        <v>0</v>
      </c>
      <c r="D125" s="25">
        <v>0</v>
      </c>
      <c r="G125" t="s">
        <v>9</v>
      </c>
      <c r="H125" t="s">
        <v>20</v>
      </c>
      <c r="I125" s="25"/>
      <c r="J125" s="25">
        <v>0</v>
      </c>
    </row>
    <row r="126" spans="1:10" x14ac:dyDescent="0.25">
      <c r="A126" t="s">
        <v>69</v>
      </c>
      <c r="B126" s="25">
        <v>980</v>
      </c>
      <c r="C126" s="25">
        <v>0</v>
      </c>
      <c r="D126" s="25">
        <v>0</v>
      </c>
      <c r="G126" t="s">
        <v>33</v>
      </c>
      <c r="H126" t="s">
        <v>20</v>
      </c>
      <c r="I126" s="25"/>
      <c r="J126" s="25">
        <v>0</v>
      </c>
    </row>
    <row r="127" spans="1:10" x14ac:dyDescent="0.25">
      <c r="A127" t="s">
        <v>71</v>
      </c>
      <c r="B127" s="25">
        <v>1709</v>
      </c>
      <c r="C127" s="25">
        <v>0</v>
      </c>
      <c r="D127" s="25">
        <v>0</v>
      </c>
      <c r="G127" t="s">
        <v>28</v>
      </c>
      <c r="H127" t="s">
        <v>20</v>
      </c>
      <c r="I127" s="25"/>
      <c r="J127" s="25">
        <v>0</v>
      </c>
    </row>
    <row r="128" spans="1:10" x14ac:dyDescent="0.25">
      <c r="A128" t="s">
        <v>77</v>
      </c>
      <c r="B128" s="25">
        <v>352</v>
      </c>
      <c r="C128" s="25">
        <v>0</v>
      </c>
      <c r="D128" s="25">
        <v>0</v>
      </c>
      <c r="G128" t="s">
        <v>64</v>
      </c>
      <c r="H128" t="s">
        <v>20</v>
      </c>
      <c r="I128" s="25"/>
      <c r="J128" s="25">
        <v>0</v>
      </c>
    </row>
    <row r="129" spans="1:10" x14ac:dyDescent="0.25">
      <c r="A129" t="s">
        <v>79</v>
      </c>
      <c r="B129" s="25">
        <v>440</v>
      </c>
      <c r="C129" s="25">
        <v>0</v>
      </c>
      <c r="D129" s="25">
        <v>0</v>
      </c>
      <c r="G129" t="s">
        <v>69</v>
      </c>
      <c r="H129" t="s">
        <v>20</v>
      </c>
      <c r="I129" s="25"/>
      <c r="J129" s="25">
        <v>0</v>
      </c>
    </row>
    <row r="130" spans="1:10" x14ac:dyDescent="0.25">
      <c r="A130" t="s">
        <v>94</v>
      </c>
      <c r="B130" s="25">
        <v>121</v>
      </c>
      <c r="C130" s="25">
        <v>0</v>
      </c>
      <c r="D130" s="25">
        <v>0</v>
      </c>
      <c r="G130" t="s">
        <v>71</v>
      </c>
      <c r="H130" t="s">
        <v>20</v>
      </c>
      <c r="I130" s="25"/>
      <c r="J130" s="25">
        <v>0</v>
      </c>
    </row>
    <row r="131" spans="1:10" x14ac:dyDescent="0.25">
      <c r="A131" t="s">
        <v>17</v>
      </c>
      <c r="B131" s="25">
        <v>33380</v>
      </c>
      <c r="C131" s="25">
        <v>15165</v>
      </c>
      <c r="D131" s="25">
        <v>0</v>
      </c>
      <c r="G131" t="s">
        <v>77</v>
      </c>
      <c r="H131" t="s">
        <v>20</v>
      </c>
      <c r="I131" s="25"/>
      <c r="J131" s="25">
        <v>0</v>
      </c>
    </row>
    <row r="132" spans="1:10" x14ac:dyDescent="0.25">
      <c r="G132" t="s">
        <v>79</v>
      </c>
      <c r="H132" t="s">
        <v>20</v>
      </c>
      <c r="I132" s="25"/>
      <c r="J132" s="25">
        <v>0</v>
      </c>
    </row>
    <row r="133" spans="1:10" x14ac:dyDescent="0.25">
      <c r="G133" t="s">
        <v>94</v>
      </c>
      <c r="H133" t="s">
        <v>20</v>
      </c>
      <c r="I133" s="25"/>
      <c r="J133" s="25">
        <v>0</v>
      </c>
    </row>
    <row r="134" spans="1:10" x14ac:dyDescent="0.25">
      <c r="G134" t="s">
        <v>17</v>
      </c>
      <c r="I134" s="25">
        <v>219</v>
      </c>
      <c r="J134" s="25">
        <v>573480</v>
      </c>
    </row>
  </sheetData>
  <pageMargins left="0.25" right="0.25" top="0.75" bottom="0.75" header="0.3" footer="0.3"/>
  <pageSetup paperSize="9" scale="68" fitToWidth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5</vt:i4>
      </vt:variant>
    </vt:vector>
  </HeadingPairs>
  <TitlesOfParts>
    <vt:vector size="12" baseType="lpstr">
      <vt:lpstr>Накопительная</vt:lpstr>
      <vt:lpstr>Общий список людей</vt:lpstr>
      <vt:lpstr>ЗП-ТТН</vt:lpstr>
      <vt:lpstr>Табель Ха</vt:lpstr>
      <vt:lpstr>Табель Та</vt:lpstr>
      <vt:lpstr>Табель Бо</vt:lpstr>
      <vt:lpstr>Сводная по часам Та</vt:lpstr>
      <vt:lpstr>'Табель Бо'!Заголовки_для_печати</vt:lpstr>
      <vt:lpstr>'Табель Та'!Заголовки_для_печати</vt:lpstr>
      <vt:lpstr>'Табель Ха'!Заголовки_для_печати</vt:lpstr>
      <vt:lpstr>'Общий список людей'!Область_печати</vt:lpstr>
      <vt:lpstr>'Сводная по часам Та'!Область_печати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 Артём Юрьевич</dc:creator>
  <cp:lastModifiedBy>Артем Волков</cp:lastModifiedBy>
  <cp:lastPrinted>2024-05-14T06:43:58Z</cp:lastPrinted>
  <dcterms:created xsi:type="dcterms:W3CDTF">2015-06-05T18:19:34Z</dcterms:created>
  <dcterms:modified xsi:type="dcterms:W3CDTF">2026-10-05T15:07:18Z</dcterms:modified>
</cp:coreProperties>
</file>